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August - 25\"/>
    </mc:Choice>
  </mc:AlternateContent>
  <xr:revisionPtr revIDLastSave="0" documentId="8_{6C40D922-F67E-4934-818C-A1AB56A70309}" xr6:coauthVersionLast="47" xr6:coauthVersionMax="47" xr10:uidLastSave="{00000000-0000-0000-0000-000000000000}"/>
  <bookViews>
    <workbookView xWindow="-120" yWindow="-120" windowWidth="21840" windowHeight="11190" firstSheet="5" activeTab="16" xr2:uid="{CEAA929E-E6EA-4882-881A-3C56700749F7}"/>
  </bookViews>
  <sheets>
    <sheet name="April" sheetId="3" r:id="rId1"/>
    <sheet name="May" sheetId="4" r:id="rId2"/>
    <sheet name="June" sheetId="6" r:id="rId3"/>
    <sheet name="July" sheetId="7" r:id="rId4"/>
    <sheet name="August" sheetId="8" r:id="rId5"/>
    <sheet name="September" sheetId="9" r:id="rId6"/>
    <sheet name="October" sheetId="10" r:id="rId7"/>
    <sheet name="November" sheetId="11" r:id="rId8"/>
    <sheet name="December" sheetId="13" r:id="rId9"/>
    <sheet name="January" sheetId="14" r:id="rId10"/>
    <sheet name="February" sheetId="15" r:id="rId11"/>
    <sheet name="March" sheetId="16" r:id="rId12"/>
    <sheet name="April.25" sheetId="17" r:id="rId13"/>
    <sheet name="May.25" sheetId="18" r:id="rId14"/>
    <sheet name="June.25" sheetId="19" r:id="rId15"/>
    <sheet name="July.25" sheetId="20" r:id="rId16"/>
    <sheet name="August.25" sheetId="21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21" l="1"/>
  <c r="N5" i="21"/>
  <c r="N3" i="21"/>
  <c r="F3" i="21"/>
  <c r="F5" i="21" s="1"/>
  <c r="F60" i="21"/>
  <c r="J60" i="21"/>
  <c r="J3" i="21" s="1"/>
  <c r="J5" i="21" s="1"/>
  <c r="B5" i="21"/>
  <c r="B3" i="21"/>
  <c r="B60" i="21"/>
  <c r="B4" i="17"/>
  <c r="B5" i="17" s="1"/>
  <c r="H4" i="17"/>
  <c r="H5" i="17" s="1"/>
  <c r="E4" i="17"/>
  <c r="E5" i="17" s="1"/>
  <c r="H4" i="16"/>
  <c r="H5" i="16" s="1"/>
  <c r="E4" i="16"/>
  <c r="E5" i="16" s="1"/>
  <c r="B4" i="16"/>
  <c r="B5" i="16" s="1"/>
  <c r="H4" i="15" l="1"/>
  <c r="H5" i="15"/>
  <c r="E4" i="15"/>
  <c r="E5" i="15" s="1"/>
  <c r="A8" i="15"/>
  <c r="B8" i="15"/>
  <c r="B4" i="15" s="1"/>
  <c r="B5" i="15" s="1"/>
  <c r="A9" i="15"/>
  <c r="B9" i="15"/>
  <c r="A10" i="15"/>
  <c r="B10" i="15"/>
  <c r="A11" i="15"/>
  <c r="B11" i="15"/>
  <c r="A12" i="15"/>
  <c r="B12" i="15"/>
  <c r="A13" i="15"/>
  <c r="B13" i="15"/>
  <c r="A14" i="15"/>
  <c r="B14" i="15"/>
  <c r="A15" i="15"/>
  <c r="B15" i="15"/>
  <c r="A16" i="15"/>
  <c r="B16" i="15"/>
  <c r="A17" i="15"/>
  <c r="B17" i="15"/>
  <c r="A18" i="15"/>
  <c r="B18" i="15"/>
  <c r="A19" i="15"/>
  <c r="B19" i="15"/>
  <c r="A20" i="15"/>
  <c r="B20" i="15"/>
  <c r="A21" i="15"/>
  <c r="B21" i="15"/>
  <c r="A22" i="15"/>
  <c r="B22" i="15"/>
  <c r="A23" i="15"/>
  <c r="B23" i="15"/>
  <c r="A24" i="15"/>
  <c r="B24" i="15"/>
  <c r="A25" i="15"/>
  <c r="B25" i="15"/>
  <c r="A26" i="15"/>
  <c r="B26" i="15"/>
  <c r="A27" i="15"/>
  <c r="B27" i="15"/>
  <c r="A28" i="15"/>
  <c r="B28" i="15"/>
  <c r="E5" i="14"/>
  <c r="B4" i="14"/>
  <c r="H4" i="14"/>
  <c r="H5" i="14" s="1"/>
  <c r="E4" i="14"/>
  <c r="B5" i="14"/>
  <c r="H4" i="13"/>
  <c r="H5" i="13" s="1"/>
  <c r="E4" i="13"/>
  <c r="B4" i="13"/>
  <c r="E5" i="13"/>
  <c r="B5" i="13"/>
  <c r="H4" i="11"/>
  <c r="H5" i="11" s="1"/>
  <c r="E4" i="11"/>
  <c r="E5" i="11" s="1"/>
  <c r="B4" i="11"/>
  <c r="B5" i="11" s="1"/>
  <c r="H4" i="10"/>
  <c r="H5" i="10" s="1"/>
  <c r="E4" i="10"/>
  <c r="E5" i="10" s="1"/>
  <c r="B4" i="10"/>
  <c r="B5" i="10" s="1"/>
  <c r="B4" i="9"/>
  <c r="B5" i="9"/>
  <c r="H4" i="9"/>
  <c r="H5" i="9" s="1"/>
  <c r="E4" i="9"/>
  <c r="E5" i="9" s="1"/>
  <c r="B4" i="7"/>
  <c r="B5" i="7"/>
  <c r="H4" i="8"/>
  <c r="H5" i="8" s="1"/>
  <c r="E4" i="8"/>
  <c r="E5" i="8" s="1"/>
  <c r="B4" i="8"/>
  <c r="B5" i="8" s="1"/>
  <c r="H4" i="7"/>
  <c r="H5" i="7" s="1"/>
  <c r="E4" i="7"/>
  <c r="E5" i="7" s="1"/>
  <c r="E4" i="6"/>
  <c r="E5" i="6" s="1"/>
  <c r="H4" i="6"/>
  <c r="H5" i="6" s="1"/>
  <c r="B4" i="6"/>
  <c r="B5" i="6" s="1"/>
  <c r="K4" i="4"/>
  <c r="K5" i="4" s="1"/>
  <c r="H4" i="4"/>
  <c r="H5" i="4" s="1"/>
  <c r="E4" i="4"/>
  <c r="E5" i="4" s="1"/>
  <c r="B4" i="4"/>
  <c r="B5" i="4" s="1"/>
  <c r="K5" i="3"/>
  <c r="H5" i="3"/>
  <c r="E5" i="3"/>
  <c r="B5" i="3"/>
</calcChain>
</file>

<file path=xl/sharedStrings.xml><?xml version="1.0" encoding="utf-8"?>
<sst xmlns="http://schemas.openxmlformats.org/spreadsheetml/2006/main" count="1730" uniqueCount="119">
  <si>
    <t>BOL</t>
  </si>
  <si>
    <t>Total Cost</t>
  </si>
  <si>
    <t>Total Views</t>
  </si>
  <si>
    <t>CPV</t>
  </si>
  <si>
    <t>Views By State</t>
  </si>
  <si>
    <t>California, United States</t>
  </si>
  <si>
    <t>Florida, United States</t>
  </si>
  <si>
    <t>Texas, United States</t>
  </si>
  <si>
    <t>Georgia, United States</t>
  </si>
  <si>
    <t>Alabama, United States</t>
  </si>
  <si>
    <t>South Carolina, United States</t>
  </si>
  <si>
    <t>Kentucky, United States</t>
  </si>
  <si>
    <t>Missouri, United States</t>
  </si>
  <si>
    <t>Minnesota, United States</t>
  </si>
  <si>
    <t>Oklahoma, United States</t>
  </si>
  <si>
    <t>Hawaii, United States</t>
  </si>
  <si>
    <t>Maine, United States</t>
  </si>
  <si>
    <t>Idaho, United States</t>
  </si>
  <si>
    <t>Utah, United States</t>
  </si>
  <si>
    <t>Alaska, United States</t>
  </si>
  <si>
    <t>North Dakota, United States</t>
  </si>
  <si>
    <t>Vermont, United States</t>
  </si>
  <si>
    <t>SB</t>
  </si>
  <si>
    <t>WC</t>
  </si>
  <si>
    <t>SS</t>
  </si>
  <si>
    <t>April</t>
  </si>
  <si>
    <t>Mississippi, United States</t>
  </si>
  <si>
    <t>Kansas, United States</t>
  </si>
  <si>
    <t>Nebraska, United States</t>
  </si>
  <si>
    <t>May</t>
  </si>
  <si>
    <t>Views By state</t>
  </si>
  <si>
    <t>Other</t>
  </si>
  <si>
    <t>Washington, United States</t>
  </si>
  <si>
    <t>Wisconsin, United States</t>
  </si>
  <si>
    <t>New Mexico, United States</t>
  </si>
  <si>
    <t>Delaware, United States</t>
  </si>
  <si>
    <t>South Dakota, United States</t>
  </si>
  <si>
    <t>District of Columbia, United States</t>
  </si>
  <si>
    <t>Montana, United States</t>
  </si>
  <si>
    <t>June</t>
  </si>
  <si>
    <t>July</t>
  </si>
  <si>
    <t>August</t>
  </si>
  <si>
    <t>Florida</t>
  </si>
  <si>
    <t>Washington</t>
  </si>
  <si>
    <t>Missouri</t>
  </si>
  <si>
    <t>Alabama</t>
  </si>
  <si>
    <t>Wisconsin</t>
  </si>
  <si>
    <t>Mississippi</t>
  </si>
  <si>
    <t>Utah</t>
  </si>
  <si>
    <t>District of Columbia</t>
  </si>
  <si>
    <t>New Mexico</t>
  </si>
  <si>
    <t>Montana</t>
  </si>
  <si>
    <t>Delaware</t>
  </si>
  <si>
    <t>South Dakota</t>
  </si>
  <si>
    <t>North Dakota</t>
  </si>
  <si>
    <t>September</t>
  </si>
  <si>
    <t>October</t>
  </si>
  <si>
    <t>California</t>
  </si>
  <si>
    <t>Georgia</t>
  </si>
  <si>
    <t>South Carolina</t>
  </si>
  <si>
    <t>Minnesota</t>
  </si>
  <si>
    <t>Oklahoma</t>
  </si>
  <si>
    <t>Idaho</t>
  </si>
  <si>
    <t>Hawaii</t>
  </si>
  <si>
    <t>Alaska</t>
  </si>
  <si>
    <t>November</t>
  </si>
  <si>
    <t>December</t>
  </si>
  <si>
    <t>January</t>
  </si>
  <si>
    <t>February</t>
  </si>
  <si>
    <t>MARCH - 25</t>
  </si>
  <si>
    <t>TOP 10 Apps</t>
  </si>
  <si>
    <t>BetOnline</t>
  </si>
  <si>
    <t>Wild Casino</t>
  </si>
  <si>
    <t>SportsBetting</t>
  </si>
  <si>
    <t>App</t>
  </si>
  <si>
    <t>Video Plays</t>
  </si>
  <si>
    <t>VTR (%)</t>
  </si>
  <si>
    <t>Samsung TV</t>
  </si>
  <si>
    <t>Watch TNT</t>
  </si>
  <si>
    <t>Pluto TV</t>
  </si>
  <si>
    <t>ESPN</t>
  </si>
  <si>
    <t>Tubi TV</t>
  </si>
  <si>
    <t>Fawesome</t>
  </si>
  <si>
    <t>Fubo TV</t>
  </si>
  <si>
    <t>ROKU</t>
  </si>
  <si>
    <t>NFL</t>
  </si>
  <si>
    <t>CBS</t>
  </si>
  <si>
    <t>LG Channels</t>
  </si>
  <si>
    <t>Fox News</t>
  </si>
  <si>
    <t>Philo</t>
  </si>
  <si>
    <t>ABC News</t>
  </si>
  <si>
    <t>Vizio</t>
  </si>
  <si>
    <t>Watch Free</t>
  </si>
  <si>
    <t>Plex</t>
  </si>
  <si>
    <t>MTV</t>
  </si>
  <si>
    <t>FilmRise</t>
  </si>
  <si>
    <t>HGTV</t>
  </si>
  <si>
    <t>XUMO</t>
  </si>
  <si>
    <t>APRIL - 25</t>
  </si>
  <si>
    <t>NBA</t>
  </si>
  <si>
    <t>Overall Total</t>
  </si>
  <si>
    <t>Sling TV</t>
  </si>
  <si>
    <t>Telly - The Truly Smart TV</t>
  </si>
  <si>
    <t>Lifetime</t>
  </si>
  <si>
    <t>Vesta Stream</t>
  </si>
  <si>
    <t>Loop</t>
  </si>
  <si>
    <t>Taiv</t>
  </si>
  <si>
    <t>MAY - 25</t>
  </si>
  <si>
    <t>Sportsbetting</t>
  </si>
  <si>
    <t>Superslots</t>
  </si>
  <si>
    <t>Grand Total</t>
  </si>
  <si>
    <t>Cost</t>
  </si>
  <si>
    <t>Views</t>
  </si>
  <si>
    <t>Views by State</t>
  </si>
  <si>
    <t>SuperSlots</t>
  </si>
  <si>
    <t>Day</t>
  </si>
  <si>
    <t>Spend</t>
  </si>
  <si>
    <t>Video Completes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</si>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</sst>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;[Red]\-&quot;€&quot;#,##0"/>
    <numFmt numFmtId="165" formatCode="&quot;€&quot;#,##0.00;[Red]\-&quot;€&quot;#,##0.00"/>
    <numFmt numFmtId="166" formatCode="_-* #,##0.00_-;\-* #,##0.00_-;_-* &quot;-&quot;??_-;_-@_-"/>
    <numFmt numFmtId="167" formatCode="_-* #,##0_-;\-* #,##0_-;_-* &quot;-&quot;??_-;_-@_-"/>
    <numFmt numFmtId="168" formatCode="&quot;€&quot;#,##0_);[Red]\(&quot;€&quot;#,##0\)"/>
    <numFmt numFmtId="169" formatCode="&quot;€&quot;#,##0.00_);[Red]\(&quot;€&quot;#,##0.00\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3" fillId="0" borderId="0" applyFont="0" applyFill="0" applyBorder="0" applyAlignment="0" applyProtection="0"/>
    <xf numFmtId="0" fontId="6" fillId="0" borderId="0"/>
  </cellStyleXfs>
  <cellXfs count="125">
    <xf numFmtId="0" fontId="0" fillId="0" borderId="0" xfId="0"/>
    <xf numFmtId="3" fontId="2" fillId="0" borderId="0" xfId="0" applyNumberFormat="1" applyFont="1"/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3" fontId="2" fillId="0" borderId="1" xfId="0" applyNumberFormat="1" applyFont="1" applyBorder="1"/>
    <xf numFmtId="165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167" fontId="2" fillId="0" borderId="1" xfId="1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/>
    <xf numFmtId="0" fontId="1" fillId="0" borderId="4" xfId="0" applyFont="1" applyBorder="1"/>
    <xf numFmtId="164" fontId="2" fillId="0" borderId="4" xfId="0" applyNumberFormat="1" applyFont="1" applyBorder="1" applyAlignment="1">
      <alignment horizontal="right"/>
    </xf>
    <xf numFmtId="167" fontId="2" fillId="0" borderId="1" xfId="1" applyNumberFormat="1" applyFont="1" applyFill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67" fontId="0" fillId="0" borderId="1" xfId="1" applyNumberFormat="1" applyFont="1" applyBorder="1"/>
    <xf numFmtId="0" fontId="0" fillId="2" borderId="0" xfId="0" applyFill="1"/>
    <xf numFmtId="165" fontId="0" fillId="2" borderId="0" xfId="0" applyNumberFormat="1" applyFill="1"/>
    <xf numFmtId="0" fontId="2" fillId="2" borderId="8" xfId="0" applyFont="1" applyFill="1" applyBorder="1" applyAlignment="1">
      <alignment wrapText="1"/>
    </xf>
    <xf numFmtId="3" fontId="0" fillId="0" borderId="1" xfId="0" applyNumberFormat="1" applyBorder="1"/>
    <xf numFmtId="0" fontId="0" fillId="2" borderId="8" xfId="0" applyFill="1" applyBorder="1" applyAlignment="1">
      <alignment wrapText="1"/>
    </xf>
    <xf numFmtId="0" fontId="0" fillId="0" borderId="8" xfId="0" applyBorder="1" applyAlignment="1">
      <alignment wrapText="1"/>
    </xf>
    <xf numFmtId="167" fontId="2" fillId="0" borderId="1" xfId="1" applyNumberFormat="1" applyFont="1" applyBorder="1"/>
    <xf numFmtId="0" fontId="2" fillId="0" borderId="1" xfId="2" applyFont="1" applyBorder="1"/>
    <xf numFmtId="0" fontId="1" fillId="0" borderId="1" xfId="2" applyFont="1" applyBorder="1"/>
    <xf numFmtId="0" fontId="1" fillId="0" borderId="1" xfId="2" applyFont="1" applyBorder="1" applyAlignment="1">
      <alignment horizontal="right"/>
    </xf>
    <xf numFmtId="3" fontId="2" fillId="0" borderId="1" xfId="2" applyNumberFormat="1" applyFont="1" applyBorder="1"/>
    <xf numFmtId="10" fontId="2" fillId="0" borderId="1" xfId="2" applyNumberFormat="1" applyFont="1" applyBorder="1"/>
    <xf numFmtId="0" fontId="2" fillId="0" borderId="0" xfId="2" applyFont="1"/>
    <xf numFmtId="0" fontId="0" fillId="3" borderId="0" xfId="0" applyFill="1"/>
    <xf numFmtId="0" fontId="2" fillId="0" borderId="11" xfId="2" applyFont="1" applyBorder="1"/>
    <xf numFmtId="0" fontId="1" fillId="0" borderId="21" xfId="2" applyFont="1" applyBorder="1"/>
    <xf numFmtId="0" fontId="1" fillId="0" borderId="22" xfId="2" applyFont="1" applyBorder="1"/>
    <xf numFmtId="0" fontId="2" fillId="0" borderId="21" xfId="2" applyFont="1" applyBorder="1"/>
    <xf numFmtId="10" fontId="2" fillId="0" borderId="22" xfId="2" applyNumberFormat="1" applyFont="1" applyBorder="1"/>
    <xf numFmtId="0" fontId="2" fillId="0" borderId="23" xfId="2" applyFont="1" applyBorder="1"/>
    <xf numFmtId="3" fontId="2" fillId="0" borderId="24" xfId="2" applyNumberFormat="1" applyFont="1" applyBorder="1"/>
    <xf numFmtId="10" fontId="2" fillId="0" borderId="24" xfId="2" applyNumberFormat="1" applyFont="1" applyBorder="1"/>
    <xf numFmtId="0" fontId="2" fillId="0" borderId="14" xfId="2" applyFont="1" applyBorder="1"/>
    <xf numFmtId="0" fontId="2" fillId="0" borderId="24" xfId="2" applyFont="1" applyBorder="1"/>
    <xf numFmtId="10" fontId="2" fillId="0" borderId="25" xfId="2" applyNumberFormat="1" applyFont="1" applyBorder="1"/>
    <xf numFmtId="0" fontId="0" fillId="0" borderId="11" xfId="0" applyBorder="1"/>
    <xf numFmtId="0" fontId="1" fillId="0" borderId="21" xfId="0" applyFont="1" applyBorder="1"/>
    <xf numFmtId="3" fontId="2" fillId="0" borderId="22" xfId="0" applyNumberFormat="1" applyFont="1" applyBorder="1"/>
    <xf numFmtId="165" fontId="2" fillId="0" borderId="22" xfId="0" applyNumberFormat="1" applyFont="1" applyBorder="1" applyAlignment="1">
      <alignment horizontal="right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0" fillId="0" borderId="14" xfId="0" applyBorder="1"/>
    <xf numFmtId="0" fontId="1" fillId="0" borderId="26" xfId="0" applyFont="1" applyBorder="1"/>
    <xf numFmtId="164" fontId="2" fillId="0" borderId="27" xfId="0" applyNumberFormat="1" applyFont="1" applyBorder="1" applyAlignment="1">
      <alignment horizontal="right"/>
    </xf>
    <xf numFmtId="0" fontId="1" fillId="0" borderId="27" xfId="0" applyFont="1" applyBorder="1"/>
    <xf numFmtId="164" fontId="2" fillId="0" borderId="28" xfId="0" applyNumberFormat="1" applyFont="1" applyBorder="1" applyAlignment="1">
      <alignment horizontal="right"/>
    </xf>
    <xf numFmtId="0" fontId="2" fillId="0" borderId="22" xfId="0" applyFont="1" applyBorder="1"/>
    <xf numFmtId="3" fontId="2" fillId="0" borderId="22" xfId="2" applyNumberFormat="1" applyFont="1" applyBorder="1"/>
    <xf numFmtId="3" fontId="2" fillId="0" borderId="25" xfId="2" applyNumberFormat="1" applyFont="1" applyBorder="1"/>
    <xf numFmtId="0" fontId="2" fillId="0" borderId="21" xfId="0" applyFont="1" applyBorder="1"/>
    <xf numFmtId="0" fontId="2" fillId="0" borderId="23" xfId="0" applyFont="1" applyBorder="1"/>
    <xf numFmtId="3" fontId="2" fillId="0" borderId="24" xfId="0" applyNumberFormat="1" applyFont="1" applyBorder="1"/>
    <xf numFmtId="0" fontId="2" fillId="0" borderId="0" xfId="0" applyFont="1"/>
    <xf numFmtId="0" fontId="1" fillId="0" borderId="1" xfId="0" applyFont="1" applyBorder="1" applyAlignment="1">
      <alignment horizontal="right"/>
    </xf>
    <xf numFmtId="10" fontId="2" fillId="0" borderId="1" xfId="0" applyNumberFormat="1" applyFont="1" applyBorder="1"/>
    <xf numFmtId="3" fontId="1" fillId="0" borderId="1" xfId="0" applyNumberFormat="1" applyFont="1" applyBorder="1"/>
    <xf numFmtId="10" fontId="1" fillId="0" borderId="1" xfId="0" applyNumberFormat="1" applyFont="1" applyBorder="1"/>
    <xf numFmtId="0" fontId="1" fillId="0" borderId="0" xfId="0" applyFont="1"/>
    <xf numFmtId="168" fontId="2" fillId="0" borderId="1" xfId="0" applyNumberFormat="1" applyFont="1" applyBorder="1"/>
    <xf numFmtId="168" fontId="2" fillId="0" borderId="0" xfId="0" applyNumberFormat="1" applyFont="1"/>
    <xf numFmtId="169" fontId="2" fillId="0" borderId="1" xfId="0" applyNumberFormat="1" applyFont="1" applyBorder="1"/>
    <xf numFmtId="0" fontId="2" fillId="4" borderId="0" xfId="0" applyFont="1" applyFill="1"/>
    <xf numFmtId="0" fontId="1" fillId="0" borderId="22" xfId="0" applyFont="1" applyBorder="1"/>
    <xf numFmtId="10" fontId="2" fillId="0" borderId="22" xfId="0" applyNumberFormat="1" applyFont="1" applyBorder="1"/>
    <xf numFmtId="0" fontId="2" fillId="0" borderId="24" xfId="0" applyFont="1" applyBorder="1"/>
    <xf numFmtId="10" fontId="2" fillId="0" borderId="25" xfId="0" applyNumberFormat="1" applyFont="1" applyBorder="1"/>
    <xf numFmtId="0" fontId="2" fillId="0" borderId="27" xfId="0" applyFont="1" applyBorder="1"/>
    <xf numFmtId="0" fontId="0" fillId="0" borderId="27" xfId="0" applyBorder="1"/>
    <xf numFmtId="0" fontId="2" fillId="0" borderId="28" xfId="0" applyFont="1" applyBorder="1"/>
    <xf numFmtId="168" fontId="2" fillId="0" borderId="22" xfId="0" applyNumberFormat="1" applyFont="1" applyBorder="1"/>
    <xf numFmtId="169" fontId="2" fillId="0" borderId="22" xfId="0" applyNumberFormat="1" applyFont="1" applyBorder="1"/>
    <xf numFmtId="0" fontId="2" fillId="0" borderId="25" xfId="0" applyFont="1" applyBorder="1"/>
    <xf numFmtId="17" fontId="1" fillId="0" borderId="0" xfId="0" applyNumberFormat="1" applyFont="1" applyAlignment="1">
      <alignment horizontal="left"/>
    </xf>
    <xf numFmtId="0" fontId="7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17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1" xfId="0" applyFont="1" applyBorder="1"/>
    <xf numFmtId="0" fontId="10" fillId="0" borderId="1" xfId="0" applyFont="1" applyBorder="1"/>
    <xf numFmtId="168" fontId="10" fillId="0" borderId="1" xfId="0" applyNumberFormat="1" applyFont="1" applyBorder="1"/>
    <xf numFmtId="169" fontId="10" fillId="0" borderId="0" xfId="0" applyNumberFormat="1" applyFont="1"/>
    <xf numFmtId="3" fontId="10" fillId="0" borderId="1" xfId="0" applyNumberFormat="1" applyFont="1" applyBorder="1"/>
    <xf numFmtId="3" fontId="10" fillId="0" borderId="0" xfId="0" applyNumberFormat="1" applyFont="1"/>
    <xf numFmtId="169" fontId="10" fillId="0" borderId="1" xfId="0" applyNumberFormat="1" applyFont="1" applyBorder="1"/>
    <xf numFmtId="10" fontId="10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14" fontId="2" fillId="0" borderId="1" xfId="0" applyNumberFormat="1" applyFont="1" applyBorder="1"/>
    <xf numFmtId="4" fontId="2" fillId="0" borderId="1" xfId="0" applyNumberFormat="1" applyFont="1" applyBorder="1"/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/>
    </xf>
    <xf numFmtId="0" fontId="1" fillId="0" borderId="17" xfId="2" applyFont="1" applyBorder="1" applyAlignment="1">
      <alignment horizontal="center"/>
    </xf>
    <xf numFmtId="0" fontId="1" fillId="0" borderId="18" xfId="2" applyFont="1" applyBorder="1" applyAlignment="1">
      <alignment horizontal="center"/>
    </xf>
    <xf numFmtId="0" fontId="1" fillId="0" borderId="16" xfId="2" applyFont="1" applyBorder="1" applyAlignment="1">
      <alignment horizontal="center"/>
    </xf>
    <xf numFmtId="0" fontId="1" fillId="0" borderId="20" xfId="2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B89959E8-F038-4507-8AE8-888167E61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spty\citrixupm$\Users\PM\AppData\Local\Microsoft\Windows\INetCache\Content.Outlook\P0GROLHC\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8">
          <cell r="A8" t="str">
            <v>California</v>
          </cell>
          <cell r="B8">
            <v>328145</v>
          </cell>
        </row>
        <row r="9">
          <cell r="A9" t="str">
            <v>Utah</v>
          </cell>
          <cell r="B9">
            <v>298376</v>
          </cell>
        </row>
        <row r="10">
          <cell r="A10" t="str">
            <v>Georgia</v>
          </cell>
          <cell r="B10">
            <v>188921</v>
          </cell>
        </row>
        <row r="11">
          <cell r="A11" t="str">
            <v>South Carolina</v>
          </cell>
          <cell r="B11">
            <v>82553</v>
          </cell>
        </row>
        <row r="12">
          <cell r="A12" t="str">
            <v>Florida</v>
          </cell>
          <cell r="B12">
            <v>81830</v>
          </cell>
        </row>
        <row r="13">
          <cell r="A13" t="str">
            <v>Washington</v>
          </cell>
          <cell r="B13">
            <v>78759</v>
          </cell>
        </row>
        <row r="14">
          <cell r="A14" t="str">
            <v>Missouri</v>
          </cell>
          <cell r="B14">
            <v>75735</v>
          </cell>
        </row>
        <row r="15">
          <cell r="A15" t="str">
            <v>Alabama</v>
          </cell>
          <cell r="B15">
            <v>74102</v>
          </cell>
        </row>
        <row r="16">
          <cell r="A16" t="str">
            <v>Minnesota</v>
          </cell>
          <cell r="B16">
            <v>58919</v>
          </cell>
        </row>
        <row r="17">
          <cell r="A17" t="str">
            <v>Wisconsin</v>
          </cell>
          <cell r="B17">
            <v>57721</v>
          </cell>
        </row>
        <row r="18">
          <cell r="A18" t="str">
            <v>Oklahoma</v>
          </cell>
          <cell r="B18">
            <v>48089</v>
          </cell>
        </row>
        <row r="19">
          <cell r="A19" t="str">
            <v>Mississippi</v>
          </cell>
          <cell r="B19">
            <v>47996</v>
          </cell>
        </row>
        <row r="20">
          <cell r="A20" t="str">
            <v>District of Columbia</v>
          </cell>
          <cell r="B20">
            <v>27685</v>
          </cell>
        </row>
        <row r="21">
          <cell r="A21" t="str">
            <v>New Mexico</v>
          </cell>
          <cell r="B21">
            <v>19307</v>
          </cell>
        </row>
        <row r="22">
          <cell r="A22" t="str">
            <v>Idaho</v>
          </cell>
          <cell r="B22">
            <v>16645</v>
          </cell>
        </row>
        <row r="23">
          <cell r="A23" t="str">
            <v>Delaware</v>
          </cell>
          <cell r="B23">
            <v>14923</v>
          </cell>
        </row>
        <row r="24">
          <cell r="A24" t="str">
            <v>Montana</v>
          </cell>
          <cell r="B24">
            <v>9157</v>
          </cell>
        </row>
        <row r="25">
          <cell r="A25" t="str">
            <v>Hawaii</v>
          </cell>
          <cell r="B25">
            <v>7887</v>
          </cell>
        </row>
        <row r="26">
          <cell r="A26" t="str">
            <v>South Dakota</v>
          </cell>
          <cell r="B26">
            <v>7661</v>
          </cell>
        </row>
        <row r="27">
          <cell r="A27" t="str">
            <v>North Dakota</v>
          </cell>
          <cell r="B27">
            <v>7410</v>
          </cell>
        </row>
        <row r="28">
          <cell r="A28" t="str">
            <v>Alaska</v>
          </cell>
          <cell r="B28">
            <v>5656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7015-5996-4060-B074-CAB53BDA8510}">
  <dimension ref="A1:K27"/>
  <sheetViews>
    <sheetView workbookViewId="0">
      <selection activeCell="I29" sqref="I29"/>
    </sheetView>
  </sheetViews>
  <sheetFormatPr defaultRowHeight="15" x14ac:dyDescent="0.25"/>
  <cols>
    <col min="1" max="1" width="26.140625" bestFit="1" customWidth="1"/>
    <col min="2" max="2" width="7.5703125" bestFit="1" customWidth="1"/>
    <col min="4" max="4" width="26.140625" bestFit="1" customWidth="1"/>
    <col min="5" max="5" width="7.7109375" bestFit="1" customWidth="1"/>
    <col min="7" max="7" width="26.140625" bestFit="1" customWidth="1"/>
    <col min="8" max="8" width="7.7109375" bestFit="1" customWidth="1"/>
    <col min="10" max="10" width="26.140625" bestFit="1" customWidth="1"/>
    <col min="11" max="11" width="7.7109375" bestFit="1" customWidth="1"/>
  </cols>
  <sheetData>
    <row r="1" spans="1:11" ht="21" thickBot="1" x14ac:dyDescent="0.35">
      <c r="A1" s="100" t="s">
        <v>25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15.75" thickBot="1" x14ac:dyDescent="0.3">
      <c r="A2" s="103" t="s">
        <v>0</v>
      </c>
      <c r="B2" s="104"/>
      <c r="D2" s="103" t="s">
        <v>22</v>
      </c>
      <c r="E2" s="104"/>
      <c r="G2" s="103" t="s">
        <v>23</v>
      </c>
      <c r="H2" s="104"/>
      <c r="J2" s="103" t="s">
        <v>24</v>
      </c>
      <c r="K2" s="104"/>
    </row>
    <row r="3" spans="1:11" x14ac:dyDescent="0.25">
      <c r="A3" s="14" t="s">
        <v>1</v>
      </c>
      <c r="B3" s="15">
        <v>50000</v>
      </c>
      <c r="D3" s="14" t="s">
        <v>1</v>
      </c>
      <c r="E3" s="15">
        <v>16600</v>
      </c>
      <c r="G3" s="14" t="s">
        <v>1</v>
      </c>
      <c r="H3" s="15">
        <v>16600</v>
      </c>
      <c r="J3" s="14" t="s">
        <v>1</v>
      </c>
      <c r="K3" s="15">
        <v>16600</v>
      </c>
    </row>
    <row r="4" spans="1:11" x14ac:dyDescent="0.25">
      <c r="A4" s="5" t="s">
        <v>2</v>
      </c>
      <c r="B4" s="6">
        <v>696610</v>
      </c>
      <c r="D4" s="5" t="s">
        <v>2</v>
      </c>
      <c r="E4" s="6">
        <v>325654</v>
      </c>
      <c r="G4" s="5" t="s">
        <v>2</v>
      </c>
      <c r="H4" s="6">
        <v>322357</v>
      </c>
      <c r="J4" s="5" t="s">
        <v>2</v>
      </c>
      <c r="K4" s="6">
        <v>388133</v>
      </c>
    </row>
    <row r="5" spans="1:11" x14ac:dyDescent="0.25">
      <c r="A5" s="5" t="s">
        <v>3</v>
      </c>
      <c r="B5" s="3">
        <f>B3/B4</f>
        <v>7.1776173181550648E-2</v>
      </c>
      <c r="C5" s="7"/>
      <c r="D5" s="5" t="s">
        <v>3</v>
      </c>
      <c r="E5" s="3">
        <f>E3/E4</f>
        <v>5.0974347006331876E-2</v>
      </c>
      <c r="F5" s="7"/>
      <c r="G5" s="5" t="s">
        <v>3</v>
      </c>
      <c r="H5" s="3">
        <f>H3/H4</f>
        <v>5.1495701970175924E-2</v>
      </c>
      <c r="J5" s="5" t="s">
        <v>3</v>
      </c>
      <c r="K5" s="3">
        <f>K3/K4</f>
        <v>4.2768844700141445E-2</v>
      </c>
    </row>
    <row r="6" spans="1:11" x14ac:dyDescent="0.25">
      <c r="A6" s="2"/>
      <c r="B6" s="2"/>
      <c r="D6" s="2"/>
      <c r="E6" s="2"/>
      <c r="G6" s="2"/>
      <c r="H6" s="2"/>
      <c r="J6" s="2"/>
      <c r="K6" s="2"/>
    </row>
    <row r="7" spans="1:11" x14ac:dyDescent="0.25">
      <c r="A7" s="5" t="s">
        <v>4</v>
      </c>
      <c r="B7" s="4"/>
      <c r="D7" s="5" t="s">
        <v>4</v>
      </c>
      <c r="E7" s="9"/>
      <c r="G7" s="5" t="s">
        <v>4</v>
      </c>
      <c r="H7" s="4"/>
      <c r="J7" s="5" t="s">
        <v>4</v>
      </c>
      <c r="K7" s="4"/>
    </row>
    <row r="8" spans="1:11" x14ac:dyDescent="0.25">
      <c r="A8" s="4" t="s">
        <v>5</v>
      </c>
      <c r="B8" s="6">
        <v>169557</v>
      </c>
      <c r="D8" s="8" t="s">
        <v>5</v>
      </c>
      <c r="E8" s="10">
        <v>87247</v>
      </c>
      <c r="G8" s="4" t="s">
        <v>5</v>
      </c>
      <c r="H8" s="10">
        <v>87094</v>
      </c>
      <c r="J8" s="4" t="s">
        <v>5</v>
      </c>
      <c r="K8" s="10">
        <v>95324</v>
      </c>
    </row>
    <row r="9" spans="1:11" x14ac:dyDescent="0.25">
      <c r="A9" s="4" t="s">
        <v>7</v>
      </c>
      <c r="B9" s="6">
        <v>142766</v>
      </c>
      <c r="D9" s="8" t="s">
        <v>7</v>
      </c>
      <c r="E9" s="10">
        <v>56016</v>
      </c>
      <c r="G9" s="4" t="s">
        <v>7</v>
      </c>
      <c r="H9" s="10">
        <v>58284</v>
      </c>
      <c r="J9" s="4" t="s">
        <v>7</v>
      </c>
      <c r="K9" s="10">
        <v>73157</v>
      </c>
    </row>
    <row r="10" spans="1:11" x14ac:dyDescent="0.25">
      <c r="A10" s="4" t="s">
        <v>6</v>
      </c>
      <c r="B10" s="6">
        <v>102427</v>
      </c>
      <c r="D10" s="8" t="s">
        <v>6</v>
      </c>
      <c r="E10" s="10">
        <v>45275</v>
      </c>
      <c r="G10" s="4" t="s">
        <v>6</v>
      </c>
      <c r="H10" s="10">
        <v>46804</v>
      </c>
      <c r="J10" s="4" t="s">
        <v>6</v>
      </c>
      <c r="K10" s="10">
        <v>54461</v>
      </c>
    </row>
    <row r="11" spans="1:11" x14ac:dyDescent="0.25">
      <c r="A11" s="4" t="s">
        <v>8</v>
      </c>
      <c r="B11" s="6">
        <v>68981</v>
      </c>
      <c r="D11" s="8" t="s">
        <v>8</v>
      </c>
      <c r="E11" s="10">
        <v>21117</v>
      </c>
      <c r="G11" s="4" t="s">
        <v>8</v>
      </c>
      <c r="H11" s="10">
        <v>26919</v>
      </c>
      <c r="J11" s="4" t="s">
        <v>8</v>
      </c>
      <c r="K11" s="10">
        <v>30343</v>
      </c>
    </row>
    <row r="12" spans="1:11" x14ac:dyDescent="0.25">
      <c r="A12" s="4" t="s">
        <v>9</v>
      </c>
      <c r="B12" s="6">
        <v>33008</v>
      </c>
      <c r="D12" s="8" t="s">
        <v>9</v>
      </c>
      <c r="E12" s="10">
        <v>19819</v>
      </c>
      <c r="G12" s="4" t="s">
        <v>9</v>
      </c>
      <c r="H12" s="10">
        <v>18236</v>
      </c>
      <c r="J12" s="4" t="s">
        <v>9</v>
      </c>
      <c r="K12" s="10">
        <v>16545</v>
      </c>
    </row>
    <row r="13" spans="1:11" x14ac:dyDescent="0.25">
      <c r="A13" s="4" t="s">
        <v>10</v>
      </c>
      <c r="B13" s="6">
        <v>30688</v>
      </c>
      <c r="D13" s="8" t="s">
        <v>10</v>
      </c>
      <c r="E13" s="10">
        <v>15567</v>
      </c>
      <c r="G13" s="4" t="s">
        <v>10</v>
      </c>
      <c r="H13" s="10">
        <v>14001</v>
      </c>
      <c r="J13" s="4" t="s">
        <v>10</v>
      </c>
      <c r="K13" s="10">
        <v>15339</v>
      </c>
    </row>
    <row r="14" spans="1:11" x14ac:dyDescent="0.25">
      <c r="A14" s="4" t="s">
        <v>12</v>
      </c>
      <c r="B14" s="6">
        <v>29193</v>
      </c>
      <c r="D14" s="8" t="s">
        <v>12</v>
      </c>
      <c r="E14" s="10">
        <v>13070</v>
      </c>
      <c r="G14" s="4" t="s">
        <v>12</v>
      </c>
      <c r="H14" s="10">
        <v>12357</v>
      </c>
      <c r="J14" s="4" t="s">
        <v>12</v>
      </c>
      <c r="K14" s="10">
        <v>14810</v>
      </c>
    </row>
    <row r="15" spans="1:11" x14ac:dyDescent="0.25">
      <c r="A15" s="4" t="s">
        <v>11</v>
      </c>
      <c r="B15" s="6">
        <v>21899</v>
      </c>
      <c r="D15" s="8" t="s">
        <v>11</v>
      </c>
      <c r="E15" s="10">
        <v>12028</v>
      </c>
      <c r="G15" s="4" t="s">
        <v>11</v>
      </c>
      <c r="H15" s="10">
        <v>10386</v>
      </c>
      <c r="J15" s="4" t="s">
        <v>11</v>
      </c>
      <c r="K15" s="10">
        <v>10596</v>
      </c>
    </row>
    <row r="16" spans="1:11" x14ac:dyDescent="0.25">
      <c r="A16" s="4" t="s">
        <v>13</v>
      </c>
      <c r="B16" s="6">
        <v>20262</v>
      </c>
      <c r="D16" s="8" t="s">
        <v>13</v>
      </c>
      <c r="E16" s="10">
        <v>11710</v>
      </c>
      <c r="G16" s="4" t="s">
        <v>13</v>
      </c>
      <c r="H16" s="10">
        <v>8602</v>
      </c>
      <c r="I16" s="1"/>
      <c r="J16" s="4" t="s">
        <v>13</v>
      </c>
      <c r="K16" s="10">
        <v>8428</v>
      </c>
    </row>
    <row r="17" spans="1:11" x14ac:dyDescent="0.25">
      <c r="A17" s="4" t="s">
        <v>14</v>
      </c>
      <c r="B17" s="6">
        <v>18788</v>
      </c>
      <c r="D17" s="8" t="s">
        <v>14</v>
      </c>
      <c r="E17" s="10">
        <v>10289</v>
      </c>
      <c r="G17" s="4" t="s">
        <v>14</v>
      </c>
      <c r="H17" s="10">
        <v>7025</v>
      </c>
      <c r="J17" s="4" t="s">
        <v>14</v>
      </c>
      <c r="K17" s="10">
        <v>6281</v>
      </c>
    </row>
    <row r="18" spans="1:11" x14ac:dyDescent="0.25">
      <c r="A18" s="4" t="s">
        <v>26</v>
      </c>
      <c r="B18" s="6">
        <v>17583</v>
      </c>
      <c r="D18" s="8" t="s">
        <v>26</v>
      </c>
      <c r="E18" s="10">
        <v>6121</v>
      </c>
      <c r="G18" s="4" t="s">
        <v>26</v>
      </c>
      <c r="H18" s="10">
        <v>6522</v>
      </c>
      <c r="J18" s="4" t="s">
        <v>26</v>
      </c>
      <c r="K18" s="10">
        <v>5782</v>
      </c>
    </row>
    <row r="19" spans="1:11" x14ac:dyDescent="0.25">
      <c r="A19" s="4" t="s">
        <v>15</v>
      </c>
      <c r="B19" s="6">
        <v>7993</v>
      </c>
      <c r="D19" s="8" t="s">
        <v>15</v>
      </c>
      <c r="E19" s="10">
        <v>5364</v>
      </c>
      <c r="G19" s="4" t="s">
        <v>15</v>
      </c>
      <c r="H19" s="10">
        <v>4788</v>
      </c>
      <c r="J19" s="4" t="s">
        <v>15</v>
      </c>
      <c r="K19" s="10">
        <v>4873</v>
      </c>
    </row>
    <row r="20" spans="1:11" x14ac:dyDescent="0.25">
      <c r="A20" s="4" t="s">
        <v>27</v>
      </c>
      <c r="B20" s="6">
        <v>7042</v>
      </c>
      <c r="D20" s="8" t="s">
        <v>27</v>
      </c>
      <c r="E20" s="10">
        <v>4931</v>
      </c>
      <c r="G20" s="4" t="s">
        <v>27</v>
      </c>
      <c r="H20" s="10">
        <v>4643</v>
      </c>
      <c r="J20" s="4" t="s">
        <v>27</v>
      </c>
      <c r="K20" s="10">
        <v>4621</v>
      </c>
    </row>
    <row r="21" spans="1:11" x14ac:dyDescent="0.25">
      <c r="A21" s="4" t="s">
        <v>18</v>
      </c>
      <c r="B21" s="6">
        <v>7009</v>
      </c>
      <c r="D21" s="8" t="s">
        <v>18</v>
      </c>
      <c r="E21" s="10">
        <v>4275</v>
      </c>
      <c r="G21" s="4" t="s">
        <v>18</v>
      </c>
      <c r="H21" s="16">
        <v>4376</v>
      </c>
      <c r="J21" s="4" t="s">
        <v>18</v>
      </c>
      <c r="K21" s="10">
        <v>4322</v>
      </c>
    </row>
    <row r="22" spans="1:11" x14ac:dyDescent="0.25">
      <c r="A22" s="4" t="s">
        <v>28</v>
      </c>
      <c r="B22" s="6">
        <v>4753</v>
      </c>
      <c r="D22" s="8" t="s">
        <v>28</v>
      </c>
      <c r="E22" s="10">
        <v>3224</v>
      </c>
      <c r="G22" s="4" t="s">
        <v>28</v>
      </c>
      <c r="H22" s="10">
        <v>3325</v>
      </c>
      <c r="J22" s="4" t="s">
        <v>28</v>
      </c>
      <c r="K22" s="10">
        <v>3413</v>
      </c>
    </row>
    <row r="23" spans="1:11" x14ac:dyDescent="0.25">
      <c r="A23" s="4" t="s">
        <v>17</v>
      </c>
      <c r="B23" s="6">
        <v>4248</v>
      </c>
      <c r="D23" s="8" t="s">
        <v>17</v>
      </c>
      <c r="E23" s="10">
        <v>2721</v>
      </c>
      <c r="G23" s="4" t="s">
        <v>17</v>
      </c>
      <c r="H23" s="10">
        <v>1742</v>
      </c>
      <c r="J23" s="4" t="s">
        <v>17</v>
      </c>
      <c r="K23" s="10">
        <v>1963</v>
      </c>
    </row>
    <row r="24" spans="1:11" x14ac:dyDescent="0.25">
      <c r="A24" s="4" t="s">
        <v>16</v>
      </c>
      <c r="B24" s="6">
        <v>3668</v>
      </c>
      <c r="D24" s="8" t="s">
        <v>16</v>
      </c>
      <c r="E24" s="10">
        <v>2443</v>
      </c>
      <c r="G24" s="4" t="s">
        <v>16</v>
      </c>
      <c r="H24" s="10">
        <v>1004</v>
      </c>
      <c r="J24" s="4" t="s">
        <v>16</v>
      </c>
      <c r="K24" s="10">
        <v>1031</v>
      </c>
    </row>
    <row r="25" spans="1:11" x14ac:dyDescent="0.25">
      <c r="A25" s="4" t="s">
        <v>20</v>
      </c>
      <c r="B25" s="6">
        <v>3038</v>
      </c>
      <c r="D25" s="8" t="s">
        <v>20</v>
      </c>
      <c r="E25" s="10">
        <v>1824</v>
      </c>
      <c r="G25" s="4" t="s">
        <v>20</v>
      </c>
      <c r="H25" s="10">
        <v>974</v>
      </c>
      <c r="J25" s="4" t="s">
        <v>20</v>
      </c>
      <c r="K25" s="10">
        <v>1256</v>
      </c>
    </row>
    <row r="26" spans="1:11" x14ac:dyDescent="0.25">
      <c r="A26" s="4" t="s">
        <v>19</v>
      </c>
      <c r="B26" s="6">
        <v>2129</v>
      </c>
      <c r="D26" s="8" t="s">
        <v>19</v>
      </c>
      <c r="E26" s="10">
        <v>1508</v>
      </c>
      <c r="G26" s="4" t="s">
        <v>19</v>
      </c>
      <c r="H26" s="10">
        <v>354</v>
      </c>
      <c r="J26" s="4" t="s">
        <v>19</v>
      </c>
      <c r="K26" s="10">
        <v>976</v>
      </c>
    </row>
    <row r="27" spans="1:11" x14ac:dyDescent="0.25">
      <c r="A27" s="4" t="s">
        <v>21</v>
      </c>
      <c r="B27" s="6">
        <v>1315</v>
      </c>
      <c r="D27" s="8" t="s">
        <v>21</v>
      </c>
      <c r="E27" s="10">
        <v>841</v>
      </c>
      <c r="G27" s="4" t="s">
        <v>21</v>
      </c>
      <c r="H27" s="10">
        <v>307</v>
      </c>
      <c r="J27" s="4" t="s">
        <v>21</v>
      </c>
      <c r="K27" s="10">
        <v>599</v>
      </c>
    </row>
  </sheetData>
  <mergeCells count="5">
    <mergeCell ref="A1:K1"/>
    <mergeCell ref="A2:B2"/>
    <mergeCell ref="D2:E2"/>
    <mergeCell ref="G2:H2"/>
    <mergeCell ref="J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075A-815D-4026-B245-35FC5F86D0A9}">
  <dimension ref="A1:K25"/>
  <sheetViews>
    <sheetView workbookViewId="0">
      <selection activeCell="K3" activeCellId="3" sqref="B3 E3 H3 K3"/>
    </sheetView>
  </sheetViews>
  <sheetFormatPr defaultRowHeight="15" x14ac:dyDescent="0.25"/>
  <cols>
    <col min="1" max="1" width="26.140625" bestFit="1" customWidth="1"/>
    <col min="2" max="2" width="7.5703125" bestFit="1" customWidth="1"/>
    <col min="4" max="4" width="26.140625" bestFit="1" customWidth="1"/>
    <col min="5" max="5" width="7.7109375" bestFit="1" customWidth="1"/>
    <col min="7" max="7" width="26.140625" bestFit="1" customWidth="1"/>
    <col min="8" max="8" width="7.7109375" bestFit="1" customWidth="1"/>
    <col min="10" max="10" width="26.140625" bestFit="1" customWidth="1"/>
    <col min="11" max="11" width="7.7109375" bestFit="1" customWidth="1"/>
  </cols>
  <sheetData>
    <row r="1" spans="1:11" ht="21" thickBot="1" x14ac:dyDescent="0.35">
      <c r="A1" s="100" t="s">
        <v>29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</row>
    <row r="2" spans="1:11" ht="15.75" thickBot="1" x14ac:dyDescent="0.3">
      <c r="A2" s="103" t="s">
        <v>0</v>
      </c>
      <c r="B2" s="104"/>
      <c r="D2" s="103" t="s">
        <v>22</v>
      </c>
      <c r="E2" s="104"/>
      <c r="G2" s="103" t="s">
        <v>23</v>
      </c>
      <c r="H2" s="104"/>
      <c r="J2" s="103" t="s">
        <v>24</v>
      </c>
      <c r="K2" s="104"/>
    </row>
    <row r="3" spans="1:11" x14ac:dyDescent="0.25">
      <c r="A3" s="14" t="s">
        <v>1</v>
      </c>
      <c r="B3" s="15">
        <v>36000</v>
      </c>
      <c r="D3" s="14" t="s">
        <v>1</v>
      </c>
      <c r="E3" s="15">
        <v>12000</v>
      </c>
      <c r="G3" s="14" t="s">
        <v>1</v>
      </c>
      <c r="H3" s="15">
        <v>12000</v>
      </c>
      <c r="J3" s="14" t="s">
        <v>1</v>
      </c>
      <c r="K3" s="15">
        <v>9800</v>
      </c>
    </row>
    <row r="4" spans="1:11" x14ac:dyDescent="0.25">
      <c r="A4" s="5" t="s">
        <v>2</v>
      </c>
      <c r="B4" s="6">
        <f>SUM(B8:B25)</f>
        <v>632558</v>
      </c>
      <c r="D4" s="5" t="s">
        <v>2</v>
      </c>
      <c r="E4" s="6">
        <f>SUM(E8:E25)</f>
        <v>280327</v>
      </c>
      <c r="G4" s="5" t="s">
        <v>2</v>
      </c>
      <c r="H4" s="6">
        <f>SUM(H8:H25)</f>
        <v>235957</v>
      </c>
      <c r="J4" s="5" t="s">
        <v>2</v>
      </c>
      <c r="K4" s="6">
        <f>SUM(K8:K25)</f>
        <v>189026</v>
      </c>
    </row>
    <row r="5" spans="1:11" x14ac:dyDescent="0.25">
      <c r="A5" s="5" t="s">
        <v>3</v>
      </c>
      <c r="B5" s="3">
        <f>B3/B4</f>
        <v>5.6911777259950863E-2</v>
      </c>
      <c r="C5" s="7"/>
      <c r="D5" s="5" t="s">
        <v>3</v>
      </c>
      <c r="E5" s="3">
        <f>E3/E4</f>
        <v>4.2807150220991914E-2</v>
      </c>
      <c r="F5" s="7"/>
      <c r="G5" s="5" t="s">
        <v>3</v>
      </c>
      <c r="H5" s="3">
        <f>H3/H4</f>
        <v>5.0856723894607915E-2</v>
      </c>
      <c r="J5" s="5" t="s">
        <v>3</v>
      </c>
      <c r="K5" s="3">
        <f>K3/K4</f>
        <v>5.1844719773999341E-2</v>
      </c>
    </row>
    <row r="6" spans="1:11" ht="15.75" thickBot="1" x14ac:dyDescent="0.3">
      <c r="A6" s="2"/>
      <c r="B6" s="2"/>
      <c r="D6" s="2"/>
      <c r="E6" s="2"/>
      <c r="G6" s="2"/>
      <c r="H6" s="2"/>
      <c r="J6" s="2"/>
      <c r="K6" s="2"/>
    </row>
    <row r="7" spans="1:11" ht="15.75" thickBot="1" x14ac:dyDescent="0.3">
      <c r="A7" s="105" t="s">
        <v>30</v>
      </c>
      <c r="B7" s="105"/>
      <c r="C7" s="17"/>
      <c r="D7" s="105" t="s">
        <v>30</v>
      </c>
      <c r="E7" s="105"/>
      <c r="F7" s="17"/>
      <c r="G7" s="105" t="s">
        <v>30</v>
      </c>
      <c r="H7" s="105"/>
      <c r="I7" s="17"/>
      <c r="J7" s="105" t="s">
        <v>30</v>
      </c>
      <c r="K7" s="105"/>
    </row>
    <row r="8" spans="1:11" ht="15.75" thickBot="1" x14ac:dyDescent="0.3">
      <c r="A8" s="2" t="s">
        <v>8</v>
      </c>
      <c r="B8" s="12">
        <v>78086</v>
      </c>
      <c r="C8" s="17"/>
      <c r="D8" s="2" t="s">
        <v>8</v>
      </c>
      <c r="E8" s="12">
        <v>32800</v>
      </c>
      <c r="F8" s="17"/>
      <c r="G8" s="2" t="s">
        <v>8</v>
      </c>
      <c r="H8" s="12">
        <v>24284</v>
      </c>
      <c r="I8" s="17"/>
      <c r="J8" s="2" t="s">
        <v>8</v>
      </c>
      <c r="K8" s="12">
        <v>31192</v>
      </c>
    </row>
    <row r="9" spans="1:11" ht="15.75" thickBot="1" x14ac:dyDescent="0.3">
      <c r="A9" s="2" t="s">
        <v>9</v>
      </c>
      <c r="B9" s="12">
        <v>40497</v>
      </c>
      <c r="C9" s="17"/>
      <c r="D9" s="2" t="s">
        <v>9</v>
      </c>
      <c r="E9" s="12">
        <v>17430</v>
      </c>
      <c r="F9" s="17"/>
      <c r="G9" s="2" t="s">
        <v>9</v>
      </c>
      <c r="H9" s="12">
        <v>12038</v>
      </c>
      <c r="I9" s="17"/>
      <c r="J9" s="2" t="s">
        <v>12</v>
      </c>
      <c r="K9" s="12">
        <v>17394</v>
      </c>
    </row>
    <row r="10" spans="1:11" ht="15.75" thickBot="1" x14ac:dyDescent="0.3">
      <c r="A10" s="2" t="s">
        <v>10</v>
      </c>
      <c r="B10" s="12">
        <v>37750</v>
      </c>
      <c r="C10" s="17"/>
      <c r="D10" s="2" t="s">
        <v>10</v>
      </c>
      <c r="E10" s="12">
        <v>16008</v>
      </c>
      <c r="F10" s="17"/>
      <c r="G10" s="2" t="s">
        <v>10</v>
      </c>
      <c r="H10" s="12">
        <v>10894</v>
      </c>
      <c r="I10" s="17"/>
      <c r="J10" s="2" t="s">
        <v>10</v>
      </c>
      <c r="K10" s="12">
        <v>12074</v>
      </c>
    </row>
    <row r="11" spans="1:11" ht="15.75" thickBot="1" x14ac:dyDescent="0.3">
      <c r="A11" s="2" t="s">
        <v>12</v>
      </c>
      <c r="B11" s="12">
        <v>35602</v>
      </c>
      <c r="C11" s="17"/>
      <c r="D11" s="2" t="s">
        <v>12</v>
      </c>
      <c r="E11" s="12">
        <v>15766</v>
      </c>
      <c r="F11" s="17"/>
      <c r="G11" s="2" t="s">
        <v>12</v>
      </c>
      <c r="H11" s="12">
        <v>10856</v>
      </c>
      <c r="I11" s="17"/>
      <c r="J11" s="2" t="s">
        <v>9</v>
      </c>
      <c r="K11" s="12">
        <v>11878</v>
      </c>
    </row>
    <row r="12" spans="1:11" ht="15.75" thickBot="1" x14ac:dyDescent="0.3">
      <c r="A12" s="2" t="s">
        <v>26</v>
      </c>
      <c r="B12" s="12">
        <v>27771</v>
      </c>
      <c r="C12" s="17"/>
      <c r="D12" s="2" t="s">
        <v>26</v>
      </c>
      <c r="E12" s="12">
        <v>12124</v>
      </c>
      <c r="F12" s="17"/>
      <c r="G12" s="2" t="s">
        <v>26</v>
      </c>
      <c r="H12" s="12">
        <v>8239</v>
      </c>
      <c r="I12" s="17"/>
      <c r="J12" s="2" t="s">
        <v>13</v>
      </c>
      <c r="K12" s="12">
        <v>9501</v>
      </c>
    </row>
    <row r="13" spans="1:11" ht="15.75" thickBot="1" x14ac:dyDescent="0.3">
      <c r="A13" s="2" t="s">
        <v>11</v>
      </c>
      <c r="B13" s="12">
        <v>26434</v>
      </c>
      <c r="C13" s="17"/>
      <c r="D13" s="2" t="s">
        <v>11</v>
      </c>
      <c r="E13" s="12">
        <v>11556</v>
      </c>
      <c r="F13" s="17"/>
      <c r="G13" s="2" t="s">
        <v>11</v>
      </c>
      <c r="H13" s="12">
        <v>7361</v>
      </c>
      <c r="I13" s="17"/>
      <c r="J13" s="2" t="s">
        <v>11</v>
      </c>
      <c r="K13" s="12">
        <v>9150</v>
      </c>
    </row>
    <row r="14" spans="1:11" ht="15.75" thickBot="1" x14ac:dyDescent="0.3">
      <c r="A14" s="2" t="s">
        <v>13</v>
      </c>
      <c r="B14" s="12">
        <v>22758</v>
      </c>
      <c r="C14" s="17"/>
      <c r="D14" s="2" t="s">
        <v>13</v>
      </c>
      <c r="E14" s="12">
        <v>9522</v>
      </c>
      <c r="F14" s="17"/>
      <c r="G14" s="2" t="s">
        <v>13</v>
      </c>
      <c r="H14" s="12">
        <v>6962</v>
      </c>
      <c r="I14" s="17"/>
      <c r="J14" s="2" t="s">
        <v>14</v>
      </c>
      <c r="K14" s="12">
        <v>7501</v>
      </c>
    </row>
    <row r="15" spans="1:11" ht="15.75" thickBot="1" x14ac:dyDescent="0.3">
      <c r="A15" s="2" t="s">
        <v>14</v>
      </c>
      <c r="B15" s="12">
        <v>21295</v>
      </c>
      <c r="C15" s="17"/>
      <c r="D15" s="2" t="s">
        <v>14</v>
      </c>
      <c r="E15" s="12">
        <v>9058</v>
      </c>
      <c r="F15" s="17"/>
      <c r="G15" s="2" t="s">
        <v>14</v>
      </c>
      <c r="H15" s="12">
        <v>6641</v>
      </c>
      <c r="I15" s="17"/>
      <c r="J15" s="2" t="s">
        <v>26</v>
      </c>
      <c r="K15" s="12">
        <v>7435</v>
      </c>
    </row>
    <row r="16" spans="1:11" ht="15.75" thickBot="1" x14ac:dyDescent="0.3">
      <c r="A16" s="2" t="s">
        <v>27</v>
      </c>
      <c r="B16" s="12">
        <v>10439</v>
      </c>
      <c r="C16" s="17"/>
      <c r="D16" s="2" t="s">
        <v>27</v>
      </c>
      <c r="E16" s="12">
        <v>4730</v>
      </c>
      <c r="F16" s="17"/>
      <c r="G16" s="2" t="s">
        <v>27</v>
      </c>
      <c r="H16" s="12">
        <v>3209</v>
      </c>
      <c r="I16" s="17"/>
      <c r="J16" s="2" t="s">
        <v>27</v>
      </c>
      <c r="K16" s="12">
        <v>3985</v>
      </c>
    </row>
    <row r="17" spans="1:11" ht="15.75" thickBot="1" x14ac:dyDescent="0.3">
      <c r="A17" s="2" t="s">
        <v>15</v>
      </c>
      <c r="B17" s="12">
        <v>9034</v>
      </c>
      <c r="C17" s="17"/>
      <c r="D17" s="2" t="s">
        <v>15</v>
      </c>
      <c r="E17" s="12">
        <v>4444</v>
      </c>
      <c r="F17" s="17"/>
      <c r="G17" s="2" t="s">
        <v>15</v>
      </c>
      <c r="H17" s="12">
        <v>3194</v>
      </c>
      <c r="I17" s="17"/>
      <c r="J17" s="2" t="s">
        <v>18</v>
      </c>
      <c r="K17" s="12">
        <v>3605</v>
      </c>
    </row>
    <row r="18" spans="1:11" ht="15.75" thickBot="1" x14ac:dyDescent="0.3">
      <c r="A18" s="2" t="s">
        <v>28</v>
      </c>
      <c r="B18" s="12">
        <v>7307</v>
      </c>
      <c r="C18" s="17"/>
      <c r="D18" s="2" t="s">
        <v>18</v>
      </c>
      <c r="E18" s="12">
        <v>3402</v>
      </c>
      <c r="F18" s="17"/>
      <c r="G18" s="2" t="s">
        <v>18</v>
      </c>
      <c r="H18" s="12">
        <v>2532</v>
      </c>
      <c r="I18" s="17"/>
      <c r="J18" s="2" t="s">
        <v>15</v>
      </c>
      <c r="K18" s="12">
        <v>2578</v>
      </c>
    </row>
    <row r="19" spans="1:11" ht="15.75" thickBot="1" x14ac:dyDescent="0.3">
      <c r="A19" s="2" t="s">
        <v>18</v>
      </c>
      <c r="B19" s="12">
        <v>6988</v>
      </c>
      <c r="C19" s="17"/>
      <c r="D19" s="2" t="s">
        <v>28</v>
      </c>
      <c r="E19" s="12">
        <v>3346</v>
      </c>
      <c r="F19" s="17"/>
      <c r="G19" s="2" t="s">
        <v>28</v>
      </c>
      <c r="H19" s="12">
        <v>2080</v>
      </c>
      <c r="I19" s="17"/>
      <c r="J19" s="2" t="s">
        <v>28</v>
      </c>
      <c r="K19" s="12">
        <v>2400</v>
      </c>
    </row>
    <row r="20" spans="1:11" ht="15.75" thickBot="1" x14ac:dyDescent="0.3">
      <c r="A20" s="2" t="s">
        <v>16</v>
      </c>
      <c r="B20" s="12">
        <v>4648</v>
      </c>
      <c r="C20" s="17"/>
      <c r="D20" s="2" t="s">
        <v>16</v>
      </c>
      <c r="E20" s="12">
        <v>2266</v>
      </c>
      <c r="F20" s="17"/>
      <c r="G20" s="2" t="s">
        <v>17</v>
      </c>
      <c r="H20" s="12">
        <v>1452</v>
      </c>
      <c r="I20" s="17"/>
      <c r="J20" s="2" t="s">
        <v>16</v>
      </c>
      <c r="K20" s="12">
        <v>2083</v>
      </c>
    </row>
    <row r="21" spans="1:11" ht="15.75" thickBot="1" x14ac:dyDescent="0.3">
      <c r="A21" s="2" t="s">
        <v>17</v>
      </c>
      <c r="B21" s="12">
        <v>4591</v>
      </c>
      <c r="C21" s="17"/>
      <c r="D21" s="2" t="s">
        <v>17</v>
      </c>
      <c r="E21" s="12">
        <v>2136</v>
      </c>
      <c r="F21" s="17"/>
      <c r="G21" s="2" t="s">
        <v>16</v>
      </c>
      <c r="H21" s="12">
        <v>1425</v>
      </c>
      <c r="I21" s="17"/>
      <c r="J21" s="2" t="s">
        <v>17</v>
      </c>
      <c r="K21" s="12">
        <v>1959</v>
      </c>
    </row>
    <row r="22" spans="1:11" ht="15.75" thickBot="1" x14ac:dyDescent="0.3">
      <c r="A22" s="2" t="s">
        <v>20</v>
      </c>
      <c r="B22" s="12">
        <v>3456</v>
      </c>
      <c r="C22" s="17"/>
      <c r="D22" s="2" t="s">
        <v>20</v>
      </c>
      <c r="E22" s="12">
        <v>1450</v>
      </c>
      <c r="F22" s="17"/>
      <c r="G22" s="2" t="s">
        <v>20</v>
      </c>
      <c r="H22" s="12">
        <v>982</v>
      </c>
      <c r="I22" s="17"/>
      <c r="J22" s="2" t="s">
        <v>20</v>
      </c>
      <c r="K22" s="12">
        <v>1331</v>
      </c>
    </row>
    <row r="23" spans="1:11" ht="15.75" thickBot="1" x14ac:dyDescent="0.3">
      <c r="A23" s="2" t="s">
        <v>19</v>
      </c>
      <c r="B23" s="12">
        <v>2505</v>
      </c>
      <c r="C23" s="17"/>
      <c r="D23" s="2" t="s">
        <v>19</v>
      </c>
      <c r="E23" s="12">
        <v>1238</v>
      </c>
      <c r="F23" s="17"/>
      <c r="G23" s="2" t="s">
        <v>19</v>
      </c>
      <c r="H23" s="12">
        <v>944</v>
      </c>
      <c r="I23" s="17"/>
      <c r="J23" s="2" t="s">
        <v>19</v>
      </c>
      <c r="K23" s="12">
        <v>751</v>
      </c>
    </row>
    <row r="24" spans="1:11" ht="15.75" thickBot="1" x14ac:dyDescent="0.3">
      <c r="A24" s="2" t="s">
        <v>21</v>
      </c>
      <c r="B24" s="12">
        <v>1503</v>
      </c>
      <c r="C24" s="17"/>
      <c r="D24" s="2" t="s">
        <v>21</v>
      </c>
      <c r="E24" s="12">
        <v>686</v>
      </c>
      <c r="F24" s="17"/>
      <c r="G24" s="2" t="s">
        <v>21</v>
      </c>
      <c r="H24" s="12">
        <v>479</v>
      </c>
      <c r="I24" s="17"/>
      <c r="J24" s="2" t="s">
        <v>21</v>
      </c>
      <c r="K24" s="12">
        <v>699</v>
      </c>
    </row>
    <row r="25" spans="1:11" x14ac:dyDescent="0.25">
      <c r="A25" s="2" t="s">
        <v>31</v>
      </c>
      <c r="B25" s="12">
        <v>291894</v>
      </c>
      <c r="C25" s="18"/>
      <c r="D25" s="2" t="s">
        <v>31</v>
      </c>
      <c r="E25" s="12">
        <v>132365</v>
      </c>
      <c r="F25" s="18"/>
      <c r="G25" s="2" t="s">
        <v>31</v>
      </c>
      <c r="H25" s="12">
        <v>132385</v>
      </c>
      <c r="I25" s="18"/>
      <c r="J25" s="2" t="s">
        <v>31</v>
      </c>
      <c r="K25" s="12">
        <v>63510</v>
      </c>
    </row>
  </sheetData>
  <mergeCells count="9">
    <mergeCell ref="A7:B7"/>
    <mergeCell ref="D7:E7"/>
    <mergeCell ref="G7:H7"/>
    <mergeCell ref="J7:K7"/>
    <mergeCell ref="A1:K1"/>
    <mergeCell ref="A2:B2"/>
    <mergeCell ref="D2:E2"/>
    <mergeCell ref="G2:H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049B-328B-4B08-AD71-2FEB0E71AA5E}">
  <dimension ref="A1:H28"/>
  <sheetViews>
    <sheetView workbookViewId="0">
      <selection sqref="A1:H25"/>
    </sheetView>
  </sheetViews>
  <sheetFormatPr defaultRowHeight="15" x14ac:dyDescent="0.25"/>
  <cols>
    <col min="1" max="1" width="32.42578125" customWidth="1"/>
    <col min="2" max="2" width="9" bestFit="1" customWidth="1"/>
    <col min="4" max="4" width="31.42578125" customWidth="1"/>
    <col min="5" max="5" width="7.7109375" bestFit="1" customWidth="1"/>
    <col min="7" max="7" width="31.5703125" customWidth="1"/>
    <col min="8" max="8" width="7.7109375" bestFit="1" customWidth="1"/>
  </cols>
  <sheetData>
    <row r="1" spans="1:8" ht="21" thickBot="1" x14ac:dyDescent="0.35">
      <c r="A1" s="100" t="s">
        <v>39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36000</v>
      </c>
      <c r="D3" s="14" t="s">
        <v>1</v>
      </c>
      <c r="E3" s="15">
        <v>12000</v>
      </c>
      <c r="G3" s="14" t="s">
        <v>1</v>
      </c>
      <c r="H3" s="15">
        <v>12000</v>
      </c>
    </row>
    <row r="4" spans="1:8" x14ac:dyDescent="0.25">
      <c r="A4" s="5" t="s">
        <v>2</v>
      </c>
      <c r="B4" s="6">
        <f>SUM(B8:B28)</f>
        <v>636111</v>
      </c>
      <c r="D4" s="5" t="s">
        <v>2</v>
      </c>
      <c r="E4" s="6">
        <f>SUM(E8:E28)</f>
        <v>270203</v>
      </c>
      <c r="G4" s="5" t="s">
        <v>2</v>
      </c>
      <c r="H4" s="6">
        <f>SUM(H8:H28)</f>
        <v>265504</v>
      </c>
    </row>
    <row r="5" spans="1:8" x14ac:dyDescent="0.25">
      <c r="A5" s="5" t="s">
        <v>3</v>
      </c>
      <c r="B5" s="3">
        <f>B3/B4</f>
        <v>5.6593896348278841E-2</v>
      </c>
      <c r="C5" s="7"/>
      <c r="D5" s="5" t="s">
        <v>3</v>
      </c>
      <c r="E5" s="3">
        <f>E3/E4</f>
        <v>4.4411053911318527E-2</v>
      </c>
      <c r="F5" s="7"/>
      <c r="G5" s="5" t="s">
        <v>3</v>
      </c>
      <c r="H5" s="3">
        <f>H3/H4</f>
        <v>4.5197059178016148E-2</v>
      </c>
    </row>
    <row r="6" spans="1:8" ht="15.75" thickBot="1" x14ac:dyDescent="0.3">
      <c r="A6" s="2"/>
      <c r="B6" s="2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17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8</v>
      </c>
      <c r="B8" s="19">
        <v>107256</v>
      </c>
      <c r="C8" s="17"/>
      <c r="D8" s="2" t="s">
        <v>8</v>
      </c>
      <c r="E8" s="11">
        <v>63412</v>
      </c>
      <c r="F8" s="17"/>
      <c r="G8" s="2" t="s">
        <v>8</v>
      </c>
      <c r="H8" s="11">
        <v>62386</v>
      </c>
    </row>
    <row r="9" spans="1:8" ht="15.75" thickBot="1" x14ac:dyDescent="0.3">
      <c r="A9" s="13" t="s">
        <v>5</v>
      </c>
      <c r="B9" s="19">
        <v>91757</v>
      </c>
      <c r="C9" s="17"/>
      <c r="D9" s="2" t="s">
        <v>5</v>
      </c>
      <c r="E9" s="11">
        <v>47400</v>
      </c>
      <c r="F9" s="17"/>
      <c r="G9" s="2" t="s">
        <v>5</v>
      </c>
      <c r="H9" s="11">
        <v>50213</v>
      </c>
    </row>
    <row r="10" spans="1:8" ht="15.75" thickBot="1" x14ac:dyDescent="0.3">
      <c r="A10" s="13" t="s">
        <v>6</v>
      </c>
      <c r="B10" s="19">
        <v>62382</v>
      </c>
      <c r="C10" s="17"/>
      <c r="D10" s="2" t="s">
        <v>6</v>
      </c>
      <c r="E10" s="11">
        <v>33808</v>
      </c>
      <c r="F10" s="17"/>
      <c r="G10" s="2" t="s">
        <v>6</v>
      </c>
      <c r="H10" s="11">
        <v>33469</v>
      </c>
    </row>
    <row r="11" spans="1:8" ht="15.75" thickBot="1" x14ac:dyDescent="0.3">
      <c r="A11" s="13" t="s">
        <v>10</v>
      </c>
      <c r="B11" s="19">
        <v>55484</v>
      </c>
      <c r="C11" s="17"/>
      <c r="D11" s="2" t="s">
        <v>12</v>
      </c>
      <c r="E11" s="10">
        <v>18835</v>
      </c>
      <c r="F11" s="17"/>
      <c r="G11" s="2" t="s">
        <v>12</v>
      </c>
      <c r="H11" s="11">
        <v>18372</v>
      </c>
    </row>
    <row r="12" spans="1:8" ht="15.75" thickBot="1" x14ac:dyDescent="0.3">
      <c r="A12" s="13" t="s">
        <v>9</v>
      </c>
      <c r="B12" s="19">
        <v>55090</v>
      </c>
      <c r="C12" s="17"/>
      <c r="D12" s="2" t="s">
        <v>32</v>
      </c>
      <c r="E12" s="10">
        <v>14696</v>
      </c>
      <c r="F12" s="17"/>
      <c r="G12" s="2" t="s">
        <v>32</v>
      </c>
      <c r="H12" s="11">
        <v>13695</v>
      </c>
    </row>
    <row r="13" spans="1:8" ht="15.75" thickBot="1" x14ac:dyDescent="0.3">
      <c r="A13" s="13" t="s">
        <v>32</v>
      </c>
      <c r="B13" s="19">
        <v>40950</v>
      </c>
      <c r="C13" s="17"/>
      <c r="D13" s="2" t="s">
        <v>26</v>
      </c>
      <c r="E13" s="10">
        <v>14570</v>
      </c>
      <c r="F13" s="17"/>
      <c r="G13" s="2" t="s">
        <v>26</v>
      </c>
      <c r="H13" s="11">
        <v>12273</v>
      </c>
    </row>
    <row r="14" spans="1:8" ht="15.75" thickBot="1" x14ac:dyDescent="0.3">
      <c r="A14" s="13" t="s">
        <v>12</v>
      </c>
      <c r="B14" s="19">
        <v>39674</v>
      </c>
      <c r="C14" s="17"/>
      <c r="D14" s="2" t="s">
        <v>9</v>
      </c>
      <c r="E14" s="10">
        <v>13207</v>
      </c>
      <c r="F14" s="17"/>
      <c r="G14" s="2" t="s">
        <v>9</v>
      </c>
      <c r="H14" s="11">
        <v>11894</v>
      </c>
    </row>
    <row r="15" spans="1:8" ht="15.75" thickBot="1" x14ac:dyDescent="0.3">
      <c r="A15" s="13" t="s">
        <v>14</v>
      </c>
      <c r="B15" s="19">
        <v>29521</v>
      </c>
      <c r="C15" s="17"/>
      <c r="D15" s="2" t="s">
        <v>10</v>
      </c>
      <c r="E15" s="10">
        <v>10721</v>
      </c>
      <c r="F15" s="17"/>
      <c r="G15" s="2" t="s">
        <v>10</v>
      </c>
      <c r="H15" s="11">
        <v>10831</v>
      </c>
    </row>
    <row r="16" spans="1:8" ht="15.75" thickBot="1" x14ac:dyDescent="0.3">
      <c r="A16" s="13" t="s">
        <v>13</v>
      </c>
      <c r="B16" s="19">
        <v>28989</v>
      </c>
      <c r="C16" s="17"/>
      <c r="D16" s="2" t="s">
        <v>33</v>
      </c>
      <c r="E16" s="10">
        <v>9422</v>
      </c>
      <c r="F16" s="17"/>
      <c r="G16" s="2" t="s">
        <v>33</v>
      </c>
      <c r="H16" s="11">
        <v>9974</v>
      </c>
    </row>
    <row r="17" spans="1:8" ht="15.75" thickBot="1" x14ac:dyDescent="0.3">
      <c r="A17" s="13" t="s">
        <v>26</v>
      </c>
      <c r="B17" s="19">
        <v>24881</v>
      </c>
      <c r="C17" s="17"/>
      <c r="D17" s="2" t="s">
        <v>13</v>
      </c>
      <c r="E17" s="10">
        <v>8753</v>
      </c>
      <c r="F17" s="17"/>
      <c r="G17" s="2" t="s">
        <v>13</v>
      </c>
      <c r="H17" s="11">
        <v>8630</v>
      </c>
    </row>
    <row r="18" spans="1:8" ht="15.75" thickBot="1" x14ac:dyDescent="0.3">
      <c r="A18" s="13" t="s">
        <v>33</v>
      </c>
      <c r="B18" s="19">
        <v>24626</v>
      </c>
      <c r="C18" s="17"/>
      <c r="D18" s="2" t="s">
        <v>14</v>
      </c>
      <c r="E18" s="10">
        <v>6188</v>
      </c>
      <c r="F18" s="17"/>
      <c r="G18" s="2" t="s">
        <v>14</v>
      </c>
      <c r="H18" s="11">
        <v>6494</v>
      </c>
    </row>
    <row r="19" spans="1:8" ht="15.75" thickBot="1" x14ac:dyDescent="0.3">
      <c r="A19" s="13" t="s">
        <v>34</v>
      </c>
      <c r="B19" s="19">
        <v>20912</v>
      </c>
      <c r="C19" s="17"/>
      <c r="D19" s="2" t="s">
        <v>18</v>
      </c>
      <c r="E19" s="10">
        <v>5794</v>
      </c>
      <c r="F19" s="17"/>
      <c r="G19" s="2" t="s">
        <v>18</v>
      </c>
      <c r="H19" s="11">
        <v>5276</v>
      </c>
    </row>
    <row r="20" spans="1:8" ht="15.75" thickBot="1" x14ac:dyDescent="0.3">
      <c r="A20" s="13" t="s">
        <v>18</v>
      </c>
      <c r="B20" s="19">
        <v>16535</v>
      </c>
      <c r="C20" s="17"/>
      <c r="D20" s="2" t="s">
        <v>34</v>
      </c>
      <c r="E20" s="10">
        <v>4047</v>
      </c>
      <c r="F20" s="17"/>
      <c r="G20" s="2" t="s">
        <v>34</v>
      </c>
      <c r="H20" s="11">
        <v>4569</v>
      </c>
    </row>
    <row r="21" spans="1:8" ht="15.75" thickBot="1" x14ac:dyDescent="0.3">
      <c r="A21" s="13" t="s">
        <v>17</v>
      </c>
      <c r="B21" s="19">
        <v>8603</v>
      </c>
      <c r="C21" s="17"/>
      <c r="D21" s="2" t="s">
        <v>15</v>
      </c>
      <c r="E21" s="10">
        <v>3252</v>
      </c>
      <c r="F21" s="17"/>
      <c r="G21" s="2" t="s">
        <v>15</v>
      </c>
      <c r="H21" s="11">
        <v>3427</v>
      </c>
    </row>
    <row r="22" spans="1:8" ht="15.75" thickBot="1" x14ac:dyDescent="0.3">
      <c r="A22" s="13" t="s">
        <v>35</v>
      </c>
      <c r="B22" s="19">
        <v>7028</v>
      </c>
      <c r="C22" s="17"/>
      <c r="D22" s="2" t="s">
        <v>35</v>
      </c>
      <c r="E22" s="10">
        <v>3007</v>
      </c>
      <c r="F22" s="17"/>
      <c r="G22" s="2" t="s">
        <v>35</v>
      </c>
      <c r="H22" s="11">
        <v>3288</v>
      </c>
    </row>
    <row r="23" spans="1:8" ht="15.75" thickBot="1" x14ac:dyDescent="0.3">
      <c r="A23" s="13" t="s">
        <v>15</v>
      </c>
      <c r="B23" s="19">
        <v>6695</v>
      </c>
      <c r="C23" s="17"/>
      <c r="D23" s="2" t="s">
        <v>37</v>
      </c>
      <c r="E23" s="10">
        <v>2988</v>
      </c>
      <c r="F23" s="17"/>
      <c r="G23" s="2" t="s">
        <v>36</v>
      </c>
      <c r="H23" s="11">
        <v>2475</v>
      </c>
    </row>
    <row r="24" spans="1:8" ht="15.75" thickBot="1" x14ac:dyDescent="0.3">
      <c r="A24" s="13" t="s">
        <v>36</v>
      </c>
      <c r="B24" s="19">
        <v>3741</v>
      </c>
      <c r="C24" s="17"/>
      <c r="D24" s="2" t="s">
        <v>36</v>
      </c>
      <c r="E24" s="10">
        <v>2810</v>
      </c>
      <c r="F24" s="17"/>
      <c r="G24" s="2" t="s">
        <v>17</v>
      </c>
      <c r="H24" s="11">
        <v>2058</v>
      </c>
    </row>
    <row r="25" spans="1:8" x14ac:dyDescent="0.25">
      <c r="A25" s="13" t="s">
        <v>20</v>
      </c>
      <c r="B25" s="19">
        <v>3598</v>
      </c>
      <c r="C25" s="18"/>
      <c r="D25" s="2" t="s">
        <v>17</v>
      </c>
      <c r="E25" s="10">
        <v>2185</v>
      </c>
      <c r="F25" s="18"/>
      <c r="G25" s="2" t="s">
        <v>20</v>
      </c>
      <c r="H25" s="11">
        <v>1734</v>
      </c>
    </row>
    <row r="26" spans="1:8" x14ac:dyDescent="0.25">
      <c r="A26" s="13" t="s">
        <v>37</v>
      </c>
      <c r="B26" s="19">
        <v>3267</v>
      </c>
      <c r="D26" s="2" t="s">
        <v>38</v>
      </c>
      <c r="E26" s="10">
        <v>1821</v>
      </c>
      <c r="G26" s="2" t="s">
        <v>38</v>
      </c>
      <c r="H26" s="11">
        <v>1613</v>
      </c>
    </row>
    <row r="27" spans="1:8" x14ac:dyDescent="0.25">
      <c r="A27" s="13" t="s">
        <v>38</v>
      </c>
      <c r="B27" s="19">
        <v>2730</v>
      </c>
      <c r="D27" s="2" t="s">
        <v>20</v>
      </c>
      <c r="E27" s="10">
        <v>1689</v>
      </c>
      <c r="G27" s="2" t="s">
        <v>19</v>
      </c>
      <c r="H27" s="11">
        <v>1563</v>
      </c>
    </row>
    <row r="28" spans="1:8" x14ac:dyDescent="0.25">
      <c r="A28" s="13" t="s">
        <v>19</v>
      </c>
      <c r="B28" s="19">
        <v>2392</v>
      </c>
      <c r="D28" s="2" t="s">
        <v>19</v>
      </c>
      <c r="E28" s="10">
        <v>1598</v>
      </c>
      <c r="G28" s="2" t="s">
        <v>37</v>
      </c>
      <c r="H28" s="11">
        <v>1270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EAA8-DCF2-46DD-89C3-426693455368}">
  <dimension ref="A1:H28"/>
  <sheetViews>
    <sheetView workbookViewId="0">
      <selection activeCell="D10" sqref="D10"/>
    </sheetView>
  </sheetViews>
  <sheetFormatPr defaultRowHeight="15" x14ac:dyDescent="0.25"/>
  <cols>
    <col min="1" max="1" width="32.42578125" customWidth="1"/>
    <col min="2" max="2" width="9" bestFit="1" customWidth="1"/>
    <col min="4" max="4" width="31.42578125" customWidth="1"/>
    <col min="5" max="5" width="7.7109375" bestFit="1" customWidth="1"/>
    <col min="7" max="7" width="31.5703125" customWidth="1"/>
    <col min="8" max="8" width="7.7109375" bestFit="1" customWidth="1"/>
  </cols>
  <sheetData>
    <row r="1" spans="1:8" ht="21" thickBot="1" x14ac:dyDescent="0.35">
      <c r="A1" s="100" t="s">
        <v>40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36000</v>
      </c>
      <c r="D3" s="14" t="s">
        <v>1</v>
      </c>
      <c r="E3" s="15">
        <v>7100</v>
      </c>
      <c r="G3" s="14" t="s">
        <v>1</v>
      </c>
      <c r="H3" s="15">
        <v>7100</v>
      </c>
    </row>
    <row r="4" spans="1:8" x14ac:dyDescent="0.25">
      <c r="A4" s="5" t="s">
        <v>2</v>
      </c>
      <c r="B4" s="6">
        <f>SUM(B8:B28)</f>
        <v>640039</v>
      </c>
      <c r="D4" s="5" t="s">
        <v>2</v>
      </c>
      <c r="E4" s="6">
        <f>SUM(E8:E28)</f>
        <v>180157</v>
      </c>
      <c r="G4" s="5" t="s">
        <v>2</v>
      </c>
      <c r="H4" s="6">
        <f>SUM(H8:H28)</f>
        <v>230580</v>
      </c>
    </row>
    <row r="5" spans="1:8" x14ac:dyDescent="0.25">
      <c r="A5" s="5" t="s">
        <v>3</v>
      </c>
      <c r="B5" s="3">
        <f>B3/B4</f>
        <v>5.6246572474489838E-2</v>
      </c>
      <c r="C5" s="7"/>
      <c r="D5" s="5" t="s">
        <v>3</v>
      </c>
      <c r="E5" s="3">
        <f>E3/E4</f>
        <v>3.9410070105519078E-2</v>
      </c>
      <c r="F5" s="7"/>
      <c r="G5" s="5" t="s">
        <v>3</v>
      </c>
      <c r="H5" s="3">
        <f>H3/H4</f>
        <v>3.0791916037817679E-2</v>
      </c>
    </row>
    <row r="6" spans="1:8" ht="15.75" thickBot="1" x14ac:dyDescent="0.3">
      <c r="A6" s="2"/>
      <c r="B6" s="2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17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5</v>
      </c>
      <c r="B8" s="19">
        <v>165643</v>
      </c>
      <c r="C8" s="17"/>
      <c r="D8" s="2" t="s">
        <v>5</v>
      </c>
      <c r="E8" s="11">
        <v>43540</v>
      </c>
      <c r="F8" s="17"/>
      <c r="G8" s="2" t="s">
        <v>5</v>
      </c>
      <c r="H8" s="11">
        <v>62395</v>
      </c>
    </row>
    <row r="9" spans="1:8" ht="15.75" thickBot="1" x14ac:dyDescent="0.3">
      <c r="A9" s="13" t="s">
        <v>8</v>
      </c>
      <c r="B9" s="19">
        <v>77094</v>
      </c>
      <c r="C9" s="17"/>
      <c r="D9" s="2" t="s">
        <v>6</v>
      </c>
      <c r="E9" s="11">
        <v>30182</v>
      </c>
      <c r="F9" s="17"/>
      <c r="G9" s="2" t="s">
        <v>6</v>
      </c>
      <c r="H9" s="11">
        <v>40486</v>
      </c>
    </row>
    <row r="10" spans="1:8" ht="15.75" thickBot="1" x14ac:dyDescent="0.3">
      <c r="A10" s="13" t="s">
        <v>6</v>
      </c>
      <c r="B10" s="19">
        <v>74445</v>
      </c>
      <c r="C10" s="17"/>
      <c r="D10" s="2" t="s">
        <v>8</v>
      </c>
      <c r="E10" s="11">
        <v>22549</v>
      </c>
      <c r="F10" s="17"/>
      <c r="G10" s="2" t="s">
        <v>8</v>
      </c>
      <c r="H10" s="11">
        <v>24816</v>
      </c>
    </row>
    <row r="11" spans="1:8" ht="15.75" thickBot="1" x14ac:dyDescent="0.3">
      <c r="A11" s="13" t="s">
        <v>32</v>
      </c>
      <c r="B11" s="19">
        <v>40981</v>
      </c>
      <c r="C11" s="17"/>
      <c r="D11" s="2" t="s">
        <v>9</v>
      </c>
      <c r="E11" s="10">
        <v>11940</v>
      </c>
      <c r="F11" s="17"/>
      <c r="G11" s="2" t="s">
        <v>9</v>
      </c>
      <c r="H11" s="11">
        <v>16436</v>
      </c>
    </row>
    <row r="12" spans="1:8" ht="15.75" thickBot="1" x14ac:dyDescent="0.3">
      <c r="A12" s="13" t="s">
        <v>10</v>
      </c>
      <c r="B12" s="19">
        <v>40773</v>
      </c>
      <c r="C12" s="17"/>
      <c r="D12" s="2" t="s">
        <v>10</v>
      </c>
      <c r="E12" s="10">
        <v>11720</v>
      </c>
      <c r="F12" s="17"/>
      <c r="G12" s="2" t="s">
        <v>10</v>
      </c>
      <c r="H12" s="11">
        <v>15115</v>
      </c>
    </row>
    <row r="13" spans="1:8" ht="15.75" thickBot="1" x14ac:dyDescent="0.3">
      <c r="A13" s="13" t="s">
        <v>9</v>
      </c>
      <c r="B13" s="19">
        <v>37482</v>
      </c>
      <c r="C13" s="17"/>
      <c r="D13" s="2" t="s">
        <v>12</v>
      </c>
      <c r="E13" s="10">
        <v>9497</v>
      </c>
      <c r="F13" s="17"/>
      <c r="G13" s="2" t="s">
        <v>32</v>
      </c>
      <c r="H13" s="11">
        <v>12212</v>
      </c>
    </row>
    <row r="14" spans="1:8" ht="15.75" thickBot="1" x14ac:dyDescent="0.3">
      <c r="A14" s="13" t="s">
        <v>12</v>
      </c>
      <c r="B14" s="19">
        <v>30769</v>
      </c>
      <c r="C14" s="17"/>
      <c r="D14" s="2" t="s">
        <v>26</v>
      </c>
      <c r="E14" s="10">
        <v>8422</v>
      </c>
      <c r="F14" s="17"/>
      <c r="G14" s="2" t="s">
        <v>12</v>
      </c>
      <c r="H14" s="11">
        <v>11576</v>
      </c>
    </row>
    <row r="15" spans="1:8" ht="15.75" thickBot="1" x14ac:dyDescent="0.3">
      <c r="A15" s="13" t="s">
        <v>26</v>
      </c>
      <c r="B15" s="19">
        <v>26258</v>
      </c>
      <c r="C15" s="17"/>
      <c r="D15" s="2" t="s">
        <v>32</v>
      </c>
      <c r="E15" s="10">
        <v>8098</v>
      </c>
      <c r="F15" s="17"/>
      <c r="G15" s="2" t="s">
        <v>26</v>
      </c>
      <c r="H15" s="11">
        <v>11056</v>
      </c>
    </row>
    <row r="16" spans="1:8" ht="15.75" thickBot="1" x14ac:dyDescent="0.3">
      <c r="A16" s="13" t="s">
        <v>14</v>
      </c>
      <c r="B16" s="19">
        <v>26154</v>
      </c>
      <c r="C16" s="17"/>
      <c r="D16" s="2" t="s">
        <v>14</v>
      </c>
      <c r="E16" s="10">
        <v>5592</v>
      </c>
      <c r="F16" s="17"/>
      <c r="G16" s="2" t="s">
        <v>14</v>
      </c>
      <c r="H16" s="11">
        <v>6573</v>
      </c>
    </row>
    <row r="17" spans="1:8" ht="15.75" thickBot="1" x14ac:dyDescent="0.3">
      <c r="A17" s="13" t="s">
        <v>33</v>
      </c>
      <c r="B17" s="19">
        <v>23737</v>
      </c>
      <c r="C17" s="17"/>
      <c r="D17" s="2" t="s">
        <v>33</v>
      </c>
      <c r="E17" s="10">
        <v>4956</v>
      </c>
      <c r="F17" s="17"/>
      <c r="G17" s="2" t="s">
        <v>13</v>
      </c>
      <c r="H17" s="11">
        <v>5700</v>
      </c>
    </row>
    <row r="18" spans="1:8" ht="15.75" thickBot="1" x14ac:dyDescent="0.3">
      <c r="A18" s="13" t="s">
        <v>13</v>
      </c>
      <c r="B18" s="19">
        <v>23731</v>
      </c>
      <c r="C18" s="17"/>
      <c r="D18" s="2" t="s">
        <v>35</v>
      </c>
      <c r="E18" s="10">
        <v>4299</v>
      </c>
      <c r="F18" s="17"/>
      <c r="G18" s="2" t="s">
        <v>33</v>
      </c>
      <c r="H18" s="11">
        <v>5088</v>
      </c>
    </row>
    <row r="19" spans="1:8" ht="15.75" thickBot="1" x14ac:dyDescent="0.3">
      <c r="A19" s="13" t="s">
        <v>34</v>
      </c>
      <c r="B19" s="19">
        <v>20662</v>
      </c>
      <c r="C19" s="17"/>
      <c r="D19" s="2" t="s">
        <v>13</v>
      </c>
      <c r="E19" s="10">
        <v>3992</v>
      </c>
      <c r="F19" s="17"/>
      <c r="G19" s="2" t="s">
        <v>34</v>
      </c>
      <c r="H19" s="11">
        <v>4093</v>
      </c>
    </row>
    <row r="20" spans="1:8" ht="15.75" thickBot="1" x14ac:dyDescent="0.3">
      <c r="A20" s="13" t="s">
        <v>18</v>
      </c>
      <c r="B20" s="19">
        <v>17096</v>
      </c>
      <c r="C20" s="17"/>
      <c r="D20" s="2" t="s">
        <v>34</v>
      </c>
      <c r="E20" s="10">
        <v>3040</v>
      </c>
      <c r="F20" s="17"/>
      <c r="G20" s="2" t="s">
        <v>18</v>
      </c>
      <c r="H20" s="11">
        <v>2697</v>
      </c>
    </row>
    <row r="21" spans="1:8" ht="15.75" thickBot="1" x14ac:dyDescent="0.3">
      <c r="A21" s="13" t="s">
        <v>17</v>
      </c>
      <c r="B21" s="19">
        <v>8930</v>
      </c>
      <c r="C21" s="17"/>
      <c r="D21" s="2" t="s">
        <v>15</v>
      </c>
      <c r="E21" s="10">
        <v>2428</v>
      </c>
      <c r="F21" s="17"/>
      <c r="G21" s="2" t="s">
        <v>15</v>
      </c>
      <c r="H21" s="11">
        <v>2578</v>
      </c>
    </row>
    <row r="22" spans="1:8" ht="15.75" thickBot="1" x14ac:dyDescent="0.3">
      <c r="A22" s="13" t="s">
        <v>35</v>
      </c>
      <c r="B22" s="19">
        <v>6471</v>
      </c>
      <c r="C22" s="17"/>
      <c r="D22" s="2" t="s">
        <v>18</v>
      </c>
      <c r="E22" s="10">
        <v>1769</v>
      </c>
      <c r="F22" s="17"/>
      <c r="G22" s="2" t="s">
        <v>17</v>
      </c>
      <c r="H22" s="11">
        <v>2150</v>
      </c>
    </row>
    <row r="23" spans="1:8" ht="15.75" thickBot="1" x14ac:dyDescent="0.3">
      <c r="A23" s="13" t="s">
        <v>15</v>
      </c>
      <c r="B23" s="19">
        <v>4494</v>
      </c>
      <c r="C23" s="17"/>
      <c r="D23" s="2" t="s">
        <v>37</v>
      </c>
      <c r="E23" s="10">
        <v>1719</v>
      </c>
      <c r="F23" s="17"/>
      <c r="G23" s="2" t="s">
        <v>35</v>
      </c>
      <c r="H23" s="11">
        <v>1852</v>
      </c>
    </row>
    <row r="24" spans="1:8" ht="15.75" thickBot="1" x14ac:dyDescent="0.3">
      <c r="A24" s="13" t="s">
        <v>36</v>
      </c>
      <c r="B24" s="19">
        <v>4091</v>
      </c>
      <c r="C24" s="17"/>
      <c r="D24" s="2" t="s">
        <v>36</v>
      </c>
      <c r="E24" s="10">
        <v>1688</v>
      </c>
      <c r="F24" s="17"/>
      <c r="G24" s="2" t="s">
        <v>36</v>
      </c>
      <c r="H24" s="11">
        <v>1697</v>
      </c>
    </row>
    <row r="25" spans="1:8" x14ac:dyDescent="0.25">
      <c r="A25" s="13" t="s">
        <v>37</v>
      </c>
      <c r="B25" s="19">
        <v>3449</v>
      </c>
      <c r="C25" s="18"/>
      <c r="D25" s="2" t="s">
        <v>17</v>
      </c>
      <c r="E25" s="10">
        <v>1606</v>
      </c>
      <c r="F25" s="18"/>
      <c r="G25" s="2" t="s">
        <v>37</v>
      </c>
      <c r="H25" s="11">
        <v>1304</v>
      </c>
    </row>
    <row r="26" spans="1:8" x14ac:dyDescent="0.25">
      <c r="A26" s="13" t="s">
        <v>20</v>
      </c>
      <c r="B26" s="19">
        <v>2881</v>
      </c>
      <c r="D26" s="2" t="s">
        <v>19</v>
      </c>
      <c r="E26" s="10">
        <v>1201</v>
      </c>
      <c r="G26" s="2" t="s">
        <v>19</v>
      </c>
      <c r="H26" s="11">
        <v>1067</v>
      </c>
    </row>
    <row r="27" spans="1:8" x14ac:dyDescent="0.25">
      <c r="A27" s="13" t="s">
        <v>19</v>
      </c>
      <c r="B27" s="19">
        <v>2840</v>
      </c>
      <c r="D27" s="2" t="s">
        <v>38</v>
      </c>
      <c r="E27" s="10">
        <v>1142</v>
      </c>
      <c r="G27" s="2" t="s">
        <v>20</v>
      </c>
      <c r="H27" s="11">
        <v>849</v>
      </c>
    </row>
    <row r="28" spans="1:8" x14ac:dyDescent="0.25">
      <c r="A28" s="13" t="s">
        <v>38</v>
      </c>
      <c r="B28" s="19">
        <v>2058</v>
      </c>
      <c r="D28" s="2" t="s">
        <v>20</v>
      </c>
      <c r="E28" s="10">
        <v>777</v>
      </c>
      <c r="G28" s="2" t="s">
        <v>38</v>
      </c>
      <c r="H28" s="11">
        <v>840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722-7F47-4591-8317-7C3D831BFABC}">
  <dimension ref="A1:H28"/>
  <sheetViews>
    <sheetView workbookViewId="0">
      <selection activeCell="E28" sqref="E28"/>
    </sheetView>
  </sheetViews>
  <sheetFormatPr defaultColWidth="12.5703125" defaultRowHeight="15" x14ac:dyDescent="0.25"/>
  <cols>
    <col min="1" max="1" width="31.85546875" bestFit="1" customWidth="1"/>
    <col min="3" max="3" width="15.28515625" bestFit="1" customWidth="1"/>
    <col min="4" max="4" width="31.85546875" bestFit="1" customWidth="1"/>
    <col min="5" max="5" width="15.28515625" bestFit="1" customWidth="1"/>
    <col min="7" max="7" width="31.85546875" bestFit="1" customWidth="1"/>
  </cols>
  <sheetData>
    <row r="1" spans="1:8" ht="21" thickBot="1" x14ac:dyDescent="0.35">
      <c r="A1" s="100" t="s">
        <v>41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45650</v>
      </c>
      <c r="D3" s="14" t="s">
        <v>1</v>
      </c>
      <c r="E3" s="15">
        <v>15925</v>
      </c>
      <c r="G3" s="14" t="s">
        <v>1</v>
      </c>
      <c r="H3" s="15">
        <v>25135</v>
      </c>
    </row>
    <row r="4" spans="1:8" x14ac:dyDescent="0.25">
      <c r="A4" s="5" t="s">
        <v>2</v>
      </c>
      <c r="B4" s="6">
        <f>SUM(B8:B28)</f>
        <v>683925</v>
      </c>
      <c r="D4" s="5" t="s">
        <v>2</v>
      </c>
      <c r="E4" s="6">
        <f>SUM(E8:E28)</f>
        <v>540292</v>
      </c>
      <c r="G4" s="5" t="s">
        <v>2</v>
      </c>
      <c r="H4" s="6">
        <f>SUM(H8:H28)</f>
        <v>598425</v>
      </c>
    </row>
    <row r="5" spans="1:8" x14ac:dyDescent="0.25">
      <c r="A5" s="5" t="s">
        <v>3</v>
      </c>
      <c r="B5" s="3">
        <f>B3/B4</f>
        <v>6.6747084841174101E-2</v>
      </c>
      <c r="C5" s="7"/>
      <c r="D5" s="5" t="s">
        <v>3</v>
      </c>
      <c r="E5" s="3">
        <f>E3/E4</f>
        <v>2.9474802514196027E-2</v>
      </c>
      <c r="F5" s="7"/>
      <c r="G5" s="5" t="s">
        <v>3</v>
      </c>
      <c r="H5" s="3">
        <f>H3/H4</f>
        <v>4.2001921711158456E-2</v>
      </c>
    </row>
    <row r="6" spans="1:8" ht="15.75" thickBot="1" x14ac:dyDescent="0.3">
      <c r="A6" s="2"/>
      <c r="B6" s="2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17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4" t="s">
        <v>9</v>
      </c>
      <c r="B8" s="6">
        <v>34858</v>
      </c>
      <c r="C8" s="17"/>
      <c r="D8" s="4" t="s">
        <v>19</v>
      </c>
      <c r="E8" s="6">
        <v>47659</v>
      </c>
      <c r="F8" s="17"/>
      <c r="G8" s="4" t="s">
        <v>9</v>
      </c>
      <c r="H8" s="6">
        <v>47362</v>
      </c>
    </row>
    <row r="9" spans="1:8" ht="15.75" thickBot="1" x14ac:dyDescent="0.3">
      <c r="A9" s="4" t="s">
        <v>19</v>
      </c>
      <c r="B9" s="6">
        <v>2885</v>
      </c>
      <c r="C9" s="17"/>
      <c r="D9" s="4" t="s">
        <v>34</v>
      </c>
      <c r="E9" s="6">
        <v>2510</v>
      </c>
      <c r="F9" s="17"/>
      <c r="G9" s="4" t="s">
        <v>19</v>
      </c>
      <c r="H9" s="6">
        <v>4615</v>
      </c>
    </row>
    <row r="10" spans="1:8" ht="15.75" thickBot="1" x14ac:dyDescent="0.3">
      <c r="A10" s="4" t="s">
        <v>5</v>
      </c>
      <c r="B10" s="6">
        <v>154411</v>
      </c>
      <c r="C10" s="17"/>
      <c r="D10" s="4" t="s">
        <v>36</v>
      </c>
      <c r="E10" s="6">
        <v>120146</v>
      </c>
      <c r="F10" s="17"/>
      <c r="G10" s="4" t="s">
        <v>5</v>
      </c>
      <c r="H10" s="6">
        <v>122636</v>
      </c>
    </row>
    <row r="11" spans="1:8" ht="15.75" thickBot="1" x14ac:dyDescent="0.3">
      <c r="A11" s="4" t="s">
        <v>35</v>
      </c>
      <c r="B11" s="6">
        <v>6715</v>
      </c>
      <c r="C11" s="17"/>
      <c r="D11" s="4" t="s">
        <v>26</v>
      </c>
      <c r="E11" s="6">
        <v>4927</v>
      </c>
      <c r="F11" s="17"/>
      <c r="G11" s="4" t="s">
        <v>35</v>
      </c>
      <c r="H11" s="6">
        <v>15231</v>
      </c>
    </row>
    <row r="12" spans="1:8" ht="15.75" thickBot="1" x14ac:dyDescent="0.3">
      <c r="A12" s="4" t="s">
        <v>37</v>
      </c>
      <c r="B12" s="6">
        <v>8834</v>
      </c>
      <c r="C12" s="17"/>
      <c r="D12" s="4" t="s">
        <v>13</v>
      </c>
      <c r="E12" s="6">
        <v>5580</v>
      </c>
      <c r="F12" s="17"/>
      <c r="G12" s="4" t="s">
        <v>37</v>
      </c>
      <c r="H12" s="6">
        <v>5366</v>
      </c>
    </row>
    <row r="13" spans="1:8" ht="15.75" thickBot="1" x14ac:dyDescent="0.3">
      <c r="A13" s="4" t="s">
        <v>6</v>
      </c>
      <c r="B13" s="6">
        <v>111319</v>
      </c>
      <c r="C13" s="17"/>
      <c r="D13" s="4" t="s">
        <v>20</v>
      </c>
      <c r="E13" s="6">
        <v>85017</v>
      </c>
      <c r="F13" s="17"/>
      <c r="G13" s="4" t="s">
        <v>6</v>
      </c>
      <c r="H13" s="6">
        <v>85142</v>
      </c>
    </row>
    <row r="14" spans="1:8" ht="15.75" thickBot="1" x14ac:dyDescent="0.3">
      <c r="A14" s="4" t="s">
        <v>8</v>
      </c>
      <c r="B14" s="6">
        <v>62090</v>
      </c>
      <c r="C14" s="17"/>
      <c r="D14" s="4" t="s">
        <v>35</v>
      </c>
      <c r="E14" s="6">
        <v>58709</v>
      </c>
      <c r="F14" s="17"/>
      <c r="G14" s="4" t="s">
        <v>8</v>
      </c>
      <c r="H14" s="6">
        <v>55501</v>
      </c>
    </row>
    <row r="15" spans="1:8" ht="15.75" thickBot="1" x14ac:dyDescent="0.3">
      <c r="A15" s="4" t="s">
        <v>15</v>
      </c>
      <c r="B15" s="6">
        <v>8369</v>
      </c>
      <c r="C15" s="17"/>
      <c r="D15" s="4" t="s">
        <v>33</v>
      </c>
      <c r="E15" s="6">
        <v>6794</v>
      </c>
      <c r="F15" s="17"/>
      <c r="G15" s="4" t="s">
        <v>15</v>
      </c>
      <c r="H15" s="6">
        <v>7502</v>
      </c>
    </row>
    <row r="16" spans="1:8" ht="15.75" thickBot="1" x14ac:dyDescent="0.3">
      <c r="A16" s="4" t="s">
        <v>17</v>
      </c>
      <c r="B16" s="6">
        <v>8761</v>
      </c>
      <c r="C16" s="17"/>
      <c r="D16" s="4" t="s">
        <v>6</v>
      </c>
      <c r="E16" s="6">
        <v>5475</v>
      </c>
      <c r="F16" s="17"/>
      <c r="G16" s="4" t="s">
        <v>17</v>
      </c>
      <c r="H16" s="6">
        <v>9731</v>
      </c>
    </row>
    <row r="17" spans="1:8" ht="15.75" thickBot="1" x14ac:dyDescent="0.3">
      <c r="A17" s="4" t="s">
        <v>13</v>
      </c>
      <c r="B17" s="6">
        <v>30109</v>
      </c>
      <c r="C17" s="17"/>
      <c r="D17" s="4" t="s">
        <v>17</v>
      </c>
      <c r="E17" s="6">
        <v>18815</v>
      </c>
      <c r="F17" s="17"/>
      <c r="G17" s="4" t="s">
        <v>13</v>
      </c>
      <c r="H17" s="6">
        <v>21176</v>
      </c>
    </row>
    <row r="18" spans="1:8" ht="15.75" thickBot="1" x14ac:dyDescent="0.3">
      <c r="A18" s="4" t="s">
        <v>26</v>
      </c>
      <c r="B18" s="6">
        <v>30007</v>
      </c>
      <c r="C18" s="17"/>
      <c r="D18" s="4" t="s">
        <v>10</v>
      </c>
      <c r="E18" s="6">
        <v>30331</v>
      </c>
      <c r="F18" s="17"/>
      <c r="G18" s="4" t="s">
        <v>26</v>
      </c>
      <c r="H18" s="6">
        <v>24123</v>
      </c>
    </row>
    <row r="19" spans="1:8" ht="15.75" thickBot="1" x14ac:dyDescent="0.3">
      <c r="A19" s="4" t="s">
        <v>12</v>
      </c>
      <c r="B19" s="6">
        <v>32532</v>
      </c>
      <c r="C19" s="17"/>
      <c r="D19" s="4" t="s">
        <v>5</v>
      </c>
      <c r="E19" s="6">
        <v>26130</v>
      </c>
      <c r="F19" s="17"/>
      <c r="G19" s="4" t="s">
        <v>12</v>
      </c>
      <c r="H19" s="6">
        <v>44235</v>
      </c>
    </row>
    <row r="20" spans="1:8" ht="15.75" thickBot="1" x14ac:dyDescent="0.3">
      <c r="A20" s="4" t="s">
        <v>38</v>
      </c>
      <c r="B20" s="6">
        <v>7030</v>
      </c>
      <c r="C20" s="17"/>
      <c r="D20" s="4" t="s">
        <v>37</v>
      </c>
      <c r="E20" s="4">
        <v>1893</v>
      </c>
      <c r="F20" s="17"/>
      <c r="G20" s="4" t="s">
        <v>38</v>
      </c>
      <c r="H20" s="6">
        <v>12899</v>
      </c>
    </row>
    <row r="21" spans="1:8" ht="15.75" thickBot="1" x14ac:dyDescent="0.3">
      <c r="A21" s="4" t="s">
        <v>34</v>
      </c>
      <c r="B21" s="6">
        <v>15109</v>
      </c>
      <c r="C21" s="17"/>
      <c r="D21" s="4" t="s">
        <v>38</v>
      </c>
      <c r="E21" s="6">
        <v>11141</v>
      </c>
      <c r="F21" s="17"/>
      <c r="G21" s="4" t="s">
        <v>34</v>
      </c>
      <c r="H21" s="6">
        <v>18720</v>
      </c>
    </row>
    <row r="22" spans="1:8" ht="15.75" thickBot="1" x14ac:dyDescent="0.3">
      <c r="A22" s="4" t="s">
        <v>20</v>
      </c>
      <c r="B22" s="6">
        <v>7332</v>
      </c>
      <c r="C22" s="17"/>
      <c r="D22" s="4" t="s">
        <v>9</v>
      </c>
      <c r="E22" s="6">
        <v>2583</v>
      </c>
      <c r="F22" s="17"/>
      <c r="G22" s="4" t="s">
        <v>20</v>
      </c>
      <c r="H22" s="6">
        <v>4645</v>
      </c>
    </row>
    <row r="23" spans="1:8" ht="15.75" thickBot="1" x14ac:dyDescent="0.3">
      <c r="A23" s="4" t="s">
        <v>14</v>
      </c>
      <c r="B23" s="6">
        <v>32228</v>
      </c>
      <c r="C23" s="17"/>
      <c r="D23" s="4" t="s">
        <v>32</v>
      </c>
      <c r="E23" s="6">
        <v>17890</v>
      </c>
      <c r="F23" s="17"/>
      <c r="G23" s="4" t="s">
        <v>14</v>
      </c>
      <c r="H23" s="6">
        <v>25068</v>
      </c>
    </row>
    <row r="24" spans="1:8" ht="15.75" thickBot="1" x14ac:dyDescent="0.3">
      <c r="A24" s="4" t="s">
        <v>10</v>
      </c>
      <c r="B24" s="6">
        <v>45450</v>
      </c>
      <c r="C24" s="17"/>
      <c r="D24" s="4" t="s">
        <v>18</v>
      </c>
      <c r="E24" s="6">
        <v>45164</v>
      </c>
      <c r="F24" s="17"/>
      <c r="G24" s="4" t="s">
        <v>10</v>
      </c>
      <c r="H24" s="6">
        <v>38580</v>
      </c>
    </row>
    <row r="25" spans="1:8" x14ac:dyDescent="0.25">
      <c r="A25" s="4" t="s">
        <v>36</v>
      </c>
      <c r="B25" s="6">
        <v>5716</v>
      </c>
      <c r="C25" s="18"/>
      <c r="D25" s="4" t="s">
        <v>12</v>
      </c>
      <c r="E25" s="6">
        <v>4012</v>
      </c>
      <c r="F25" s="18"/>
      <c r="G25" s="4" t="s">
        <v>36</v>
      </c>
      <c r="H25" s="6">
        <v>5106</v>
      </c>
    </row>
    <row r="26" spans="1:8" x14ac:dyDescent="0.25">
      <c r="A26" s="4" t="s">
        <v>18</v>
      </c>
      <c r="B26" s="6">
        <v>17845</v>
      </c>
      <c r="D26" s="4" t="s">
        <v>8</v>
      </c>
      <c r="E26" s="6">
        <v>7604</v>
      </c>
      <c r="G26" s="4" t="s">
        <v>18</v>
      </c>
      <c r="H26" s="6">
        <v>7488</v>
      </c>
    </row>
    <row r="27" spans="1:8" x14ac:dyDescent="0.25">
      <c r="A27" s="4" t="s">
        <v>32</v>
      </c>
      <c r="B27" s="6">
        <v>39094</v>
      </c>
      <c r="D27" s="4" t="s">
        <v>15</v>
      </c>
      <c r="E27" s="6">
        <v>27906</v>
      </c>
      <c r="G27" s="4" t="s">
        <v>32</v>
      </c>
      <c r="H27" s="6">
        <v>27551</v>
      </c>
    </row>
    <row r="28" spans="1:8" x14ac:dyDescent="0.25">
      <c r="A28" s="4" t="s">
        <v>33</v>
      </c>
      <c r="B28" s="6">
        <v>23231</v>
      </c>
      <c r="D28" s="4" t="s">
        <v>14</v>
      </c>
      <c r="E28" s="6">
        <v>10006</v>
      </c>
      <c r="G28" s="4" t="s">
        <v>33</v>
      </c>
      <c r="H28" s="6">
        <v>15748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C7E2-7163-4C15-89A7-027195AC860D}">
  <dimension ref="A1:H21"/>
  <sheetViews>
    <sheetView workbookViewId="0">
      <selection activeCell="D12" sqref="A11:D12"/>
    </sheetView>
  </sheetViews>
  <sheetFormatPr defaultColWidth="12.5703125" defaultRowHeight="15" x14ac:dyDescent="0.25"/>
  <cols>
    <col min="1" max="1" width="31.85546875" bestFit="1" customWidth="1"/>
    <col min="3" max="3" width="15.28515625" bestFit="1" customWidth="1"/>
    <col min="4" max="4" width="31.85546875" bestFit="1" customWidth="1"/>
    <col min="5" max="5" width="15.28515625" bestFit="1" customWidth="1"/>
    <col min="7" max="7" width="31.85546875" bestFit="1" customWidth="1"/>
  </cols>
  <sheetData>
    <row r="1" spans="1:8" ht="21" thickBot="1" x14ac:dyDescent="0.35">
      <c r="A1" s="100" t="s">
        <v>55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54870</v>
      </c>
      <c r="C3" s="20"/>
      <c r="D3" s="14" t="s">
        <v>1</v>
      </c>
      <c r="E3" s="15">
        <v>32045</v>
      </c>
      <c r="G3" s="14" t="s">
        <v>1</v>
      </c>
      <c r="H3" s="15">
        <v>22835</v>
      </c>
    </row>
    <row r="4" spans="1:8" x14ac:dyDescent="0.25">
      <c r="A4" s="5" t="s">
        <v>2</v>
      </c>
      <c r="B4" s="6">
        <f>SUM(B8:B21)</f>
        <v>760260</v>
      </c>
      <c r="C4" s="20"/>
      <c r="D4" s="5" t="s">
        <v>2</v>
      </c>
      <c r="E4" s="6">
        <f>SUM(E8:E21)</f>
        <v>443977</v>
      </c>
      <c r="G4" s="5" t="s">
        <v>2</v>
      </c>
      <c r="H4" s="6">
        <f>SUM(H8:H21)</f>
        <v>316169</v>
      </c>
    </row>
    <row r="5" spans="1:8" x14ac:dyDescent="0.25">
      <c r="A5" s="5" t="s">
        <v>3</v>
      </c>
      <c r="B5" s="3">
        <f>B3/B4</f>
        <v>7.2172677768131951E-2</v>
      </c>
      <c r="C5" s="21"/>
      <c r="D5" s="5" t="s">
        <v>3</v>
      </c>
      <c r="E5" s="3">
        <f>E3/E4</f>
        <v>7.217716233048109E-2</v>
      </c>
      <c r="F5" s="7"/>
      <c r="G5" s="5" t="s">
        <v>3</v>
      </c>
      <c r="H5" s="3">
        <f>H3/H4</f>
        <v>7.2224032084106923E-2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4" t="s">
        <v>42</v>
      </c>
      <c r="B8" s="6">
        <v>225113</v>
      </c>
      <c r="C8" s="22"/>
      <c r="D8" s="4" t="s">
        <v>42</v>
      </c>
      <c r="E8" s="6">
        <v>131514</v>
      </c>
      <c r="F8" s="17"/>
      <c r="G8" s="4" t="s">
        <v>42</v>
      </c>
      <c r="H8" s="6">
        <v>93181</v>
      </c>
    </row>
    <row r="9" spans="1:8" ht="15.75" thickBot="1" x14ac:dyDescent="0.3">
      <c r="A9" s="4" t="s">
        <v>43</v>
      </c>
      <c r="B9" s="6">
        <v>87659</v>
      </c>
      <c r="C9" s="22"/>
      <c r="D9" s="4" t="s">
        <v>46</v>
      </c>
      <c r="E9" s="6">
        <v>50811</v>
      </c>
      <c r="F9" s="17"/>
      <c r="G9" s="4" t="s">
        <v>44</v>
      </c>
      <c r="H9" s="6">
        <v>36366</v>
      </c>
    </row>
    <row r="10" spans="1:8" ht="15.75" thickBot="1" x14ac:dyDescent="0.3">
      <c r="A10" s="4" t="s">
        <v>44</v>
      </c>
      <c r="B10" s="6">
        <v>85883</v>
      </c>
      <c r="C10" s="22"/>
      <c r="D10" s="4" t="s">
        <v>44</v>
      </c>
      <c r="E10" s="6">
        <v>50361</v>
      </c>
      <c r="F10" s="17"/>
      <c r="G10" s="4" t="s">
        <v>43</v>
      </c>
      <c r="H10" s="6">
        <v>36084</v>
      </c>
    </row>
    <row r="11" spans="1:8" ht="15.75" thickBot="1" x14ac:dyDescent="0.3">
      <c r="A11" s="4" t="s">
        <v>45</v>
      </c>
      <c r="B11" s="6">
        <v>83311</v>
      </c>
      <c r="C11" s="22"/>
      <c r="D11" s="4" t="s">
        <v>43</v>
      </c>
      <c r="E11" s="6">
        <v>49645</v>
      </c>
      <c r="F11" s="17"/>
      <c r="G11" s="4" t="s">
        <v>46</v>
      </c>
      <c r="H11" s="6">
        <v>35580</v>
      </c>
    </row>
    <row r="12" spans="1:8" ht="15.75" thickBot="1" x14ac:dyDescent="0.3">
      <c r="A12" s="4" t="s">
        <v>46</v>
      </c>
      <c r="B12" s="6">
        <v>80315</v>
      </c>
      <c r="C12" s="22"/>
      <c r="D12" s="4" t="s">
        <v>45</v>
      </c>
      <c r="E12" s="6">
        <v>47381</v>
      </c>
      <c r="F12" s="17"/>
      <c r="G12" s="4" t="s">
        <v>45</v>
      </c>
      <c r="H12" s="6">
        <v>34328</v>
      </c>
    </row>
    <row r="13" spans="1:8" ht="15.75" thickBot="1" x14ac:dyDescent="0.3">
      <c r="A13" s="4" t="s">
        <v>47</v>
      </c>
      <c r="B13" s="6">
        <v>52694</v>
      </c>
      <c r="C13" s="22"/>
      <c r="D13" s="4" t="s">
        <v>47</v>
      </c>
      <c r="E13" s="6">
        <v>29785</v>
      </c>
      <c r="F13" s="17"/>
      <c r="G13" s="4" t="s">
        <v>47</v>
      </c>
      <c r="H13" s="6">
        <v>21374</v>
      </c>
    </row>
    <row r="14" spans="1:8" ht="15.75" thickBot="1" x14ac:dyDescent="0.3">
      <c r="A14" s="4" t="s">
        <v>48</v>
      </c>
      <c r="B14" s="6">
        <v>30342</v>
      </c>
      <c r="C14" s="22"/>
      <c r="D14" s="4" t="s">
        <v>48</v>
      </c>
      <c r="E14" s="6">
        <v>17438</v>
      </c>
      <c r="F14" s="17"/>
      <c r="G14" s="4" t="s">
        <v>48</v>
      </c>
      <c r="H14" s="6">
        <v>12379</v>
      </c>
    </row>
    <row r="15" spans="1:8" ht="15.75" thickBot="1" x14ac:dyDescent="0.3">
      <c r="A15" s="4" t="s">
        <v>49</v>
      </c>
      <c r="B15" s="6">
        <v>28285</v>
      </c>
      <c r="C15" s="22"/>
      <c r="D15" s="4" t="s">
        <v>51</v>
      </c>
      <c r="E15" s="6">
        <v>15054</v>
      </c>
      <c r="F15" s="17"/>
      <c r="G15" s="4" t="s">
        <v>51</v>
      </c>
      <c r="H15" s="6">
        <v>10105</v>
      </c>
    </row>
    <row r="16" spans="1:8" ht="15.75" thickBot="1" x14ac:dyDescent="0.3">
      <c r="A16" s="4" t="s">
        <v>50</v>
      </c>
      <c r="B16" s="6">
        <v>22817</v>
      </c>
      <c r="C16" s="22"/>
      <c r="D16" s="4" t="s">
        <v>49</v>
      </c>
      <c r="E16" s="6">
        <v>14349</v>
      </c>
      <c r="F16" s="17"/>
      <c r="G16" s="4" t="s">
        <v>49</v>
      </c>
      <c r="H16" s="6">
        <v>9846</v>
      </c>
    </row>
    <row r="17" spans="1:8" ht="15.75" thickBot="1" x14ac:dyDescent="0.3">
      <c r="A17" s="4" t="s">
        <v>51</v>
      </c>
      <c r="B17" s="6">
        <v>22378</v>
      </c>
      <c r="C17" s="22"/>
      <c r="D17" s="4" t="s">
        <v>50</v>
      </c>
      <c r="E17" s="6">
        <v>13109</v>
      </c>
      <c r="F17" s="17"/>
      <c r="G17" s="4" t="s">
        <v>50</v>
      </c>
      <c r="H17" s="6">
        <v>9014</v>
      </c>
    </row>
    <row r="18" spans="1:8" ht="15.75" thickBot="1" x14ac:dyDescent="0.3">
      <c r="A18" s="4" t="s">
        <v>52</v>
      </c>
      <c r="B18" s="6">
        <v>14275</v>
      </c>
      <c r="C18" s="22"/>
      <c r="D18" s="4" t="s">
        <v>52</v>
      </c>
      <c r="E18" s="6">
        <v>8129</v>
      </c>
      <c r="F18" s="17"/>
      <c r="G18" s="4" t="s">
        <v>52</v>
      </c>
      <c r="H18" s="6">
        <v>5935</v>
      </c>
    </row>
    <row r="19" spans="1:8" ht="15.75" thickBot="1" x14ac:dyDescent="0.3">
      <c r="A19" s="4" t="s">
        <v>53</v>
      </c>
      <c r="B19" s="6">
        <v>10001</v>
      </c>
      <c r="C19" s="22"/>
      <c r="D19" s="4" t="s">
        <v>53</v>
      </c>
      <c r="E19" s="6">
        <v>6368</v>
      </c>
      <c r="F19" s="17"/>
      <c r="G19" s="4" t="s">
        <v>53</v>
      </c>
      <c r="H19" s="6">
        <v>4604</v>
      </c>
    </row>
    <row r="20" spans="1:8" ht="15.75" thickBot="1" x14ac:dyDescent="0.3">
      <c r="A20" s="4" t="s">
        <v>54</v>
      </c>
      <c r="B20" s="6">
        <v>9602</v>
      </c>
      <c r="C20" s="22"/>
      <c r="D20" s="4" t="s">
        <v>54</v>
      </c>
      <c r="E20" s="4">
        <v>5808</v>
      </c>
      <c r="F20" s="17"/>
      <c r="G20" s="4" t="s">
        <v>54</v>
      </c>
      <c r="H20" s="6">
        <v>4330</v>
      </c>
    </row>
    <row r="21" spans="1:8" ht="15.75" thickBot="1" x14ac:dyDescent="0.3">
      <c r="A21" s="4" t="s">
        <v>31</v>
      </c>
      <c r="B21" s="6">
        <v>7585</v>
      </c>
      <c r="C21" s="22"/>
      <c r="D21" s="4" t="s">
        <v>31</v>
      </c>
      <c r="E21" s="6">
        <v>4225</v>
      </c>
      <c r="F21" s="17"/>
      <c r="G21" s="4" t="s">
        <v>31</v>
      </c>
      <c r="H21" s="6">
        <v>3043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0B13-ACF5-4769-AD54-0EDE5B6FBB2C}">
  <dimension ref="A1:H29"/>
  <sheetViews>
    <sheetView workbookViewId="0">
      <selection activeCell="N16" sqref="N16"/>
    </sheetView>
  </sheetViews>
  <sheetFormatPr defaultColWidth="12.5703125" defaultRowHeight="15" x14ac:dyDescent="0.25"/>
  <cols>
    <col min="1" max="1" width="31.85546875" bestFit="1" customWidth="1"/>
    <col min="2" max="2" width="9.140625" bestFit="1" customWidth="1"/>
    <col min="3" max="3" width="15.28515625" bestFit="1" customWidth="1"/>
    <col min="4" max="4" width="31.85546875" bestFit="1" customWidth="1"/>
    <col min="5" max="5" width="7.5703125" bestFit="1" customWidth="1"/>
    <col min="7" max="7" width="31.85546875" bestFit="1" customWidth="1"/>
    <col min="8" max="8" width="7.5703125" bestFit="1" customWidth="1"/>
  </cols>
  <sheetData>
    <row r="1" spans="1:8" ht="21" thickBot="1" x14ac:dyDescent="0.35">
      <c r="A1" s="100" t="s">
        <v>56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54870</v>
      </c>
      <c r="C3" s="20"/>
      <c r="D3" s="14" t="s">
        <v>1</v>
      </c>
      <c r="E3" s="15">
        <v>32045</v>
      </c>
      <c r="G3" s="14" t="s">
        <v>1</v>
      </c>
      <c r="H3" s="15">
        <v>22835</v>
      </c>
    </row>
    <row r="4" spans="1:8" x14ac:dyDescent="0.25">
      <c r="A4" s="5" t="s">
        <v>2</v>
      </c>
      <c r="B4" s="6">
        <f>SUM(B8:B29)</f>
        <v>1000154</v>
      </c>
      <c r="C4" s="20"/>
      <c r="D4" s="5" t="s">
        <v>2</v>
      </c>
      <c r="E4" s="6">
        <f>SUM(E8:E29)</f>
        <v>573124</v>
      </c>
      <c r="G4" s="5" t="s">
        <v>2</v>
      </c>
      <c r="H4" s="6">
        <f>SUM(H8:H29)</f>
        <v>409074</v>
      </c>
    </row>
    <row r="5" spans="1:8" x14ac:dyDescent="0.25">
      <c r="A5" s="5" t="s">
        <v>3</v>
      </c>
      <c r="B5" s="3">
        <f>B3/B4</f>
        <v>5.4861551321096554E-2</v>
      </c>
      <c r="C5" s="21"/>
      <c r="D5" s="5" t="s">
        <v>3</v>
      </c>
      <c r="E5" s="3">
        <f>E3/E4</f>
        <v>5.5912856554602493E-2</v>
      </c>
      <c r="F5" s="7"/>
      <c r="G5" s="5" t="s">
        <v>3</v>
      </c>
      <c r="H5" s="3">
        <f>H3/H4</f>
        <v>5.582119616499704E-2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57</v>
      </c>
      <c r="B8" s="23">
        <v>167788</v>
      </c>
      <c r="C8" s="24"/>
      <c r="D8" s="13" t="s">
        <v>57</v>
      </c>
      <c r="E8" s="23">
        <v>94465</v>
      </c>
      <c r="F8" s="25"/>
      <c r="G8" s="13" t="s">
        <v>57</v>
      </c>
      <c r="H8" s="23">
        <v>67689</v>
      </c>
    </row>
    <row r="9" spans="1:8" ht="15.75" thickBot="1" x14ac:dyDescent="0.3">
      <c r="A9" s="13" t="s">
        <v>42</v>
      </c>
      <c r="B9" s="23">
        <v>141416</v>
      </c>
      <c r="C9" s="24"/>
      <c r="D9" s="13" t="s">
        <v>42</v>
      </c>
      <c r="E9" s="23">
        <v>82724</v>
      </c>
      <c r="F9" s="25"/>
      <c r="G9" s="13" t="s">
        <v>42</v>
      </c>
      <c r="H9" s="23">
        <v>58586</v>
      </c>
    </row>
    <row r="10" spans="1:8" ht="15.75" thickBot="1" x14ac:dyDescent="0.3">
      <c r="A10" s="13" t="s">
        <v>58</v>
      </c>
      <c r="B10" s="23">
        <v>104990</v>
      </c>
      <c r="C10" s="24"/>
      <c r="D10" s="13" t="s">
        <v>58</v>
      </c>
      <c r="E10" s="23">
        <v>59835</v>
      </c>
      <c r="F10" s="25"/>
      <c r="G10" s="13" t="s">
        <v>58</v>
      </c>
      <c r="H10" s="23">
        <v>42783</v>
      </c>
    </row>
    <row r="11" spans="1:8" ht="15.75" thickBot="1" x14ac:dyDescent="0.3">
      <c r="A11" s="13" t="s">
        <v>43</v>
      </c>
      <c r="B11" s="23">
        <v>77669</v>
      </c>
      <c r="C11" s="24"/>
      <c r="D11" s="13" t="s">
        <v>43</v>
      </c>
      <c r="E11" s="23">
        <v>44377</v>
      </c>
      <c r="F11" s="25"/>
      <c r="G11" s="13" t="s">
        <v>43</v>
      </c>
      <c r="H11" s="23">
        <v>31483</v>
      </c>
    </row>
    <row r="12" spans="1:8" ht="15.75" thickBot="1" x14ac:dyDescent="0.3">
      <c r="A12" s="13" t="s">
        <v>44</v>
      </c>
      <c r="B12" s="23">
        <v>72179</v>
      </c>
      <c r="C12" s="24"/>
      <c r="D12" s="13" t="s">
        <v>44</v>
      </c>
      <c r="E12" s="23">
        <v>41828</v>
      </c>
      <c r="F12" s="25"/>
      <c r="G12" s="13" t="s">
        <v>44</v>
      </c>
      <c r="H12" s="23">
        <v>30188</v>
      </c>
    </row>
    <row r="13" spans="1:8" ht="15.75" thickBot="1" x14ac:dyDescent="0.3">
      <c r="A13" s="13" t="s">
        <v>45</v>
      </c>
      <c r="B13" s="23">
        <v>66955</v>
      </c>
      <c r="C13" s="24"/>
      <c r="D13" s="13" t="s">
        <v>45</v>
      </c>
      <c r="E13" s="23">
        <v>39001</v>
      </c>
      <c r="F13" s="25"/>
      <c r="G13" s="13" t="s">
        <v>45</v>
      </c>
      <c r="H13" s="23">
        <v>27800</v>
      </c>
    </row>
    <row r="14" spans="1:8" ht="15.75" thickBot="1" x14ac:dyDescent="0.3">
      <c r="A14" s="13" t="s">
        <v>59</v>
      </c>
      <c r="B14" s="23">
        <v>58322</v>
      </c>
      <c r="C14" s="24"/>
      <c r="D14" s="13" t="s">
        <v>59</v>
      </c>
      <c r="E14" s="23">
        <v>32447</v>
      </c>
      <c r="F14" s="25"/>
      <c r="G14" s="13" t="s">
        <v>59</v>
      </c>
      <c r="H14" s="23">
        <v>23056</v>
      </c>
    </row>
    <row r="15" spans="1:8" ht="15.75" thickBot="1" x14ac:dyDescent="0.3">
      <c r="A15" s="13" t="s">
        <v>46</v>
      </c>
      <c r="B15" s="23">
        <v>51550</v>
      </c>
      <c r="C15" s="24"/>
      <c r="D15" s="13" t="s">
        <v>46</v>
      </c>
      <c r="E15" s="23">
        <v>29974</v>
      </c>
      <c r="F15" s="25"/>
      <c r="G15" s="13" t="s">
        <v>46</v>
      </c>
      <c r="H15" s="23">
        <v>21507</v>
      </c>
    </row>
    <row r="16" spans="1:8" ht="15.75" thickBot="1" x14ac:dyDescent="0.3">
      <c r="A16" s="13" t="s">
        <v>47</v>
      </c>
      <c r="B16" s="23">
        <v>42292</v>
      </c>
      <c r="C16" s="24"/>
      <c r="D16" s="13" t="s">
        <v>47</v>
      </c>
      <c r="E16" s="23">
        <v>24752</v>
      </c>
      <c r="F16" s="25"/>
      <c r="G16" s="13" t="s">
        <v>47</v>
      </c>
      <c r="H16" s="23">
        <v>17695</v>
      </c>
    </row>
    <row r="17" spans="1:8" ht="15.75" thickBot="1" x14ac:dyDescent="0.3">
      <c r="A17" s="13" t="s">
        <v>60</v>
      </c>
      <c r="B17" s="23">
        <v>40812</v>
      </c>
      <c r="C17" s="24"/>
      <c r="D17" s="13" t="s">
        <v>60</v>
      </c>
      <c r="E17" s="23">
        <v>23935</v>
      </c>
      <c r="F17" s="25"/>
      <c r="G17" s="13" t="s">
        <v>60</v>
      </c>
      <c r="H17" s="23">
        <v>17048</v>
      </c>
    </row>
    <row r="18" spans="1:8" ht="15.75" thickBot="1" x14ac:dyDescent="0.3">
      <c r="A18" s="13" t="s">
        <v>61</v>
      </c>
      <c r="B18" s="23">
        <v>31939</v>
      </c>
      <c r="C18" s="24"/>
      <c r="D18" s="13" t="s">
        <v>61</v>
      </c>
      <c r="E18" s="23">
        <v>18219</v>
      </c>
      <c r="F18" s="25"/>
      <c r="G18" s="13" t="s">
        <v>61</v>
      </c>
      <c r="H18" s="23">
        <v>13145</v>
      </c>
    </row>
    <row r="19" spans="1:8" ht="15.75" thickBot="1" x14ac:dyDescent="0.3">
      <c r="A19" s="13" t="s">
        <v>48</v>
      </c>
      <c r="B19" s="23">
        <v>27273</v>
      </c>
      <c r="C19" s="24"/>
      <c r="D19" s="13" t="s">
        <v>48</v>
      </c>
      <c r="E19" s="23">
        <v>15739</v>
      </c>
      <c r="F19" s="25"/>
      <c r="G19" s="13" t="s">
        <v>48</v>
      </c>
      <c r="H19" s="23">
        <v>11175</v>
      </c>
    </row>
    <row r="20" spans="1:8" ht="15.75" thickBot="1" x14ac:dyDescent="0.3">
      <c r="A20" s="13" t="s">
        <v>49</v>
      </c>
      <c r="B20" s="23">
        <v>23560</v>
      </c>
      <c r="C20" s="24"/>
      <c r="D20" s="13" t="s">
        <v>49</v>
      </c>
      <c r="E20" s="23">
        <v>12681</v>
      </c>
      <c r="F20" s="25"/>
      <c r="G20" s="13" t="s">
        <v>49</v>
      </c>
      <c r="H20" s="23">
        <v>8639</v>
      </c>
    </row>
    <row r="21" spans="1:8" ht="15.75" thickBot="1" x14ac:dyDescent="0.3">
      <c r="A21" s="13" t="s">
        <v>50</v>
      </c>
      <c r="B21" s="23">
        <v>20103</v>
      </c>
      <c r="C21" s="24"/>
      <c r="D21" s="13" t="s">
        <v>50</v>
      </c>
      <c r="E21" s="23">
        <v>11266</v>
      </c>
      <c r="F21" s="25"/>
      <c r="G21" s="13" t="s">
        <v>50</v>
      </c>
      <c r="H21" s="23">
        <v>8107</v>
      </c>
    </row>
    <row r="22" spans="1:8" x14ac:dyDescent="0.25">
      <c r="A22" s="13" t="s">
        <v>52</v>
      </c>
      <c r="B22" s="23">
        <v>12454</v>
      </c>
      <c r="D22" s="13" t="s">
        <v>52</v>
      </c>
      <c r="E22" s="23">
        <v>7081</v>
      </c>
      <c r="G22" s="13" t="s">
        <v>52</v>
      </c>
      <c r="H22" s="23">
        <v>5157</v>
      </c>
    </row>
    <row r="23" spans="1:8" x14ac:dyDescent="0.25">
      <c r="A23" s="13" t="s">
        <v>62</v>
      </c>
      <c r="B23" s="23">
        <v>12083</v>
      </c>
      <c r="D23" s="13" t="s">
        <v>62</v>
      </c>
      <c r="E23" s="23">
        <v>6878</v>
      </c>
      <c r="G23" s="13" t="s">
        <v>62</v>
      </c>
      <c r="H23" s="23">
        <v>5050</v>
      </c>
    </row>
    <row r="24" spans="1:8" x14ac:dyDescent="0.25">
      <c r="A24" s="13" t="s">
        <v>51</v>
      </c>
      <c r="B24" s="23">
        <v>8946</v>
      </c>
      <c r="D24" s="13" t="s">
        <v>53</v>
      </c>
      <c r="E24" s="23">
        <v>5158</v>
      </c>
      <c r="G24" s="13" t="s">
        <v>53</v>
      </c>
      <c r="H24" s="23">
        <v>3652</v>
      </c>
    </row>
    <row r="25" spans="1:8" x14ac:dyDescent="0.25">
      <c r="A25" s="13" t="s">
        <v>54</v>
      </c>
      <c r="B25" s="23">
        <v>8466</v>
      </c>
      <c r="D25" s="13" t="s">
        <v>54</v>
      </c>
      <c r="E25" s="23">
        <v>4927</v>
      </c>
      <c r="G25" s="13" t="s">
        <v>54</v>
      </c>
      <c r="H25" s="23">
        <v>3543</v>
      </c>
    </row>
    <row r="26" spans="1:8" x14ac:dyDescent="0.25">
      <c r="A26" s="13" t="s">
        <v>53</v>
      </c>
      <c r="B26" s="23">
        <v>8414</v>
      </c>
      <c r="D26" s="13" t="s">
        <v>51</v>
      </c>
      <c r="E26" s="23">
        <v>4892</v>
      </c>
      <c r="G26" s="13" t="s">
        <v>51</v>
      </c>
      <c r="H26" s="23">
        <v>3500</v>
      </c>
    </row>
    <row r="27" spans="1:8" x14ac:dyDescent="0.25">
      <c r="A27" s="13" t="s">
        <v>63</v>
      </c>
      <c r="B27" s="23">
        <v>5904</v>
      </c>
      <c r="D27" s="13" t="s">
        <v>63</v>
      </c>
      <c r="E27" s="23">
        <v>3341</v>
      </c>
      <c r="G27" s="13" t="s">
        <v>63</v>
      </c>
      <c r="H27" s="23">
        <v>2472</v>
      </c>
    </row>
    <row r="28" spans="1:8" x14ac:dyDescent="0.25">
      <c r="A28" s="13" t="s">
        <v>64</v>
      </c>
      <c r="B28" s="23">
        <v>3727</v>
      </c>
      <c r="D28" s="13" t="s">
        <v>64</v>
      </c>
      <c r="E28" s="23">
        <v>2170</v>
      </c>
      <c r="G28" s="13" t="s">
        <v>64</v>
      </c>
      <c r="H28" s="23">
        <v>1558</v>
      </c>
    </row>
    <row r="29" spans="1:8" x14ac:dyDescent="0.25">
      <c r="A29" s="13" t="s">
        <v>31</v>
      </c>
      <c r="B29" s="23">
        <v>13312</v>
      </c>
      <c r="D29" s="13" t="s">
        <v>31</v>
      </c>
      <c r="E29" s="23">
        <v>7434</v>
      </c>
      <c r="G29" s="13" t="s">
        <v>31</v>
      </c>
      <c r="H29" s="23">
        <v>5241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D888-04F2-4AAE-BD16-6A18B7AE1425}">
  <dimension ref="A1:H29"/>
  <sheetViews>
    <sheetView workbookViewId="0">
      <selection activeCell="B4" sqref="B4"/>
    </sheetView>
  </sheetViews>
  <sheetFormatPr defaultColWidth="12.5703125" defaultRowHeight="15" x14ac:dyDescent="0.25"/>
  <cols>
    <col min="1" max="1" width="31.85546875" bestFit="1" customWidth="1"/>
    <col min="2" max="2" width="8.7109375" bestFit="1" customWidth="1"/>
    <col min="3" max="3" width="15.28515625" bestFit="1" customWidth="1"/>
    <col min="4" max="4" width="31.85546875" bestFit="1" customWidth="1"/>
    <col min="5" max="5" width="8.7109375" bestFit="1" customWidth="1"/>
    <col min="7" max="7" width="31.85546875" bestFit="1" customWidth="1"/>
    <col min="8" max="8" width="8.7109375" bestFit="1" customWidth="1"/>
  </cols>
  <sheetData>
    <row r="1" spans="1:8" ht="21" thickBot="1" x14ac:dyDescent="0.35">
      <c r="A1" s="100" t="s">
        <v>65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52670</v>
      </c>
      <c r="C3" s="20"/>
      <c r="D3" s="14" t="s">
        <v>1</v>
      </c>
      <c r="E3" s="15">
        <v>31005</v>
      </c>
      <c r="G3" s="14" t="s">
        <v>1</v>
      </c>
      <c r="H3" s="15">
        <v>21635</v>
      </c>
    </row>
    <row r="4" spans="1:8" x14ac:dyDescent="0.25">
      <c r="A4" s="5" t="s">
        <v>2</v>
      </c>
      <c r="B4" s="6">
        <f>SUM(B8:B29)</f>
        <v>975960</v>
      </c>
      <c r="C4" s="20"/>
      <c r="D4" s="5" t="s">
        <v>2</v>
      </c>
      <c r="E4" s="6">
        <f>SUM(E8:E29)</f>
        <v>585633</v>
      </c>
      <c r="G4" s="5" t="s">
        <v>2</v>
      </c>
      <c r="H4" s="6">
        <f>SUM(H8:H29)</f>
        <v>407043</v>
      </c>
    </row>
    <row r="5" spans="1:8" x14ac:dyDescent="0.25">
      <c r="A5" s="5" t="s">
        <v>3</v>
      </c>
      <c r="B5" s="3">
        <f>B3/B4</f>
        <v>5.3967375712119348E-2</v>
      </c>
      <c r="C5" s="21"/>
      <c r="D5" s="5" t="s">
        <v>3</v>
      </c>
      <c r="E5" s="3">
        <f>E3/E4</f>
        <v>5.2942713269231757E-2</v>
      </c>
      <c r="F5" s="7"/>
      <c r="G5" s="5" t="s">
        <v>3</v>
      </c>
      <c r="H5" s="3">
        <f>H3/H4</f>
        <v>5.3151632628493796E-2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57</v>
      </c>
      <c r="B8" s="26">
        <v>247027</v>
      </c>
      <c r="C8" s="24"/>
      <c r="D8" s="13" t="s">
        <v>57</v>
      </c>
      <c r="E8" s="26">
        <v>148667</v>
      </c>
      <c r="F8" s="25"/>
      <c r="G8" s="13" t="s">
        <v>57</v>
      </c>
      <c r="H8" s="26">
        <v>101746</v>
      </c>
    </row>
    <row r="9" spans="1:8" ht="15.75" thickBot="1" x14ac:dyDescent="0.3">
      <c r="A9" s="13" t="s">
        <v>42</v>
      </c>
      <c r="B9" s="26">
        <v>66145</v>
      </c>
      <c r="C9" s="24"/>
      <c r="D9" s="13" t="s">
        <v>42</v>
      </c>
      <c r="E9" s="26">
        <v>40067</v>
      </c>
      <c r="F9" s="25"/>
      <c r="G9" s="13" t="s">
        <v>42</v>
      </c>
      <c r="H9" s="26">
        <v>30008</v>
      </c>
    </row>
    <row r="10" spans="1:8" ht="15.75" thickBot="1" x14ac:dyDescent="0.3">
      <c r="A10" s="13" t="s">
        <v>58</v>
      </c>
      <c r="B10" s="26">
        <v>132616</v>
      </c>
      <c r="C10" s="24"/>
      <c r="D10" s="13" t="s">
        <v>58</v>
      </c>
      <c r="E10" s="26">
        <v>79845</v>
      </c>
      <c r="F10" s="25"/>
      <c r="G10" s="13" t="s">
        <v>58</v>
      </c>
      <c r="H10" s="26">
        <v>54851</v>
      </c>
    </row>
    <row r="11" spans="1:8" ht="15.75" thickBot="1" x14ac:dyDescent="0.3">
      <c r="A11" s="13" t="s">
        <v>43</v>
      </c>
      <c r="B11" s="26">
        <v>65217</v>
      </c>
      <c r="C11" s="24"/>
      <c r="D11" s="13" t="s">
        <v>43</v>
      </c>
      <c r="E11" s="26">
        <v>38624</v>
      </c>
      <c r="F11" s="25"/>
      <c r="G11" s="13" t="s">
        <v>43</v>
      </c>
      <c r="H11" s="26">
        <v>24432</v>
      </c>
    </row>
    <row r="12" spans="1:8" ht="15.75" thickBot="1" x14ac:dyDescent="0.3">
      <c r="A12" s="13" t="s">
        <v>44</v>
      </c>
      <c r="B12" s="26">
        <v>57059</v>
      </c>
      <c r="C12" s="24"/>
      <c r="D12" s="13" t="s">
        <v>44</v>
      </c>
      <c r="E12" s="26">
        <v>34547</v>
      </c>
      <c r="F12" s="25"/>
      <c r="G12" s="13" t="s">
        <v>44</v>
      </c>
      <c r="H12" s="26">
        <v>23851</v>
      </c>
    </row>
    <row r="13" spans="1:8" ht="15.75" thickBot="1" x14ac:dyDescent="0.3">
      <c r="A13" s="13" t="s">
        <v>45</v>
      </c>
      <c r="B13" s="26">
        <v>52402</v>
      </c>
      <c r="C13" s="24"/>
      <c r="D13" s="13" t="s">
        <v>45</v>
      </c>
      <c r="E13" s="26">
        <v>32245</v>
      </c>
      <c r="F13" s="25"/>
      <c r="G13" s="13" t="s">
        <v>45</v>
      </c>
      <c r="H13" s="26">
        <v>27925</v>
      </c>
    </row>
    <row r="14" spans="1:8" ht="15.75" thickBot="1" x14ac:dyDescent="0.3">
      <c r="A14" s="13" t="s">
        <v>59</v>
      </c>
      <c r="B14" s="26">
        <v>65484</v>
      </c>
      <c r="C14" s="24"/>
      <c r="D14" s="13" t="s">
        <v>59</v>
      </c>
      <c r="E14" s="26">
        <v>38347</v>
      </c>
      <c r="F14" s="25"/>
      <c r="G14" s="13" t="s">
        <v>59</v>
      </c>
      <c r="H14" s="26">
        <v>26600</v>
      </c>
    </row>
    <row r="15" spans="1:8" ht="15.75" thickBot="1" x14ac:dyDescent="0.3">
      <c r="A15" s="13" t="s">
        <v>46</v>
      </c>
      <c r="B15" s="26">
        <v>47893</v>
      </c>
      <c r="C15" s="24"/>
      <c r="D15" s="13" t="s">
        <v>46</v>
      </c>
      <c r="E15" s="26">
        <v>28445</v>
      </c>
      <c r="F15" s="25"/>
      <c r="G15" s="13" t="s">
        <v>46</v>
      </c>
      <c r="H15" s="26">
        <v>18646</v>
      </c>
    </row>
    <row r="16" spans="1:8" ht="15.75" thickBot="1" x14ac:dyDescent="0.3">
      <c r="A16" s="13" t="s">
        <v>47</v>
      </c>
      <c r="B16" s="26">
        <v>32321</v>
      </c>
      <c r="C16" s="24"/>
      <c r="D16" s="13" t="s">
        <v>47</v>
      </c>
      <c r="E16" s="26">
        <v>20074</v>
      </c>
      <c r="F16" s="25"/>
      <c r="G16" s="13" t="s">
        <v>47</v>
      </c>
      <c r="H16" s="26">
        <v>15060</v>
      </c>
    </row>
    <row r="17" spans="1:8" ht="15.75" thickBot="1" x14ac:dyDescent="0.3">
      <c r="A17" s="13" t="s">
        <v>60</v>
      </c>
      <c r="B17" s="26">
        <v>53415</v>
      </c>
      <c r="C17" s="24"/>
      <c r="D17" s="13" t="s">
        <v>60</v>
      </c>
      <c r="E17" s="26">
        <v>31610</v>
      </c>
      <c r="F17" s="25"/>
      <c r="G17" s="13" t="s">
        <v>60</v>
      </c>
      <c r="H17" s="26">
        <v>20845</v>
      </c>
    </row>
    <row r="18" spans="1:8" ht="15.75" thickBot="1" x14ac:dyDescent="0.3">
      <c r="A18" s="13" t="s">
        <v>61</v>
      </c>
      <c r="B18" s="26">
        <v>37263</v>
      </c>
      <c r="C18" s="24"/>
      <c r="D18" s="13" t="s">
        <v>61</v>
      </c>
      <c r="E18" s="26">
        <v>23083</v>
      </c>
      <c r="F18" s="25"/>
      <c r="G18" s="13" t="s">
        <v>61</v>
      </c>
      <c r="H18" s="26">
        <v>15919</v>
      </c>
    </row>
    <row r="19" spans="1:8" ht="15.75" thickBot="1" x14ac:dyDescent="0.3">
      <c r="A19" s="13" t="s">
        <v>48</v>
      </c>
      <c r="B19" s="26">
        <v>20802</v>
      </c>
      <c r="C19" s="24"/>
      <c r="D19" s="13" t="s">
        <v>48</v>
      </c>
      <c r="E19" s="26">
        <v>12269</v>
      </c>
      <c r="F19" s="25"/>
      <c r="G19" s="13" t="s">
        <v>48</v>
      </c>
      <c r="H19" s="26">
        <v>8278</v>
      </c>
    </row>
    <row r="20" spans="1:8" ht="15.75" thickBot="1" x14ac:dyDescent="0.3">
      <c r="A20" s="13" t="s">
        <v>49</v>
      </c>
      <c r="B20" s="26">
        <v>15847</v>
      </c>
      <c r="C20" s="24"/>
      <c r="D20" s="13" t="s">
        <v>49</v>
      </c>
      <c r="E20" s="26">
        <v>8727</v>
      </c>
      <c r="F20" s="25"/>
      <c r="G20" s="13" t="s">
        <v>49</v>
      </c>
      <c r="H20" s="26">
        <v>5701</v>
      </c>
    </row>
    <row r="21" spans="1:8" ht="15.75" thickBot="1" x14ac:dyDescent="0.3">
      <c r="A21" s="13" t="s">
        <v>50</v>
      </c>
      <c r="B21" s="26">
        <v>15179</v>
      </c>
      <c r="C21" s="24"/>
      <c r="D21" s="13" t="s">
        <v>50</v>
      </c>
      <c r="E21" s="26">
        <v>8763</v>
      </c>
      <c r="F21" s="25"/>
      <c r="G21" s="13" t="s">
        <v>50</v>
      </c>
      <c r="H21" s="26">
        <v>5858</v>
      </c>
    </row>
    <row r="22" spans="1:8" x14ac:dyDescent="0.25">
      <c r="A22" s="13" t="s">
        <v>52</v>
      </c>
      <c r="B22" s="26">
        <v>9626</v>
      </c>
      <c r="D22" s="13" t="s">
        <v>52</v>
      </c>
      <c r="E22" s="26">
        <v>5909</v>
      </c>
      <c r="G22" s="13" t="s">
        <v>52</v>
      </c>
      <c r="H22" s="26">
        <v>3995</v>
      </c>
    </row>
    <row r="23" spans="1:8" x14ac:dyDescent="0.25">
      <c r="A23" s="13" t="s">
        <v>62</v>
      </c>
      <c r="B23" s="26">
        <v>13983</v>
      </c>
      <c r="D23" s="13" t="s">
        <v>62</v>
      </c>
      <c r="E23" s="26">
        <v>8564</v>
      </c>
      <c r="G23" s="13" t="s">
        <v>62</v>
      </c>
      <c r="H23" s="26">
        <v>5894</v>
      </c>
    </row>
    <row r="24" spans="1:8" x14ac:dyDescent="0.25">
      <c r="A24" s="13" t="s">
        <v>51</v>
      </c>
      <c r="B24" s="26">
        <v>8670</v>
      </c>
      <c r="D24" s="13" t="s">
        <v>53</v>
      </c>
      <c r="E24" s="26">
        <v>5032</v>
      </c>
      <c r="G24" s="13" t="s">
        <v>53</v>
      </c>
      <c r="H24" s="26">
        <v>3027</v>
      </c>
    </row>
    <row r="25" spans="1:8" x14ac:dyDescent="0.25">
      <c r="A25" s="13" t="s">
        <v>54</v>
      </c>
      <c r="B25" s="26">
        <v>6978</v>
      </c>
      <c r="D25" s="13" t="s">
        <v>54</v>
      </c>
      <c r="E25" s="26">
        <v>4178</v>
      </c>
      <c r="G25" s="13" t="s">
        <v>54</v>
      </c>
      <c r="H25" s="26">
        <v>2887</v>
      </c>
    </row>
    <row r="26" spans="1:8" x14ac:dyDescent="0.25">
      <c r="A26" s="13" t="s">
        <v>53</v>
      </c>
      <c r="B26" s="26">
        <v>7177</v>
      </c>
      <c r="D26" s="13" t="s">
        <v>51</v>
      </c>
      <c r="E26" s="26">
        <v>4258</v>
      </c>
      <c r="G26" s="13" t="s">
        <v>51</v>
      </c>
      <c r="H26" s="26">
        <v>3238</v>
      </c>
    </row>
    <row r="27" spans="1:8" x14ac:dyDescent="0.25">
      <c r="A27" s="13" t="s">
        <v>63</v>
      </c>
      <c r="B27" s="26">
        <v>6916</v>
      </c>
      <c r="D27" s="13" t="s">
        <v>63</v>
      </c>
      <c r="E27" s="26">
        <v>4076</v>
      </c>
      <c r="G27" s="13" t="s">
        <v>63</v>
      </c>
      <c r="H27" s="26">
        <v>2877</v>
      </c>
    </row>
    <row r="28" spans="1:8" x14ac:dyDescent="0.25">
      <c r="A28" s="13" t="s">
        <v>64</v>
      </c>
      <c r="B28" s="26">
        <v>4787</v>
      </c>
      <c r="D28" s="13" t="s">
        <v>64</v>
      </c>
      <c r="E28" s="26">
        <v>2960</v>
      </c>
      <c r="G28" s="13" t="s">
        <v>64</v>
      </c>
      <c r="H28" s="26">
        <v>1863</v>
      </c>
    </row>
    <row r="29" spans="1:8" x14ac:dyDescent="0.25">
      <c r="A29" s="13" t="s">
        <v>31</v>
      </c>
      <c r="B29" s="26">
        <v>9153</v>
      </c>
      <c r="D29" s="13" t="s">
        <v>31</v>
      </c>
      <c r="E29" s="26">
        <v>5343</v>
      </c>
      <c r="G29" s="13" t="s">
        <v>31</v>
      </c>
      <c r="H29" s="26">
        <v>3542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9F44-18E7-4F7A-A5CF-DA2E4628D943}">
  <dimension ref="A1:H29"/>
  <sheetViews>
    <sheetView workbookViewId="0">
      <selection activeCell="J24" sqref="J24"/>
    </sheetView>
  </sheetViews>
  <sheetFormatPr defaultColWidth="12.5703125" defaultRowHeight="15" x14ac:dyDescent="0.25"/>
  <cols>
    <col min="1" max="1" width="31.85546875" bestFit="1" customWidth="1"/>
    <col min="2" max="2" width="9.140625" bestFit="1" customWidth="1"/>
    <col min="3" max="3" width="15.28515625" bestFit="1" customWidth="1"/>
    <col min="4" max="4" width="31.85546875" bestFit="1" customWidth="1"/>
    <col min="5" max="5" width="8.7109375" bestFit="1" customWidth="1"/>
    <col min="7" max="7" width="31.85546875" bestFit="1" customWidth="1"/>
    <col min="8" max="8" width="8.7109375" bestFit="1" customWidth="1"/>
  </cols>
  <sheetData>
    <row r="1" spans="1:8" ht="21" thickBot="1" x14ac:dyDescent="0.35">
      <c r="A1" s="100" t="s">
        <v>66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57670</v>
      </c>
      <c r="C3" s="20"/>
      <c r="D3" s="14" t="s">
        <v>1</v>
      </c>
      <c r="E3" s="15">
        <v>31005</v>
      </c>
      <c r="G3" s="14" t="s">
        <v>1</v>
      </c>
      <c r="H3" s="15">
        <v>21635</v>
      </c>
    </row>
    <row r="4" spans="1:8" x14ac:dyDescent="0.25">
      <c r="A4" s="5" t="s">
        <v>2</v>
      </c>
      <c r="B4" s="6">
        <f>SUM(B8:B29)</f>
        <v>1117824</v>
      </c>
      <c r="C4" s="20"/>
      <c r="D4" s="5" t="s">
        <v>2</v>
      </c>
      <c r="E4" s="6">
        <f>SUM(E8:E29)</f>
        <v>507447</v>
      </c>
      <c r="G4" s="5" t="s">
        <v>2</v>
      </c>
      <c r="H4" s="6">
        <f>SUM(H8:H29)</f>
        <v>438186</v>
      </c>
    </row>
    <row r="5" spans="1:8" x14ac:dyDescent="0.25">
      <c r="A5" s="5" t="s">
        <v>3</v>
      </c>
      <c r="B5" s="3">
        <f>B3/B4</f>
        <v>5.1591305965876563E-2</v>
      </c>
      <c r="C5" s="21"/>
      <c r="D5" s="5" t="s">
        <v>3</v>
      </c>
      <c r="E5" s="3">
        <f>E3/E4</f>
        <v>6.1099976943404924E-2</v>
      </c>
      <c r="F5" s="7"/>
      <c r="G5" s="5" t="s">
        <v>3</v>
      </c>
      <c r="H5" s="3">
        <f>H3/H4</f>
        <v>4.9374010123554836E-2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57</v>
      </c>
      <c r="B8" s="26">
        <v>260628</v>
      </c>
      <c r="C8" s="24"/>
      <c r="D8" s="13" t="s">
        <v>57</v>
      </c>
      <c r="E8" s="26">
        <v>195704</v>
      </c>
      <c r="F8" s="25"/>
      <c r="G8" s="13" t="s">
        <v>57</v>
      </c>
      <c r="H8" s="26">
        <v>119850</v>
      </c>
    </row>
    <row r="9" spans="1:8" ht="15.75" thickBot="1" x14ac:dyDescent="0.3">
      <c r="A9" s="13" t="s">
        <v>42</v>
      </c>
      <c r="B9" s="26">
        <v>68098</v>
      </c>
      <c r="C9" s="24"/>
      <c r="D9" s="13" t="s">
        <v>42</v>
      </c>
      <c r="E9" s="26">
        <v>38031</v>
      </c>
      <c r="F9" s="25"/>
      <c r="G9" s="13" t="s">
        <v>42</v>
      </c>
      <c r="H9" s="26">
        <v>24496</v>
      </c>
    </row>
    <row r="10" spans="1:8" ht="15.75" thickBot="1" x14ac:dyDescent="0.3">
      <c r="A10" s="13" t="s">
        <v>58</v>
      </c>
      <c r="B10" s="26">
        <v>135636</v>
      </c>
      <c r="C10" s="24"/>
      <c r="D10" s="13" t="s">
        <v>58</v>
      </c>
      <c r="E10" s="26">
        <v>72863</v>
      </c>
      <c r="F10" s="25"/>
      <c r="G10" s="13" t="s">
        <v>58</v>
      </c>
      <c r="H10" s="26">
        <v>54385</v>
      </c>
    </row>
    <row r="11" spans="1:8" ht="15.75" thickBot="1" x14ac:dyDescent="0.3">
      <c r="A11" s="13" t="s">
        <v>43</v>
      </c>
      <c r="B11" s="26">
        <v>67328</v>
      </c>
      <c r="C11" s="24"/>
      <c r="D11" s="13" t="s">
        <v>43</v>
      </c>
      <c r="E11" s="26">
        <v>25337</v>
      </c>
      <c r="F11" s="25"/>
      <c r="G11" s="13" t="s">
        <v>43</v>
      </c>
      <c r="H11" s="26">
        <v>30742</v>
      </c>
    </row>
    <row r="12" spans="1:8" ht="15.75" thickBot="1" x14ac:dyDescent="0.3">
      <c r="A12" s="13" t="s">
        <v>44</v>
      </c>
      <c r="B12" s="26">
        <v>56350</v>
      </c>
      <c r="C12" s="24"/>
      <c r="D12" s="13" t="s">
        <v>44</v>
      </c>
      <c r="E12" s="26">
        <v>21065</v>
      </c>
      <c r="F12" s="25"/>
      <c r="G12" s="13" t="s">
        <v>44</v>
      </c>
      <c r="H12" s="26">
        <v>24864</v>
      </c>
    </row>
    <row r="13" spans="1:8" ht="15.75" thickBot="1" x14ac:dyDescent="0.3">
      <c r="A13" s="13" t="s">
        <v>45</v>
      </c>
      <c r="B13" s="26">
        <v>55256</v>
      </c>
      <c r="C13" s="24"/>
      <c r="D13" s="13" t="s">
        <v>45</v>
      </c>
      <c r="E13" s="26">
        <v>24898</v>
      </c>
      <c r="F13" s="25"/>
      <c r="G13" s="13" t="s">
        <v>45</v>
      </c>
      <c r="H13" s="26">
        <v>24535</v>
      </c>
    </row>
    <row r="14" spans="1:8" ht="15.75" thickBot="1" x14ac:dyDescent="0.3">
      <c r="A14" s="13" t="s">
        <v>59</v>
      </c>
      <c r="B14" s="26">
        <v>65748</v>
      </c>
      <c r="C14" s="24"/>
      <c r="D14" s="13" t="s">
        <v>59</v>
      </c>
      <c r="E14" s="26">
        <v>21325</v>
      </c>
      <c r="F14" s="25"/>
      <c r="G14" s="13" t="s">
        <v>59</v>
      </c>
      <c r="H14" s="26">
        <v>25569</v>
      </c>
    </row>
    <row r="15" spans="1:8" ht="15.75" thickBot="1" x14ac:dyDescent="0.3">
      <c r="A15" s="13" t="s">
        <v>46</v>
      </c>
      <c r="B15" s="26">
        <v>40204</v>
      </c>
      <c r="C15" s="24"/>
      <c r="D15" s="13" t="s">
        <v>46</v>
      </c>
      <c r="E15" s="26">
        <v>15690</v>
      </c>
      <c r="F15" s="25"/>
      <c r="G15" s="13" t="s">
        <v>46</v>
      </c>
      <c r="H15" s="26">
        <v>19408</v>
      </c>
    </row>
    <row r="16" spans="1:8" ht="15.75" thickBot="1" x14ac:dyDescent="0.3">
      <c r="A16" s="13" t="s">
        <v>47</v>
      </c>
      <c r="B16" s="26">
        <v>34566</v>
      </c>
      <c r="C16" s="24"/>
      <c r="D16" s="13" t="s">
        <v>47</v>
      </c>
      <c r="E16" s="26">
        <v>12954</v>
      </c>
      <c r="F16" s="25"/>
      <c r="G16" s="13" t="s">
        <v>47</v>
      </c>
      <c r="H16" s="26">
        <v>14877</v>
      </c>
    </row>
    <row r="17" spans="1:8" ht="15.75" thickBot="1" x14ac:dyDescent="0.3">
      <c r="A17" s="13" t="s">
        <v>60</v>
      </c>
      <c r="B17" s="26">
        <v>55409</v>
      </c>
      <c r="C17" s="24"/>
      <c r="D17" s="13" t="s">
        <v>60</v>
      </c>
      <c r="E17" s="26">
        <v>18664</v>
      </c>
      <c r="F17" s="25"/>
      <c r="G17" s="13" t="s">
        <v>60</v>
      </c>
      <c r="H17" s="26">
        <v>23714</v>
      </c>
    </row>
    <row r="18" spans="1:8" ht="15.75" thickBot="1" x14ac:dyDescent="0.3">
      <c r="A18" s="13" t="s">
        <v>61</v>
      </c>
      <c r="B18" s="26">
        <v>33846</v>
      </c>
      <c r="C18" s="24"/>
      <c r="D18" s="13" t="s">
        <v>61</v>
      </c>
      <c r="E18" s="26">
        <v>13710</v>
      </c>
      <c r="F18" s="25"/>
      <c r="G18" s="13" t="s">
        <v>61</v>
      </c>
      <c r="H18" s="26">
        <v>16772</v>
      </c>
    </row>
    <row r="19" spans="1:8" ht="15.75" thickBot="1" x14ac:dyDescent="0.3">
      <c r="A19" s="13" t="s">
        <v>48</v>
      </c>
      <c r="B19" s="26">
        <v>143399</v>
      </c>
      <c r="C19" s="24"/>
      <c r="D19" s="13" t="s">
        <v>48</v>
      </c>
      <c r="E19" s="26">
        <v>7666</v>
      </c>
      <c r="F19" s="25"/>
      <c r="G19" s="13" t="s">
        <v>48</v>
      </c>
      <c r="H19" s="26">
        <v>9942</v>
      </c>
    </row>
    <row r="20" spans="1:8" ht="15.75" thickBot="1" x14ac:dyDescent="0.3">
      <c r="A20" s="13" t="s">
        <v>49</v>
      </c>
      <c r="B20" s="26">
        <v>28947</v>
      </c>
      <c r="C20" s="24"/>
      <c r="D20" s="13" t="s">
        <v>49</v>
      </c>
      <c r="E20" s="26">
        <v>12088</v>
      </c>
      <c r="F20" s="25"/>
      <c r="G20" s="13" t="s">
        <v>49</v>
      </c>
      <c r="H20" s="26">
        <v>14579</v>
      </c>
    </row>
    <row r="21" spans="1:8" ht="15.75" thickBot="1" x14ac:dyDescent="0.3">
      <c r="A21" s="13" t="s">
        <v>50</v>
      </c>
      <c r="B21" s="26">
        <v>14392</v>
      </c>
      <c r="C21" s="24"/>
      <c r="D21" s="13" t="s">
        <v>50</v>
      </c>
      <c r="E21" s="26">
        <v>5535</v>
      </c>
      <c r="F21" s="25"/>
      <c r="G21" s="13" t="s">
        <v>50</v>
      </c>
      <c r="H21" s="26">
        <v>6614</v>
      </c>
    </row>
    <row r="22" spans="1:8" x14ac:dyDescent="0.25">
      <c r="A22" s="13" t="s">
        <v>52</v>
      </c>
      <c r="B22" s="26">
        <v>9198</v>
      </c>
      <c r="D22" s="13" t="s">
        <v>52</v>
      </c>
      <c r="E22" s="26">
        <v>3616</v>
      </c>
      <c r="G22" s="13" t="s">
        <v>52</v>
      </c>
      <c r="H22" s="26">
        <v>4407</v>
      </c>
    </row>
    <row r="23" spans="1:8" x14ac:dyDescent="0.25">
      <c r="A23" s="13" t="s">
        <v>62</v>
      </c>
      <c r="B23" s="26">
        <v>11676</v>
      </c>
      <c r="D23" s="13" t="s">
        <v>62</v>
      </c>
      <c r="E23" s="26">
        <v>4757</v>
      </c>
      <c r="G23" s="13" t="s">
        <v>62</v>
      </c>
      <c r="H23" s="26">
        <v>6752</v>
      </c>
    </row>
    <row r="24" spans="1:8" x14ac:dyDescent="0.25">
      <c r="A24" s="13" t="s">
        <v>51</v>
      </c>
      <c r="B24" s="26">
        <v>7202</v>
      </c>
      <c r="D24" s="13" t="s">
        <v>51</v>
      </c>
      <c r="E24" s="26">
        <v>2481</v>
      </c>
      <c r="G24" s="13" t="s">
        <v>53</v>
      </c>
      <c r="H24" s="26">
        <v>2767</v>
      </c>
    </row>
    <row r="25" spans="1:8" x14ac:dyDescent="0.25">
      <c r="A25" s="13" t="s">
        <v>54</v>
      </c>
      <c r="B25" s="26">
        <v>5372</v>
      </c>
      <c r="D25" s="13" t="s">
        <v>54</v>
      </c>
      <c r="E25" s="26">
        <v>2306</v>
      </c>
      <c r="G25" s="13" t="s">
        <v>54</v>
      </c>
      <c r="H25" s="26">
        <v>2710</v>
      </c>
    </row>
    <row r="26" spans="1:8" x14ac:dyDescent="0.25">
      <c r="A26" s="13" t="s">
        <v>53</v>
      </c>
      <c r="B26" s="26">
        <v>5627</v>
      </c>
      <c r="D26" s="13" t="s">
        <v>53</v>
      </c>
      <c r="E26" s="26">
        <v>2219</v>
      </c>
      <c r="G26" s="13" t="s">
        <v>51</v>
      </c>
      <c r="H26" s="26">
        <v>3139</v>
      </c>
    </row>
    <row r="27" spans="1:8" x14ac:dyDescent="0.25">
      <c r="A27" s="13" t="s">
        <v>63</v>
      </c>
      <c r="B27" s="26">
        <v>4974</v>
      </c>
      <c r="D27" s="13" t="s">
        <v>63</v>
      </c>
      <c r="E27" s="26">
        <v>1964</v>
      </c>
      <c r="G27" s="13" t="s">
        <v>63</v>
      </c>
      <c r="H27" s="26">
        <v>2442</v>
      </c>
    </row>
    <row r="28" spans="1:8" x14ac:dyDescent="0.25">
      <c r="A28" s="13" t="s">
        <v>64</v>
      </c>
      <c r="B28" s="26">
        <v>3640</v>
      </c>
      <c r="D28" s="13" t="s">
        <v>64</v>
      </c>
      <c r="E28" s="26">
        <v>1469</v>
      </c>
      <c r="G28" s="13" t="s">
        <v>64</v>
      </c>
      <c r="H28" s="26">
        <v>1821</v>
      </c>
    </row>
    <row r="29" spans="1:8" x14ac:dyDescent="0.25">
      <c r="A29" s="13" t="s">
        <v>31</v>
      </c>
      <c r="B29" s="26">
        <v>10328</v>
      </c>
      <c r="D29" s="13" t="s">
        <v>31</v>
      </c>
      <c r="E29" s="26">
        <v>3105</v>
      </c>
      <c r="G29" s="13" t="s">
        <v>31</v>
      </c>
      <c r="H29" s="26">
        <v>3801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B946-C35C-4B5E-8802-0804EDD845AD}">
  <dimension ref="A1:H29"/>
  <sheetViews>
    <sheetView workbookViewId="0">
      <selection sqref="A1:XFD1048576"/>
    </sheetView>
  </sheetViews>
  <sheetFormatPr defaultColWidth="12.5703125" defaultRowHeight="15" x14ac:dyDescent="0.25"/>
  <cols>
    <col min="1" max="1" width="31.85546875" bestFit="1" customWidth="1"/>
    <col min="2" max="2" width="9.140625" bestFit="1" customWidth="1"/>
    <col min="3" max="3" width="15.28515625" bestFit="1" customWidth="1"/>
    <col min="4" max="4" width="31.85546875" bestFit="1" customWidth="1"/>
    <col min="5" max="5" width="8.7109375" bestFit="1" customWidth="1"/>
    <col min="7" max="7" width="31.85546875" bestFit="1" customWidth="1"/>
    <col min="8" max="8" width="8.7109375" bestFit="1" customWidth="1"/>
  </cols>
  <sheetData>
    <row r="1" spans="1:8" ht="21" thickBot="1" x14ac:dyDescent="0.35">
      <c r="A1" s="100" t="s">
        <v>67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62670</v>
      </c>
      <c r="C3" s="20"/>
      <c r="D3" s="14" t="s">
        <v>1</v>
      </c>
      <c r="E3" s="15">
        <v>30205</v>
      </c>
      <c r="G3" s="14" t="s">
        <v>1</v>
      </c>
      <c r="H3" s="15">
        <v>21635</v>
      </c>
    </row>
    <row r="4" spans="1:8" x14ac:dyDescent="0.25">
      <c r="A4" s="5" t="s">
        <v>2</v>
      </c>
      <c r="B4" s="6">
        <f>SUM(B8:B29)</f>
        <v>1397113</v>
      </c>
      <c r="C4" s="20"/>
      <c r="D4" s="5" t="s">
        <v>2</v>
      </c>
      <c r="E4" s="6">
        <f>SUM(E8:E29)</f>
        <v>614313</v>
      </c>
      <c r="G4" s="5" t="s">
        <v>2</v>
      </c>
      <c r="H4" s="6">
        <f>SUM(H8:H29)</f>
        <v>423594</v>
      </c>
    </row>
    <row r="5" spans="1:8" x14ac:dyDescent="0.25">
      <c r="A5" s="5" t="s">
        <v>3</v>
      </c>
      <c r="B5" s="3">
        <f>B3/B4</f>
        <v>4.485678681681439E-2</v>
      </c>
      <c r="C5" s="21"/>
      <c r="D5" s="5" t="s">
        <v>3</v>
      </c>
      <c r="E5" s="3">
        <f>E3/E4</f>
        <v>4.916874622545836E-2</v>
      </c>
      <c r="F5" s="7"/>
      <c r="G5" s="5" t="s">
        <v>3</v>
      </c>
      <c r="H5" s="3">
        <f>H3/H4</f>
        <v>5.1074849974267811E-2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">
        <v>57</v>
      </c>
      <c r="B8" s="26">
        <v>299578</v>
      </c>
      <c r="C8" s="24"/>
      <c r="D8" s="13" t="s">
        <v>57</v>
      </c>
      <c r="E8" s="26">
        <v>162209</v>
      </c>
      <c r="F8" s="25"/>
      <c r="G8" s="13" t="s">
        <v>57</v>
      </c>
      <c r="H8" s="26">
        <v>110356</v>
      </c>
    </row>
    <row r="9" spans="1:8" ht="15.75" thickBot="1" x14ac:dyDescent="0.3">
      <c r="A9" s="13" t="s">
        <v>48</v>
      </c>
      <c r="B9" s="26">
        <v>287589</v>
      </c>
      <c r="C9" s="24"/>
      <c r="D9" s="13" t="s">
        <v>58</v>
      </c>
      <c r="E9" s="26">
        <v>93254</v>
      </c>
      <c r="F9" s="25"/>
      <c r="G9" s="13" t="s">
        <v>58</v>
      </c>
      <c r="H9" s="26">
        <v>63015</v>
      </c>
    </row>
    <row r="10" spans="1:8" ht="15.75" thickBot="1" x14ac:dyDescent="0.3">
      <c r="A10" s="13" t="s">
        <v>58</v>
      </c>
      <c r="B10" s="26">
        <v>170473</v>
      </c>
      <c r="C10" s="24"/>
      <c r="D10" s="13" t="s">
        <v>59</v>
      </c>
      <c r="E10" s="26">
        <v>43020</v>
      </c>
      <c r="F10" s="25"/>
      <c r="G10" s="13" t="s">
        <v>59</v>
      </c>
      <c r="H10" s="26">
        <v>28761</v>
      </c>
    </row>
    <row r="11" spans="1:8" ht="15.75" thickBot="1" x14ac:dyDescent="0.3">
      <c r="A11" s="13" t="s">
        <v>59</v>
      </c>
      <c r="B11" s="26">
        <v>78319</v>
      </c>
      <c r="C11" s="24"/>
      <c r="D11" s="13" t="s">
        <v>43</v>
      </c>
      <c r="E11" s="26">
        <v>38660</v>
      </c>
      <c r="F11" s="25"/>
      <c r="G11" s="13" t="s">
        <v>43</v>
      </c>
      <c r="H11" s="26">
        <v>27850</v>
      </c>
    </row>
    <row r="12" spans="1:8" ht="15.75" thickBot="1" x14ac:dyDescent="0.3">
      <c r="A12" s="13" t="s">
        <v>43</v>
      </c>
      <c r="B12" s="26">
        <v>71349</v>
      </c>
      <c r="C12" s="24"/>
      <c r="D12" s="13" t="s">
        <v>45</v>
      </c>
      <c r="E12" s="26">
        <v>36761</v>
      </c>
      <c r="F12" s="25"/>
      <c r="G12" s="13" t="s">
        <v>42</v>
      </c>
      <c r="H12" s="26">
        <v>26387</v>
      </c>
    </row>
    <row r="13" spans="1:8" ht="15.75" thickBot="1" x14ac:dyDescent="0.3">
      <c r="A13" s="13" t="s">
        <v>45</v>
      </c>
      <c r="B13" s="26">
        <v>66940</v>
      </c>
      <c r="C13" s="24"/>
      <c r="D13" s="13" t="s">
        <v>44</v>
      </c>
      <c r="E13" s="26">
        <v>35695</v>
      </c>
      <c r="F13" s="25"/>
      <c r="G13" s="13" t="s">
        <v>45</v>
      </c>
      <c r="H13" s="26">
        <v>24045</v>
      </c>
    </row>
    <row r="14" spans="1:8" ht="15.75" thickBot="1" x14ac:dyDescent="0.3">
      <c r="A14" s="13" t="s">
        <v>44</v>
      </c>
      <c r="B14" s="26">
        <v>65156</v>
      </c>
      <c r="C14" s="24"/>
      <c r="D14" s="13" t="s">
        <v>42</v>
      </c>
      <c r="E14" s="26">
        <v>31587</v>
      </c>
      <c r="F14" s="25"/>
      <c r="G14" s="13" t="s">
        <v>44</v>
      </c>
      <c r="H14" s="26">
        <v>23371</v>
      </c>
    </row>
    <row r="15" spans="1:8" ht="15.75" thickBot="1" x14ac:dyDescent="0.3">
      <c r="A15" s="13" t="s">
        <v>42</v>
      </c>
      <c r="B15" s="26">
        <v>58515</v>
      </c>
      <c r="C15" s="24"/>
      <c r="D15" s="13" t="s">
        <v>60</v>
      </c>
      <c r="E15" s="26">
        <v>27536</v>
      </c>
      <c r="F15" s="25"/>
      <c r="G15" s="13" t="s">
        <v>60</v>
      </c>
      <c r="H15" s="26">
        <v>19835</v>
      </c>
    </row>
    <row r="16" spans="1:8" ht="15.75" thickBot="1" x14ac:dyDescent="0.3">
      <c r="A16" s="13" t="s">
        <v>46</v>
      </c>
      <c r="B16" s="26">
        <v>50447</v>
      </c>
      <c r="C16" s="24"/>
      <c r="D16" s="13" t="s">
        <v>46</v>
      </c>
      <c r="E16" s="26">
        <v>27244</v>
      </c>
      <c r="F16" s="25"/>
      <c r="G16" s="13" t="s">
        <v>46</v>
      </c>
      <c r="H16" s="26">
        <v>18603</v>
      </c>
    </row>
    <row r="17" spans="1:8" ht="15.75" thickBot="1" x14ac:dyDescent="0.3">
      <c r="A17" s="13" t="s">
        <v>60</v>
      </c>
      <c r="B17" s="26">
        <v>50221</v>
      </c>
      <c r="C17" s="24"/>
      <c r="D17" s="13" t="s">
        <v>47</v>
      </c>
      <c r="E17" s="26">
        <v>23486</v>
      </c>
      <c r="F17" s="25"/>
      <c r="G17" s="13" t="s">
        <v>61</v>
      </c>
      <c r="H17" s="26">
        <v>16108</v>
      </c>
    </row>
    <row r="18" spans="1:8" ht="15.75" thickBot="1" x14ac:dyDescent="0.3">
      <c r="A18" s="13" t="s">
        <v>47</v>
      </c>
      <c r="B18" s="26">
        <v>43328</v>
      </c>
      <c r="C18" s="24"/>
      <c r="D18" s="13" t="s">
        <v>61</v>
      </c>
      <c r="E18" s="26">
        <v>21883</v>
      </c>
      <c r="F18" s="25"/>
      <c r="G18" s="13" t="s">
        <v>47</v>
      </c>
      <c r="H18" s="26">
        <v>14901</v>
      </c>
    </row>
    <row r="19" spans="1:8" ht="15.75" thickBot="1" x14ac:dyDescent="0.3">
      <c r="A19" s="13" t="s">
        <v>61</v>
      </c>
      <c r="B19" s="26">
        <v>40578</v>
      </c>
      <c r="C19" s="24"/>
      <c r="D19" s="13" t="s">
        <v>49</v>
      </c>
      <c r="E19" s="26">
        <v>14393</v>
      </c>
      <c r="F19" s="25"/>
      <c r="G19" s="13" t="s">
        <v>48</v>
      </c>
      <c r="H19" s="26">
        <v>9638</v>
      </c>
    </row>
    <row r="20" spans="1:8" ht="15.75" thickBot="1" x14ac:dyDescent="0.3">
      <c r="A20" s="13" t="s">
        <v>49</v>
      </c>
      <c r="B20" s="26">
        <v>26026</v>
      </c>
      <c r="C20" s="24"/>
      <c r="D20" s="13" t="s">
        <v>48</v>
      </c>
      <c r="E20" s="26">
        <v>13333</v>
      </c>
      <c r="F20" s="25"/>
      <c r="G20" s="13" t="s">
        <v>49</v>
      </c>
      <c r="H20" s="26">
        <v>9452</v>
      </c>
    </row>
    <row r="21" spans="1:8" ht="15.75" thickBot="1" x14ac:dyDescent="0.3">
      <c r="A21" s="13" t="s">
        <v>50</v>
      </c>
      <c r="B21" s="26">
        <v>17168</v>
      </c>
      <c r="C21" s="24"/>
      <c r="D21" s="13" t="s">
        <v>50</v>
      </c>
      <c r="E21" s="26">
        <v>9203</v>
      </c>
      <c r="F21" s="25"/>
      <c r="G21" s="13" t="s">
        <v>50</v>
      </c>
      <c r="H21" s="26">
        <v>6156</v>
      </c>
    </row>
    <row r="22" spans="1:8" x14ac:dyDescent="0.25">
      <c r="A22" s="13" t="s">
        <v>31</v>
      </c>
      <c r="B22" s="26">
        <v>13884</v>
      </c>
      <c r="D22" s="13" t="s">
        <v>62</v>
      </c>
      <c r="E22" s="26">
        <v>7585</v>
      </c>
      <c r="G22" s="13" t="s">
        <v>62</v>
      </c>
      <c r="H22" s="26">
        <v>5508</v>
      </c>
    </row>
    <row r="23" spans="1:8" x14ac:dyDescent="0.25">
      <c r="A23" s="13" t="s">
        <v>62</v>
      </c>
      <c r="B23" s="26">
        <v>13644</v>
      </c>
      <c r="D23" s="13" t="s">
        <v>52</v>
      </c>
      <c r="E23" s="26">
        <v>6924</v>
      </c>
      <c r="G23" s="13" t="s">
        <v>52</v>
      </c>
      <c r="H23" s="26">
        <v>4462</v>
      </c>
    </row>
    <row r="24" spans="1:8" x14ac:dyDescent="0.25">
      <c r="A24" s="13" t="s">
        <v>52</v>
      </c>
      <c r="B24" s="26">
        <v>12740</v>
      </c>
      <c r="D24" s="13" t="s">
        <v>31</v>
      </c>
      <c r="E24" s="26">
        <v>4641</v>
      </c>
      <c r="G24" s="13" t="s">
        <v>31</v>
      </c>
      <c r="H24" s="26">
        <v>3134</v>
      </c>
    </row>
    <row r="25" spans="1:8" x14ac:dyDescent="0.25">
      <c r="A25" s="13" t="s">
        <v>51</v>
      </c>
      <c r="B25" s="26">
        <v>7180</v>
      </c>
      <c r="D25" s="13" t="s">
        <v>51</v>
      </c>
      <c r="E25" s="26">
        <v>3970</v>
      </c>
      <c r="G25" s="13" t="s">
        <v>51</v>
      </c>
      <c r="H25" s="26">
        <v>2764</v>
      </c>
    </row>
    <row r="26" spans="1:8" x14ac:dyDescent="0.25">
      <c r="A26" s="13" t="s">
        <v>63</v>
      </c>
      <c r="B26" s="26">
        <v>6463</v>
      </c>
      <c r="D26" s="13" t="s">
        <v>63</v>
      </c>
      <c r="E26" s="26">
        <v>3568</v>
      </c>
      <c r="G26" s="13" t="s">
        <v>63</v>
      </c>
      <c r="H26" s="26">
        <v>2575</v>
      </c>
    </row>
    <row r="27" spans="1:8" x14ac:dyDescent="0.25">
      <c r="A27" s="13" t="s">
        <v>54</v>
      </c>
      <c r="B27" s="26">
        <v>6306</v>
      </c>
      <c r="D27" s="13" t="s">
        <v>53</v>
      </c>
      <c r="E27" s="26">
        <v>3382</v>
      </c>
      <c r="G27" s="13" t="s">
        <v>54</v>
      </c>
      <c r="H27" s="26">
        <v>2413</v>
      </c>
    </row>
    <row r="28" spans="1:8" x14ac:dyDescent="0.25">
      <c r="A28" s="13" t="s">
        <v>53</v>
      </c>
      <c r="B28" s="26">
        <v>6153</v>
      </c>
      <c r="D28" s="13" t="s">
        <v>54</v>
      </c>
      <c r="E28" s="26">
        <v>3348</v>
      </c>
      <c r="G28" s="13" t="s">
        <v>53</v>
      </c>
      <c r="H28" s="26">
        <v>2402</v>
      </c>
    </row>
    <row r="29" spans="1:8" x14ac:dyDescent="0.25">
      <c r="A29" s="13" t="s">
        <v>64</v>
      </c>
      <c r="B29" s="26">
        <v>5056</v>
      </c>
      <c r="D29" s="13" t="s">
        <v>64</v>
      </c>
      <c r="E29" s="26">
        <v>2631</v>
      </c>
      <c r="G29" s="13" t="s">
        <v>64</v>
      </c>
      <c r="H29" s="26">
        <v>1858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41BA-58DE-4468-ADAA-75BC34772839}">
  <dimension ref="A1:H28"/>
  <sheetViews>
    <sheetView workbookViewId="0">
      <selection activeCell="B4" sqref="B4:B5"/>
    </sheetView>
  </sheetViews>
  <sheetFormatPr defaultColWidth="12.5703125" defaultRowHeight="15" x14ac:dyDescent="0.25"/>
  <cols>
    <col min="1" max="1" width="31.85546875" bestFit="1" customWidth="1"/>
    <col min="2" max="2" width="9.140625" bestFit="1" customWidth="1"/>
    <col min="3" max="3" width="15.28515625" bestFit="1" customWidth="1"/>
    <col min="4" max="4" width="31.85546875" bestFit="1" customWidth="1"/>
    <col min="5" max="5" width="8.7109375" bestFit="1" customWidth="1"/>
    <col min="7" max="7" width="31.85546875" bestFit="1" customWidth="1"/>
    <col min="8" max="8" width="8.7109375" bestFit="1" customWidth="1"/>
  </cols>
  <sheetData>
    <row r="1" spans="1:8" ht="21" thickBot="1" x14ac:dyDescent="0.35">
      <c r="A1" s="100" t="s">
        <v>68</v>
      </c>
      <c r="B1" s="101"/>
      <c r="C1" s="101"/>
      <c r="D1" s="101"/>
      <c r="E1" s="101"/>
      <c r="F1" s="101"/>
      <c r="G1" s="101"/>
      <c r="H1" s="102"/>
    </row>
    <row r="2" spans="1:8" ht="15.75" thickBot="1" x14ac:dyDescent="0.3">
      <c r="A2" s="103" t="s">
        <v>0</v>
      </c>
      <c r="B2" s="104"/>
      <c r="C2" s="20"/>
      <c r="D2" s="103" t="s">
        <v>22</v>
      </c>
      <c r="E2" s="104"/>
      <c r="G2" s="103" t="s">
        <v>23</v>
      </c>
      <c r="H2" s="104"/>
    </row>
    <row r="3" spans="1:8" x14ac:dyDescent="0.25">
      <c r="A3" s="14" t="s">
        <v>1</v>
      </c>
      <c r="B3" s="15">
        <v>63204</v>
      </c>
      <c r="C3" s="20"/>
      <c r="D3" s="14" t="s">
        <v>1</v>
      </c>
      <c r="E3" s="15">
        <v>32505</v>
      </c>
      <c r="G3" s="14" t="s">
        <v>1</v>
      </c>
      <c r="H3" s="15">
        <v>22505</v>
      </c>
    </row>
    <row r="4" spans="1:8" x14ac:dyDescent="0.25">
      <c r="A4" s="5" t="s">
        <v>2</v>
      </c>
      <c r="B4" s="6">
        <f>SUM(B8:B28)</f>
        <v>1537477</v>
      </c>
      <c r="C4" s="20"/>
      <c r="D4" s="5" t="s">
        <v>2</v>
      </c>
      <c r="E4" s="6">
        <f>SUM(E8:E28)</f>
        <v>627745</v>
      </c>
      <c r="G4" s="5" t="s">
        <v>2</v>
      </c>
      <c r="H4" s="6">
        <f>SUM(H8:H28)</f>
        <v>440176</v>
      </c>
    </row>
    <row r="5" spans="1:8" x14ac:dyDescent="0.25">
      <c r="A5" s="5" t="s">
        <v>3</v>
      </c>
      <c r="B5" s="3">
        <f>B3/B4</f>
        <v>4.1108907645447702E-2</v>
      </c>
      <c r="C5" s="21"/>
      <c r="D5" s="5" t="s">
        <v>3</v>
      </c>
      <c r="E5" s="3">
        <f>E3/E4</f>
        <v>5.1780579693984023E-2</v>
      </c>
      <c r="F5" s="7"/>
      <c r="G5" s="5" t="s">
        <v>3</v>
      </c>
      <c r="H5" s="3">
        <f>H3/H4</f>
        <v>5.1127276362182401E-2</v>
      </c>
    </row>
    <row r="6" spans="1:8" ht="15.75" thickBot="1" x14ac:dyDescent="0.3">
      <c r="A6" s="2"/>
      <c r="B6" s="2"/>
      <c r="C6" s="20"/>
      <c r="D6" s="2"/>
      <c r="E6" s="2"/>
      <c r="G6" s="2"/>
      <c r="H6" s="2"/>
    </row>
    <row r="7" spans="1:8" ht="15.75" thickBot="1" x14ac:dyDescent="0.3">
      <c r="A7" s="105" t="s">
        <v>30</v>
      </c>
      <c r="B7" s="105"/>
      <c r="C7" s="22"/>
      <c r="D7" s="105" t="s">
        <v>30</v>
      </c>
      <c r="E7" s="105"/>
      <c r="F7" s="17"/>
      <c r="G7" s="105" t="s">
        <v>30</v>
      </c>
      <c r="H7" s="105"/>
    </row>
    <row r="8" spans="1:8" ht="15.75" thickBot="1" x14ac:dyDescent="0.3">
      <c r="A8" s="13" t="str">
        <f>[1]Sheet1!A8</f>
        <v>California</v>
      </c>
      <c r="B8" s="26">
        <f>[1]Sheet1!B8</f>
        <v>328145</v>
      </c>
      <c r="C8" s="24"/>
      <c r="D8" s="13" t="s">
        <v>57</v>
      </c>
      <c r="E8" s="26">
        <v>162778</v>
      </c>
      <c r="F8" s="25"/>
      <c r="G8" s="13" t="s">
        <v>57</v>
      </c>
      <c r="H8" s="26">
        <v>112112</v>
      </c>
    </row>
    <row r="9" spans="1:8" ht="15.75" thickBot="1" x14ac:dyDescent="0.3">
      <c r="A9" s="13" t="str">
        <f>[1]Sheet1!A9</f>
        <v>Utah</v>
      </c>
      <c r="B9" s="26">
        <f>[1]Sheet1!B9</f>
        <v>298376</v>
      </c>
      <c r="C9" s="24"/>
      <c r="D9" s="13" t="s">
        <v>58</v>
      </c>
      <c r="E9" s="26">
        <v>93681</v>
      </c>
      <c r="F9" s="25"/>
      <c r="G9" s="13" t="s">
        <v>58</v>
      </c>
      <c r="H9" s="26">
        <v>65850</v>
      </c>
    </row>
    <row r="10" spans="1:8" ht="15.75" thickBot="1" x14ac:dyDescent="0.3">
      <c r="A10" s="13" t="str">
        <f>[1]Sheet1!A10</f>
        <v>Georgia</v>
      </c>
      <c r="B10" s="26">
        <f>[1]Sheet1!B10</f>
        <v>188921</v>
      </c>
      <c r="C10" s="24"/>
      <c r="D10" s="13" t="s">
        <v>59</v>
      </c>
      <c r="E10" s="26">
        <v>40863</v>
      </c>
      <c r="F10" s="25"/>
      <c r="G10" s="13" t="s">
        <v>42</v>
      </c>
      <c r="H10" s="26">
        <v>31307</v>
      </c>
    </row>
    <row r="11" spans="1:8" ht="15.75" thickBot="1" x14ac:dyDescent="0.3">
      <c r="A11" s="13" t="str">
        <f>[1]Sheet1!A11</f>
        <v>South Carolina</v>
      </c>
      <c r="B11" s="26">
        <f>[1]Sheet1!B11</f>
        <v>82553</v>
      </c>
      <c r="C11" s="24"/>
      <c r="D11" s="13" t="s">
        <v>42</v>
      </c>
      <c r="E11" s="26">
        <v>40220</v>
      </c>
      <c r="F11" s="25"/>
      <c r="G11" s="13" t="s">
        <v>59</v>
      </c>
      <c r="H11" s="26">
        <v>29092</v>
      </c>
    </row>
    <row r="12" spans="1:8" ht="15.75" thickBot="1" x14ac:dyDescent="0.3">
      <c r="A12" s="13" t="str">
        <f>[1]Sheet1!A12</f>
        <v>Florida</v>
      </c>
      <c r="B12" s="26">
        <f>[1]Sheet1!B12</f>
        <v>81830</v>
      </c>
      <c r="C12" s="24"/>
      <c r="D12" s="13" t="s">
        <v>43</v>
      </c>
      <c r="E12" s="26">
        <v>38477</v>
      </c>
      <c r="F12" s="25"/>
      <c r="G12" s="13" t="s">
        <v>43</v>
      </c>
      <c r="H12" s="26">
        <v>26500</v>
      </c>
    </row>
    <row r="13" spans="1:8" ht="15.75" thickBot="1" x14ac:dyDescent="0.3">
      <c r="A13" s="13" t="str">
        <f>[1]Sheet1!A13</f>
        <v>Washington</v>
      </c>
      <c r="B13" s="26">
        <f>[1]Sheet1!B13</f>
        <v>78759</v>
      </c>
      <c r="C13" s="24"/>
      <c r="D13" s="13" t="s">
        <v>44</v>
      </c>
      <c r="E13" s="26">
        <v>37331</v>
      </c>
      <c r="F13" s="25"/>
      <c r="G13" s="13" t="s">
        <v>44</v>
      </c>
      <c r="H13" s="26">
        <v>25075</v>
      </c>
    </row>
    <row r="14" spans="1:8" ht="15.75" thickBot="1" x14ac:dyDescent="0.3">
      <c r="A14" s="13" t="str">
        <f>[1]Sheet1!A14</f>
        <v>Missouri</v>
      </c>
      <c r="B14" s="26">
        <f>[1]Sheet1!B14</f>
        <v>75735</v>
      </c>
      <c r="C14" s="24"/>
      <c r="D14" s="13" t="s">
        <v>45</v>
      </c>
      <c r="E14" s="26">
        <v>37147</v>
      </c>
      <c r="F14" s="25"/>
      <c r="G14" s="13" t="s">
        <v>45</v>
      </c>
      <c r="H14" s="26">
        <v>24998</v>
      </c>
    </row>
    <row r="15" spans="1:8" ht="15.75" thickBot="1" x14ac:dyDescent="0.3">
      <c r="A15" s="13" t="str">
        <f>[1]Sheet1!A15</f>
        <v>Alabama</v>
      </c>
      <c r="B15" s="26">
        <f>[1]Sheet1!B15</f>
        <v>74102</v>
      </c>
      <c r="C15" s="24"/>
      <c r="D15" s="13" t="s">
        <v>60</v>
      </c>
      <c r="E15" s="26">
        <v>29126</v>
      </c>
      <c r="F15" s="25"/>
      <c r="G15" s="13" t="s">
        <v>60</v>
      </c>
      <c r="H15" s="26">
        <v>21035</v>
      </c>
    </row>
    <row r="16" spans="1:8" ht="15.75" thickBot="1" x14ac:dyDescent="0.3">
      <c r="A16" s="13" t="str">
        <f>[1]Sheet1!A16</f>
        <v>Minnesota</v>
      </c>
      <c r="B16" s="26">
        <f>[1]Sheet1!B16</f>
        <v>58919</v>
      </c>
      <c r="C16" s="24"/>
      <c r="D16" s="13" t="s">
        <v>46</v>
      </c>
      <c r="E16" s="26">
        <v>28766</v>
      </c>
      <c r="F16" s="25"/>
      <c r="G16" s="13" t="s">
        <v>46</v>
      </c>
      <c r="H16" s="26">
        <v>20211</v>
      </c>
    </row>
    <row r="17" spans="1:8" ht="15.75" thickBot="1" x14ac:dyDescent="0.3">
      <c r="A17" s="13" t="str">
        <f>[1]Sheet1!A17</f>
        <v>Wisconsin</v>
      </c>
      <c r="B17" s="26">
        <f>[1]Sheet1!B17</f>
        <v>57721</v>
      </c>
      <c r="C17" s="24"/>
      <c r="D17" s="13" t="s">
        <v>47</v>
      </c>
      <c r="E17" s="26">
        <v>23960</v>
      </c>
      <c r="F17" s="25"/>
      <c r="G17" s="13" t="s">
        <v>61</v>
      </c>
      <c r="H17" s="26">
        <v>17548</v>
      </c>
    </row>
    <row r="18" spans="1:8" ht="15.75" thickBot="1" x14ac:dyDescent="0.3">
      <c r="A18" s="13" t="str">
        <f>[1]Sheet1!A18</f>
        <v>Oklahoma</v>
      </c>
      <c r="B18" s="26">
        <f>[1]Sheet1!B18</f>
        <v>48089</v>
      </c>
      <c r="C18" s="24"/>
      <c r="D18" s="13" t="s">
        <v>61</v>
      </c>
      <c r="E18" s="26">
        <v>23710</v>
      </c>
      <c r="F18" s="25"/>
      <c r="G18" s="13" t="s">
        <v>47</v>
      </c>
      <c r="H18" s="26">
        <v>16138</v>
      </c>
    </row>
    <row r="19" spans="1:8" ht="15.75" thickBot="1" x14ac:dyDescent="0.3">
      <c r="A19" s="13" t="str">
        <f>[1]Sheet1!A19</f>
        <v>Mississippi</v>
      </c>
      <c r="B19" s="26">
        <f>[1]Sheet1!B19</f>
        <v>47996</v>
      </c>
      <c r="C19" s="24"/>
      <c r="D19" s="13" t="s">
        <v>48</v>
      </c>
      <c r="E19" s="26">
        <v>14248</v>
      </c>
      <c r="F19" s="25"/>
      <c r="G19" s="13" t="s">
        <v>48</v>
      </c>
      <c r="H19" s="26">
        <v>10482</v>
      </c>
    </row>
    <row r="20" spans="1:8" ht="15.75" thickBot="1" x14ac:dyDescent="0.3">
      <c r="A20" s="13" t="str">
        <f>[1]Sheet1!A20</f>
        <v>District of Columbia</v>
      </c>
      <c r="B20" s="26">
        <f>[1]Sheet1!B20</f>
        <v>27685</v>
      </c>
      <c r="C20" s="24"/>
      <c r="D20" s="13" t="s">
        <v>49</v>
      </c>
      <c r="E20" s="26">
        <v>13716</v>
      </c>
      <c r="F20" s="25"/>
      <c r="G20" s="13" t="s">
        <v>49</v>
      </c>
      <c r="H20" s="26">
        <v>9162</v>
      </c>
    </row>
    <row r="21" spans="1:8" ht="15.75" thickBot="1" x14ac:dyDescent="0.3">
      <c r="A21" s="13" t="str">
        <f>[1]Sheet1!A21</f>
        <v>New Mexico</v>
      </c>
      <c r="B21" s="26">
        <f>[1]Sheet1!B21</f>
        <v>19307</v>
      </c>
      <c r="C21" s="24"/>
      <c r="D21" s="13" t="s">
        <v>50</v>
      </c>
      <c r="E21" s="26">
        <v>9629</v>
      </c>
      <c r="F21" s="25"/>
      <c r="G21" s="13" t="s">
        <v>50</v>
      </c>
      <c r="H21" s="26">
        <v>6589</v>
      </c>
    </row>
    <row r="22" spans="1:8" x14ac:dyDescent="0.25">
      <c r="A22" s="13" t="str">
        <f>[1]Sheet1!A22</f>
        <v>Idaho</v>
      </c>
      <c r="B22" s="26">
        <f>[1]Sheet1!B22</f>
        <v>16645</v>
      </c>
      <c r="D22" s="13" t="s">
        <v>62</v>
      </c>
      <c r="E22" s="26">
        <v>8234</v>
      </c>
      <c r="G22" s="13" t="s">
        <v>62</v>
      </c>
      <c r="H22" s="26">
        <v>5748</v>
      </c>
    </row>
    <row r="23" spans="1:8" x14ac:dyDescent="0.25">
      <c r="A23" s="13" t="str">
        <f>[1]Sheet1!A23</f>
        <v>Delaware</v>
      </c>
      <c r="B23" s="26">
        <f>[1]Sheet1!B23</f>
        <v>14923</v>
      </c>
      <c r="D23" s="13" t="s">
        <v>52</v>
      </c>
      <c r="E23" s="26">
        <v>7448</v>
      </c>
      <c r="G23" s="13" t="s">
        <v>52</v>
      </c>
      <c r="H23" s="26">
        <v>5183</v>
      </c>
    </row>
    <row r="24" spans="1:8" x14ac:dyDescent="0.25">
      <c r="A24" s="13" t="str">
        <f>[1]Sheet1!A24</f>
        <v>Montana</v>
      </c>
      <c r="B24" s="26">
        <f>[1]Sheet1!B24</f>
        <v>9157</v>
      </c>
      <c r="D24" s="13" t="s">
        <v>51</v>
      </c>
      <c r="E24" s="26">
        <v>4489</v>
      </c>
      <c r="G24" s="13" t="s">
        <v>51</v>
      </c>
      <c r="H24" s="26">
        <v>3048</v>
      </c>
    </row>
    <row r="25" spans="1:8" x14ac:dyDescent="0.25">
      <c r="A25" s="13" t="str">
        <f>[1]Sheet1!A25</f>
        <v>Hawaii</v>
      </c>
      <c r="B25" s="26">
        <f>[1]Sheet1!B25</f>
        <v>7887</v>
      </c>
      <c r="D25" s="13" t="s">
        <v>63</v>
      </c>
      <c r="E25" s="26">
        <v>3839</v>
      </c>
      <c r="G25" s="13" t="s">
        <v>63</v>
      </c>
      <c r="H25" s="26">
        <v>2822</v>
      </c>
    </row>
    <row r="26" spans="1:8" x14ac:dyDescent="0.25">
      <c r="A26" s="13" t="str">
        <f>[1]Sheet1!A26</f>
        <v>South Dakota</v>
      </c>
      <c r="B26" s="26">
        <f>[1]Sheet1!B26</f>
        <v>7661</v>
      </c>
      <c r="D26" s="13" t="s">
        <v>53</v>
      </c>
      <c r="E26" s="26">
        <v>3724</v>
      </c>
      <c r="G26" s="13" t="s">
        <v>53</v>
      </c>
      <c r="H26" s="26">
        <v>2779</v>
      </c>
    </row>
    <row r="27" spans="1:8" x14ac:dyDescent="0.25">
      <c r="A27" s="13" t="str">
        <f>[1]Sheet1!A27</f>
        <v>North Dakota</v>
      </c>
      <c r="B27" s="26">
        <f>[1]Sheet1!B27</f>
        <v>7410</v>
      </c>
      <c r="D27" s="13" t="s">
        <v>54</v>
      </c>
      <c r="E27" s="26">
        <v>3601</v>
      </c>
      <c r="G27" s="13" t="s">
        <v>54</v>
      </c>
      <c r="H27" s="26">
        <v>2589</v>
      </c>
    </row>
    <row r="28" spans="1:8" x14ac:dyDescent="0.25">
      <c r="A28" s="13" t="str">
        <f>[1]Sheet1!A28</f>
        <v>Alaska</v>
      </c>
      <c r="B28" s="26">
        <f>[1]Sheet1!B28</f>
        <v>5656</v>
      </c>
      <c r="D28" s="13" t="s">
        <v>64</v>
      </c>
      <c r="E28" s="26">
        <v>2758</v>
      </c>
      <c r="G28" s="13" t="s">
        <v>64</v>
      </c>
      <c r="H28" s="26">
        <v>1908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8827-0377-4E27-AF76-6AFF7402C173}">
  <dimension ref="A1:T28"/>
  <sheetViews>
    <sheetView workbookViewId="0">
      <selection activeCell="B5" sqref="B5"/>
    </sheetView>
  </sheetViews>
  <sheetFormatPr defaultRowHeight="15" x14ac:dyDescent="0.25"/>
  <cols>
    <col min="1" max="1" width="26.140625" bestFit="1" customWidth="1"/>
    <col min="2" max="2" width="9.140625" bestFit="1" customWidth="1"/>
    <col min="4" max="4" width="26.140625" bestFit="1" customWidth="1"/>
    <col min="5" max="5" width="8.7109375" bestFit="1" customWidth="1"/>
    <col min="7" max="7" width="26.140625" bestFit="1" customWidth="1"/>
    <col min="8" max="8" width="7.5703125" bestFit="1" customWidth="1"/>
    <col min="10" max="11" width="11.7109375" bestFit="1" customWidth="1"/>
    <col min="12" max="12" width="7.85546875" bestFit="1" customWidth="1"/>
    <col min="14" max="15" width="11.7109375" bestFit="1" customWidth="1"/>
    <col min="16" max="16" width="7.85546875" bestFit="1" customWidth="1"/>
    <col min="18" max="19" width="11.7109375" bestFit="1" customWidth="1"/>
    <col min="20" max="20" width="7.85546875" bestFit="1" customWidth="1"/>
  </cols>
  <sheetData>
    <row r="1" spans="1:20" ht="18.75" customHeight="1" thickBot="1" x14ac:dyDescent="0.3">
      <c r="A1" s="117" t="s">
        <v>69</v>
      </c>
      <c r="B1" s="118"/>
      <c r="C1" s="118"/>
      <c r="D1" s="118"/>
      <c r="E1" s="118"/>
      <c r="F1" s="118"/>
      <c r="G1" s="118"/>
      <c r="H1" s="118"/>
      <c r="I1" s="33"/>
      <c r="J1" s="106" t="s">
        <v>70</v>
      </c>
      <c r="K1" s="107"/>
      <c r="L1" s="107"/>
      <c r="M1" s="107"/>
      <c r="N1" s="107"/>
      <c r="O1" s="107"/>
      <c r="P1" s="107"/>
      <c r="Q1" s="107"/>
      <c r="R1" s="107"/>
      <c r="S1" s="107"/>
      <c r="T1" s="108"/>
    </row>
    <row r="2" spans="1:20" ht="15.75" thickBot="1" x14ac:dyDescent="0.3">
      <c r="A2" s="103" t="s">
        <v>0</v>
      </c>
      <c r="B2" s="104"/>
      <c r="C2" s="45"/>
      <c r="D2" s="103" t="s">
        <v>22</v>
      </c>
      <c r="E2" s="104"/>
      <c r="F2" s="45"/>
      <c r="G2" s="103" t="s">
        <v>23</v>
      </c>
      <c r="H2" s="104"/>
      <c r="I2" s="33"/>
      <c r="J2" s="109"/>
      <c r="K2" s="110"/>
      <c r="L2" s="110"/>
      <c r="M2" s="110"/>
      <c r="N2" s="110"/>
      <c r="O2" s="110"/>
      <c r="P2" s="110"/>
      <c r="Q2" s="110"/>
      <c r="R2" s="110"/>
      <c r="S2" s="110"/>
      <c r="T2" s="111"/>
    </row>
    <row r="3" spans="1:20" x14ac:dyDescent="0.25">
      <c r="A3" s="52" t="s">
        <v>1</v>
      </c>
      <c r="B3" s="53">
        <v>62000</v>
      </c>
      <c r="D3" s="54" t="s">
        <v>1</v>
      </c>
      <c r="E3" s="53">
        <v>36000</v>
      </c>
      <c r="G3" s="54" t="s">
        <v>1</v>
      </c>
      <c r="H3" s="55">
        <v>25000</v>
      </c>
      <c r="I3" s="33"/>
      <c r="J3" s="112" t="s">
        <v>71</v>
      </c>
      <c r="K3" s="113"/>
      <c r="L3" s="114"/>
      <c r="M3" s="34"/>
      <c r="N3" s="115" t="s">
        <v>72</v>
      </c>
      <c r="O3" s="113"/>
      <c r="P3" s="114"/>
      <c r="Q3" s="34"/>
      <c r="R3" s="115" t="s">
        <v>73</v>
      </c>
      <c r="S3" s="113"/>
      <c r="T3" s="116"/>
    </row>
    <row r="4" spans="1:20" x14ac:dyDescent="0.25">
      <c r="A4" s="46" t="s">
        <v>2</v>
      </c>
      <c r="B4" s="6">
        <f>SUM(B8:B28)</f>
        <v>1424649</v>
      </c>
      <c r="D4" s="5" t="s">
        <v>2</v>
      </c>
      <c r="E4" s="6">
        <f>SUM(E8:E28)</f>
        <v>734959</v>
      </c>
      <c r="G4" s="5" t="s">
        <v>2</v>
      </c>
      <c r="H4" s="47">
        <f>SUM(H8:H28)</f>
        <v>510541</v>
      </c>
      <c r="I4" s="33"/>
      <c r="J4" s="35" t="s">
        <v>74</v>
      </c>
      <c r="K4" s="28" t="s">
        <v>75</v>
      </c>
      <c r="L4" s="28" t="s">
        <v>76</v>
      </c>
      <c r="M4" s="32"/>
      <c r="N4" s="28" t="s">
        <v>74</v>
      </c>
      <c r="O4" s="29" t="s">
        <v>75</v>
      </c>
      <c r="P4" s="28" t="s">
        <v>76</v>
      </c>
      <c r="Q4" s="32"/>
      <c r="R4" s="28" t="s">
        <v>74</v>
      </c>
      <c r="S4" s="29" t="s">
        <v>75</v>
      </c>
      <c r="T4" s="36" t="s">
        <v>76</v>
      </c>
    </row>
    <row r="5" spans="1:20" x14ac:dyDescent="0.25">
      <c r="A5" s="46" t="s">
        <v>3</v>
      </c>
      <c r="B5" s="3">
        <f>B3/B4</f>
        <v>4.351949146772293E-2</v>
      </c>
      <c r="C5" s="7"/>
      <c r="D5" s="5" t="s">
        <v>3</v>
      </c>
      <c r="E5" s="3">
        <f>E3/E4</f>
        <v>4.8982324184070135E-2</v>
      </c>
      <c r="F5" s="7"/>
      <c r="G5" s="5" t="s">
        <v>3</v>
      </c>
      <c r="H5" s="48">
        <f>H3/H4</f>
        <v>4.8967663713590091E-2</v>
      </c>
      <c r="I5" s="33"/>
      <c r="J5" s="37" t="s">
        <v>77</v>
      </c>
      <c r="K5" s="30">
        <v>295515</v>
      </c>
      <c r="L5" s="31">
        <v>0.98460000000000003</v>
      </c>
      <c r="M5" s="32"/>
      <c r="N5" s="27" t="s">
        <v>77</v>
      </c>
      <c r="O5" s="30">
        <v>105942</v>
      </c>
      <c r="P5" s="31">
        <v>0.98529999999999995</v>
      </c>
      <c r="Q5" s="32"/>
      <c r="R5" s="27" t="s">
        <v>77</v>
      </c>
      <c r="S5" s="30">
        <v>143838</v>
      </c>
      <c r="T5" s="38">
        <v>0.98509999999999998</v>
      </c>
    </row>
    <row r="6" spans="1:20" x14ac:dyDescent="0.25">
      <c r="A6" s="49"/>
      <c r="B6" s="2"/>
      <c r="D6" s="2"/>
      <c r="E6" s="2"/>
      <c r="G6" s="2"/>
      <c r="H6" s="50"/>
      <c r="I6" s="33"/>
      <c r="J6" s="37" t="s">
        <v>78</v>
      </c>
      <c r="K6" s="30">
        <v>154263</v>
      </c>
      <c r="L6" s="31">
        <v>0.9929</v>
      </c>
      <c r="M6" s="32"/>
      <c r="N6" s="27" t="s">
        <v>78</v>
      </c>
      <c r="O6" s="30">
        <v>67544</v>
      </c>
      <c r="P6" s="31">
        <v>0.9929</v>
      </c>
      <c r="Q6" s="32"/>
      <c r="R6" s="27" t="s">
        <v>78</v>
      </c>
      <c r="S6" s="30">
        <v>95738</v>
      </c>
      <c r="T6" s="38">
        <v>0.99309999999999998</v>
      </c>
    </row>
    <row r="7" spans="1:20" x14ac:dyDescent="0.25">
      <c r="A7" s="46" t="s">
        <v>4</v>
      </c>
      <c r="B7" s="4"/>
      <c r="D7" s="5" t="s">
        <v>4</v>
      </c>
      <c r="E7" s="9"/>
      <c r="G7" s="5" t="s">
        <v>4</v>
      </c>
      <c r="H7" s="56"/>
      <c r="I7" s="33"/>
      <c r="J7" s="37" t="s">
        <v>79</v>
      </c>
      <c r="K7" s="30">
        <v>112527</v>
      </c>
      <c r="L7" s="31">
        <v>0.9889</v>
      </c>
      <c r="M7" s="32"/>
      <c r="N7" s="27" t="s">
        <v>79</v>
      </c>
      <c r="O7" s="30">
        <v>42634</v>
      </c>
      <c r="P7" s="31">
        <v>0.98880000000000001</v>
      </c>
      <c r="Q7" s="32"/>
      <c r="R7" s="27" t="s">
        <v>80</v>
      </c>
      <c r="S7" s="30">
        <v>59607</v>
      </c>
      <c r="T7" s="38">
        <v>0.99539999999999995</v>
      </c>
    </row>
    <row r="8" spans="1:20" x14ac:dyDescent="0.25">
      <c r="A8" s="37" t="s">
        <v>48</v>
      </c>
      <c r="B8" s="30">
        <v>298409</v>
      </c>
      <c r="D8" s="27" t="s">
        <v>57</v>
      </c>
      <c r="E8" s="30">
        <v>188286</v>
      </c>
      <c r="G8" s="27" t="s">
        <v>57</v>
      </c>
      <c r="H8" s="57">
        <v>129900</v>
      </c>
      <c r="I8" s="33"/>
      <c r="J8" s="37" t="s">
        <v>80</v>
      </c>
      <c r="K8" s="30">
        <v>102417</v>
      </c>
      <c r="L8" s="31">
        <v>0.99519999999999997</v>
      </c>
      <c r="M8" s="32"/>
      <c r="N8" s="27" t="s">
        <v>80</v>
      </c>
      <c r="O8" s="30">
        <v>42011</v>
      </c>
      <c r="P8" s="31">
        <v>0.99539999999999995</v>
      </c>
      <c r="Q8" s="32"/>
      <c r="R8" s="27" t="s">
        <v>79</v>
      </c>
      <c r="S8" s="30">
        <v>57415</v>
      </c>
      <c r="T8" s="38">
        <v>0.98950000000000005</v>
      </c>
    </row>
    <row r="9" spans="1:20" x14ac:dyDescent="0.25">
      <c r="A9" s="37" t="s">
        <v>57</v>
      </c>
      <c r="B9" s="30">
        <v>295700</v>
      </c>
      <c r="D9" s="27" t="s">
        <v>58</v>
      </c>
      <c r="E9" s="30">
        <v>108669</v>
      </c>
      <c r="G9" s="27" t="s">
        <v>58</v>
      </c>
      <c r="H9" s="57">
        <v>74372</v>
      </c>
      <c r="I9" s="33"/>
      <c r="J9" s="37" t="s">
        <v>81</v>
      </c>
      <c r="K9" s="30">
        <v>76747</v>
      </c>
      <c r="L9" s="31">
        <v>0.98850000000000005</v>
      </c>
      <c r="M9" s="32"/>
      <c r="N9" s="27" t="s">
        <v>82</v>
      </c>
      <c r="O9" s="30">
        <v>10968</v>
      </c>
      <c r="P9" s="31">
        <v>0.96020000000000005</v>
      </c>
      <c r="Q9" s="32"/>
      <c r="R9" s="27" t="s">
        <v>81</v>
      </c>
      <c r="S9" s="30">
        <v>43578</v>
      </c>
      <c r="T9" s="38">
        <v>0.98850000000000005</v>
      </c>
    </row>
    <row r="10" spans="1:20" x14ac:dyDescent="0.25">
      <c r="A10" s="37" t="s">
        <v>58</v>
      </c>
      <c r="B10" s="30">
        <v>170236</v>
      </c>
      <c r="D10" s="27" t="s">
        <v>42</v>
      </c>
      <c r="E10" s="30">
        <v>49975</v>
      </c>
      <c r="G10" s="27" t="s">
        <v>42</v>
      </c>
      <c r="H10" s="57">
        <v>35812</v>
      </c>
      <c r="I10" s="33"/>
      <c r="J10" s="37" t="s">
        <v>83</v>
      </c>
      <c r="K10" s="30">
        <v>30817</v>
      </c>
      <c r="L10" s="31">
        <v>0.9859</v>
      </c>
      <c r="M10" s="32"/>
      <c r="N10" s="27" t="s">
        <v>83</v>
      </c>
      <c r="O10" s="30">
        <v>10865</v>
      </c>
      <c r="P10" s="31">
        <v>0.98599999999999999</v>
      </c>
      <c r="Q10" s="32"/>
      <c r="R10" s="27" t="s">
        <v>84</v>
      </c>
      <c r="S10" s="30">
        <v>15587</v>
      </c>
      <c r="T10" s="38">
        <v>0.95609999999999995</v>
      </c>
    </row>
    <row r="11" spans="1:20" x14ac:dyDescent="0.25">
      <c r="A11" s="37" t="s">
        <v>42</v>
      </c>
      <c r="B11" s="30">
        <v>77560</v>
      </c>
      <c r="D11" s="27" t="s">
        <v>59</v>
      </c>
      <c r="E11" s="30">
        <v>48560</v>
      </c>
      <c r="G11" s="27" t="s">
        <v>43</v>
      </c>
      <c r="H11" s="57">
        <v>33378</v>
      </c>
      <c r="I11" s="33"/>
      <c r="J11" s="37" t="s">
        <v>84</v>
      </c>
      <c r="K11" s="30">
        <v>30602</v>
      </c>
      <c r="L11" s="31">
        <v>0.95889999999999997</v>
      </c>
      <c r="M11" s="32"/>
      <c r="N11" s="27" t="s">
        <v>85</v>
      </c>
      <c r="O11" s="30">
        <v>10614</v>
      </c>
      <c r="P11" s="31">
        <v>0.99590000000000001</v>
      </c>
      <c r="Q11" s="32"/>
      <c r="R11" s="27" t="s">
        <v>85</v>
      </c>
      <c r="S11" s="30">
        <v>15105</v>
      </c>
      <c r="T11" s="38">
        <v>0.99550000000000005</v>
      </c>
    </row>
    <row r="12" spans="1:20" x14ac:dyDescent="0.25">
      <c r="A12" s="37" t="s">
        <v>59</v>
      </c>
      <c r="B12" s="30">
        <v>76414</v>
      </c>
      <c r="D12" s="27" t="s">
        <v>43</v>
      </c>
      <c r="E12" s="30">
        <v>46602</v>
      </c>
      <c r="G12" s="27" t="s">
        <v>59</v>
      </c>
      <c r="H12" s="57">
        <v>33175</v>
      </c>
      <c r="I12" s="33"/>
      <c r="J12" s="37" t="s">
        <v>82</v>
      </c>
      <c r="K12" s="30">
        <v>29745</v>
      </c>
      <c r="L12" s="31">
        <v>0.95930000000000004</v>
      </c>
      <c r="M12" s="32"/>
      <c r="N12" s="27" t="s">
        <v>84</v>
      </c>
      <c r="O12" s="30">
        <v>9658</v>
      </c>
      <c r="P12" s="31">
        <v>0.98499999999999999</v>
      </c>
      <c r="Q12" s="32"/>
      <c r="R12" s="27" t="s">
        <v>83</v>
      </c>
      <c r="S12" s="30">
        <v>14653</v>
      </c>
      <c r="T12" s="38">
        <v>0.98640000000000005</v>
      </c>
    </row>
    <row r="13" spans="1:20" x14ac:dyDescent="0.25">
      <c r="A13" s="37" t="s">
        <v>43</v>
      </c>
      <c r="B13" s="30">
        <v>72955</v>
      </c>
      <c r="D13" s="27" t="s">
        <v>45</v>
      </c>
      <c r="E13" s="30">
        <v>43222</v>
      </c>
      <c r="G13" s="27" t="s">
        <v>44</v>
      </c>
      <c r="H13" s="57">
        <v>29421</v>
      </c>
      <c r="I13" s="33"/>
      <c r="J13" s="37" t="s">
        <v>85</v>
      </c>
      <c r="K13" s="30">
        <v>24547</v>
      </c>
      <c r="L13" s="31">
        <v>0.99490000000000001</v>
      </c>
      <c r="M13" s="32"/>
      <c r="N13" s="27" t="s">
        <v>86</v>
      </c>
      <c r="O13" s="30">
        <v>7226</v>
      </c>
      <c r="P13" s="31">
        <v>0.98780000000000001</v>
      </c>
      <c r="Q13" s="32"/>
      <c r="R13" s="27" t="s">
        <v>82</v>
      </c>
      <c r="S13" s="30">
        <v>14416</v>
      </c>
      <c r="T13" s="38">
        <v>0.96020000000000005</v>
      </c>
    </row>
    <row r="14" spans="1:20" x14ac:dyDescent="0.25">
      <c r="A14" s="37" t="s">
        <v>45</v>
      </c>
      <c r="B14" s="30">
        <v>67712</v>
      </c>
      <c r="D14" s="27" t="s">
        <v>44</v>
      </c>
      <c r="E14" s="30">
        <v>42814</v>
      </c>
      <c r="G14" s="27" t="s">
        <v>45</v>
      </c>
      <c r="H14" s="57">
        <v>29029</v>
      </c>
      <c r="I14" s="33"/>
      <c r="J14" s="37" t="s">
        <v>87</v>
      </c>
      <c r="K14" s="30">
        <v>21652</v>
      </c>
      <c r="L14" s="31">
        <v>0.99619999999999997</v>
      </c>
      <c r="M14" s="32"/>
      <c r="N14" s="27" t="s">
        <v>87</v>
      </c>
      <c r="O14" s="30">
        <v>7224</v>
      </c>
      <c r="P14" s="31">
        <v>0.99570000000000003</v>
      </c>
      <c r="Q14" s="32"/>
      <c r="R14" s="27" t="s">
        <v>87</v>
      </c>
      <c r="S14" s="30">
        <v>10652</v>
      </c>
      <c r="T14" s="38">
        <v>0.99319999999999997</v>
      </c>
    </row>
    <row r="15" spans="1:20" x14ac:dyDescent="0.25">
      <c r="A15" s="37" t="s">
        <v>44</v>
      </c>
      <c r="B15" s="30">
        <v>66984</v>
      </c>
      <c r="D15" s="27" t="s">
        <v>60</v>
      </c>
      <c r="E15" s="30">
        <v>35331</v>
      </c>
      <c r="G15" s="27" t="s">
        <v>60</v>
      </c>
      <c r="H15" s="57">
        <v>25456</v>
      </c>
      <c r="I15" s="33"/>
      <c r="J15" s="37" t="s">
        <v>86</v>
      </c>
      <c r="K15" s="30">
        <v>20538</v>
      </c>
      <c r="L15" s="31">
        <v>0.9869</v>
      </c>
      <c r="M15" s="32"/>
      <c r="N15" s="27" t="s">
        <v>88</v>
      </c>
      <c r="O15" s="30">
        <v>6886</v>
      </c>
      <c r="P15" s="31">
        <v>0.94869999999999999</v>
      </c>
      <c r="Q15" s="32"/>
      <c r="R15" s="27" t="s">
        <v>86</v>
      </c>
      <c r="S15" s="30">
        <v>9905</v>
      </c>
      <c r="T15" s="38">
        <v>0.9869</v>
      </c>
    </row>
    <row r="16" spans="1:20" x14ac:dyDescent="0.25">
      <c r="A16" s="37" t="s">
        <v>60</v>
      </c>
      <c r="B16" s="30">
        <v>55610</v>
      </c>
      <c r="D16" s="27" t="s">
        <v>46</v>
      </c>
      <c r="E16" s="30">
        <v>33685</v>
      </c>
      <c r="G16" s="27" t="s">
        <v>46</v>
      </c>
      <c r="H16" s="57">
        <v>23611</v>
      </c>
      <c r="I16" s="33"/>
      <c r="J16" s="37" t="s">
        <v>88</v>
      </c>
      <c r="K16" s="30">
        <v>20089</v>
      </c>
      <c r="L16" s="31">
        <v>0.9597</v>
      </c>
      <c r="M16" s="32"/>
      <c r="N16" s="27" t="s">
        <v>89</v>
      </c>
      <c r="O16" s="30">
        <v>6653</v>
      </c>
      <c r="P16" s="31">
        <v>0.99429999999999996</v>
      </c>
      <c r="Q16" s="32"/>
      <c r="R16" s="27" t="s">
        <v>88</v>
      </c>
      <c r="S16" s="30">
        <v>9048</v>
      </c>
      <c r="T16" s="38">
        <v>0.95899999999999996</v>
      </c>
    </row>
    <row r="17" spans="1:20" x14ac:dyDescent="0.25">
      <c r="A17" s="37" t="s">
        <v>46</v>
      </c>
      <c r="B17" s="30">
        <v>52571</v>
      </c>
      <c r="D17" s="27" t="s">
        <v>47</v>
      </c>
      <c r="E17" s="30">
        <v>27400</v>
      </c>
      <c r="G17" s="27" t="s">
        <v>61</v>
      </c>
      <c r="H17" s="57">
        <v>19011</v>
      </c>
      <c r="I17" s="33"/>
      <c r="J17" s="37" t="s">
        <v>89</v>
      </c>
      <c r="K17" s="30">
        <v>16812</v>
      </c>
      <c r="L17" s="31">
        <v>0.99170000000000003</v>
      </c>
      <c r="M17" s="32"/>
      <c r="N17" s="27" t="s">
        <v>90</v>
      </c>
      <c r="O17" s="30">
        <v>5265</v>
      </c>
      <c r="P17" s="31">
        <v>0.92989999999999995</v>
      </c>
      <c r="Q17" s="32"/>
      <c r="R17" s="27" t="s">
        <v>89</v>
      </c>
      <c r="S17" s="30">
        <v>8636</v>
      </c>
      <c r="T17" s="38">
        <v>0.98870000000000002</v>
      </c>
    </row>
    <row r="18" spans="1:20" x14ac:dyDescent="0.25">
      <c r="A18" s="37" t="s">
        <v>47</v>
      </c>
      <c r="B18" s="30">
        <v>43047</v>
      </c>
      <c r="D18" s="27" t="s">
        <v>61</v>
      </c>
      <c r="E18" s="30">
        <v>27307</v>
      </c>
      <c r="G18" s="27" t="s">
        <v>47</v>
      </c>
      <c r="H18" s="57">
        <v>17598</v>
      </c>
      <c r="I18" s="33"/>
      <c r="J18" s="37" t="s">
        <v>90</v>
      </c>
      <c r="K18" s="30">
        <v>14374</v>
      </c>
      <c r="L18" s="31">
        <v>0.93789999999999996</v>
      </c>
      <c r="M18" s="32"/>
      <c r="N18" s="27" t="s">
        <v>91</v>
      </c>
      <c r="O18" s="30">
        <v>4561</v>
      </c>
      <c r="P18" s="31">
        <v>0.98839999999999995</v>
      </c>
      <c r="Q18" s="32"/>
      <c r="R18" s="27" t="s">
        <v>90</v>
      </c>
      <c r="S18" s="30">
        <v>7143</v>
      </c>
      <c r="T18" s="38">
        <v>0.93279999999999996</v>
      </c>
    </row>
    <row r="19" spans="1:20" x14ac:dyDescent="0.25">
      <c r="A19" s="37" t="s">
        <v>61</v>
      </c>
      <c r="B19" s="30">
        <v>42804</v>
      </c>
      <c r="D19" s="27" t="s">
        <v>48</v>
      </c>
      <c r="E19" s="30">
        <v>16813</v>
      </c>
      <c r="G19" s="27" t="s">
        <v>48</v>
      </c>
      <c r="H19" s="57">
        <v>12326</v>
      </c>
      <c r="I19" s="33"/>
      <c r="J19" s="37" t="s">
        <v>91</v>
      </c>
      <c r="K19" s="30">
        <v>12575</v>
      </c>
      <c r="L19" s="31">
        <v>0.98850000000000005</v>
      </c>
      <c r="M19" s="32"/>
      <c r="N19" s="27" t="s">
        <v>92</v>
      </c>
      <c r="O19" s="30">
        <v>4422</v>
      </c>
      <c r="P19" s="31">
        <v>0.98799999999999999</v>
      </c>
      <c r="Q19" s="32"/>
      <c r="R19" s="27" t="s">
        <v>91</v>
      </c>
      <c r="S19" s="30">
        <v>6067</v>
      </c>
      <c r="T19" s="38">
        <v>0.98880000000000001</v>
      </c>
    </row>
    <row r="20" spans="1:20" x14ac:dyDescent="0.25">
      <c r="A20" s="37" t="s">
        <v>49</v>
      </c>
      <c r="B20" s="30">
        <v>20686</v>
      </c>
      <c r="D20" s="27" t="s">
        <v>49</v>
      </c>
      <c r="E20" s="30">
        <v>12974</v>
      </c>
      <c r="G20" s="27" t="s">
        <v>49</v>
      </c>
      <c r="H20" s="57">
        <v>9322</v>
      </c>
      <c r="I20" s="33"/>
      <c r="J20" s="37" t="s">
        <v>93</v>
      </c>
      <c r="K20" s="30">
        <v>11888</v>
      </c>
      <c r="L20" s="31">
        <v>0.98950000000000005</v>
      </c>
      <c r="M20" s="32"/>
      <c r="N20" s="27" t="s">
        <v>94</v>
      </c>
      <c r="O20" s="30">
        <v>4289</v>
      </c>
      <c r="P20" s="31">
        <v>0.99209999999999998</v>
      </c>
      <c r="Q20" s="32"/>
      <c r="R20" s="27" t="s">
        <v>92</v>
      </c>
      <c r="S20" s="30">
        <v>5559</v>
      </c>
      <c r="T20" s="38">
        <v>0.99009999999999998</v>
      </c>
    </row>
    <row r="21" spans="1:20" x14ac:dyDescent="0.25">
      <c r="A21" s="37" t="s">
        <v>50</v>
      </c>
      <c r="B21" s="30">
        <v>18427</v>
      </c>
      <c r="D21" s="27" t="s">
        <v>50</v>
      </c>
      <c r="E21" s="30">
        <v>11504</v>
      </c>
      <c r="G21" s="27" t="s">
        <v>50</v>
      </c>
      <c r="H21" s="57">
        <v>8324</v>
      </c>
      <c r="I21" s="33"/>
      <c r="J21" s="37" t="s">
        <v>94</v>
      </c>
      <c r="K21" s="30">
        <v>11609</v>
      </c>
      <c r="L21" s="31">
        <v>0.99219999999999997</v>
      </c>
      <c r="M21" s="32"/>
      <c r="N21" s="27" t="s">
        <v>95</v>
      </c>
      <c r="O21" s="30">
        <v>4161</v>
      </c>
      <c r="P21" s="31">
        <v>0.98970000000000002</v>
      </c>
      <c r="Q21" s="32"/>
      <c r="R21" s="27" t="s">
        <v>95</v>
      </c>
      <c r="S21" s="30">
        <v>5538</v>
      </c>
      <c r="T21" s="38">
        <v>0.98919999999999997</v>
      </c>
    </row>
    <row r="22" spans="1:20" x14ac:dyDescent="0.25">
      <c r="A22" s="37" t="s">
        <v>62</v>
      </c>
      <c r="B22" s="30">
        <v>15687</v>
      </c>
      <c r="D22" s="27" t="s">
        <v>62</v>
      </c>
      <c r="E22" s="30">
        <v>9988</v>
      </c>
      <c r="G22" s="27" t="s">
        <v>62</v>
      </c>
      <c r="H22" s="57">
        <v>7273</v>
      </c>
      <c r="I22" s="33"/>
      <c r="J22" s="37" t="s">
        <v>92</v>
      </c>
      <c r="K22" s="30">
        <v>11311</v>
      </c>
      <c r="L22" s="31">
        <v>0.98819999999999997</v>
      </c>
      <c r="M22" s="32"/>
      <c r="N22" s="27" t="s">
        <v>93</v>
      </c>
      <c r="O22" s="30">
        <v>4045</v>
      </c>
      <c r="P22" s="31">
        <v>0.99229999999999996</v>
      </c>
      <c r="Q22" s="32"/>
      <c r="R22" s="27" t="s">
        <v>94</v>
      </c>
      <c r="S22" s="30">
        <v>5521</v>
      </c>
      <c r="T22" s="38">
        <v>0.99199999999999999</v>
      </c>
    </row>
    <row r="23" spans="1:20" x14ac:dyDescent="0.25">
      <c r="A23" s="37" t="s">
        <v>52</v>
      </c>
      <c r="B23" s="30">
        <v>14688</v>
      </c>
      <c r="D23" s="27" t="s">
        <v>52</v>
      </c>
      <c r="E23" s="30">
        <v>9404</v>
      </c>
      <c r="G23" s="27" t="s">
        <v>52</v>
      </c>
      <c r="H23" s="57">
        <v>6502</v>
      </c>
      <c r="I23" s="33"/>
      <c r="J23" s="37" t="s">
        <v>95</v>
      </c>
      <c r="K23" s="30">
        <v>11147</v>
      </c>
      <c r="L23" s="31">
        <v>0.98850000000000005</v>
      </c>
      <c r="M23" s="32"/>
      <c r="N23" s="27" t="s">
        <v>96</v>
      </c>
      <c r="O23" s="30">
        <v>3650</v>
      </c>
      <c r="P23" s="31">
        <v>0.99180000000000001</v>
      </c>
      <c r="Q23" s="32"/>
      <c r="R23" s="27" t="s">
        <v>93</v>
      </c>
      <c r="S23" s="30">
        <v>5505</v>
      </c>
      <c r="T23" s="38">
        <v>0.99160000000000004</v>
      </c>
    </row>
    <row r="24" spans="1:20" ht="15.75" thickBot="1" x14ac:dyDescent="0.3">
      <c r="A24" s="37" t="s">
        <v>51</v>
      </c>
      <c r="B24" s="30">
        <v>8394</v>
      </c>
      <c r="D24" s="27" t="s">
        <v>51</v>
      </c>
      <c r="E24" s="30">
        <v>5352</v>
      </c>
      <c r="G24" s="27" t="s">
        <v>51</v>
      </c>
      <c r="H24" s="57">
        <v>3795</v>
      </c>
      <c r="I24" s="33"/>
      <c r="J24" s="39" t="s">
        <v>96</v>
      </c>
      <c r="K24" s="40">
        <v>10439</v>
      </c>
      <c r="L24" s="41">
        <v>0.99129999999999996</v>
      </c>
      <c r="M24" s="42"/>
      <c r="N24" s="43" t="s">
        <v>97</v>
      </c>
      <c r="O24" s="40">
        <v>3511</v>
      </c>
      <c r="P24" s="41">
        <v>0.98550000000000004</v>
      </c>
      <c r="Q24" s="42"/>
      <c r="R24" s="43" t="s">
        <v>96</v>
      </c>
      <c r="S24" s="40">
        <v>4973</v>
      </c>
      <c r="T24" s="44">
        <v>0.99139999999999995</v>
      </c>
    </row>
    <row r="25" spans="1:20" x14ac:dyDescent="0.25">
      <c r="A25" s="37" t="s">
        <v>63</v>
      </c>
      <c r="B25" s="30">
        <v>7407</v>
      </c>
      <c r="D25" s="27" t="s">
        <v>63</v>
      </c>
      <c r="E25" s="30">
        <v>4857</v>
      </c>
      <c r="G25" s="27" t="s">
        <v>63</v>
      </c>
      <c r="H25" s="57">
        <v>3434</v>
      </c>
    </row>
    <row r="26" spans="1:20" x14ac:dyDescent="0.25">
      <c r="A26" s="37" t="s">
        <v>53</v>
      </c>
      <c r="B26" s="30">
        <v>7168</v>
      </c>
      <c r="D26" s="27" t="s">
        <v>53</v>
      </c>
      <c r="E26" s="30">
        <v>4468</v>
      </c>
      <c r="G26" s="27" t="s">
        <v>54</v>
      </c>
      <c r="H26" s="57">
        <v>3202</v>
      </c>
    </row>
    <row r="27" spans="1:20" x14ac:dyDescent="0.25">
      <c r="A27" s="37" t="s">
        <v>54</v>
      </c>
      <c r="B27" s="30">
        <v>6969</v>
      </c>
      <c r="D27" s="27" t="s">
        <v>54</v>
      </c>
      <c r="E27" s="30">
        <v>4410</v>
      </c>
      <c r="G27" s="27" t="s">
        <v>53</v>
      </c>
      <c r="H27" s="57">
        <v>3183</v>
      </c>
    </row>
    <row r="28" spans="1:20" ht="15.75" thickBot="1" x14ac:dyDescent="0.3">
      <c r="A28" s="39" t="s">
        <v>64</v>
      </c>
      <c r="B28" s="40">
        <v>5221</v>
      </c>
      <c r="C28" s="51"/>
      <c r="D28" s="43" t="s">
        <v>64</v>
      </c>
      <c r="E28" s="40">
        <v>3338</v>
      </c>
      <c r="F28" s="51"/>
      <c r="G28" s="43" t="s">
        <v>64</v>
      </c>
      <c r="H28" s="58">
        <v>2417</v>
      </c>
    </row>
  </sheetData>
  <mergeCells count="8">
    <mergeCell ref="J1:T2"/>
    <mergeCell ref="J3:L3"/>
    <mergeCell ref="N3:P3"/>
    <mergeCell ref="R3:T3"/>
    <mergeCell ref="A1:H1"/>
    <mergeCell ref="A2:B2"/>
    <mergeCell ref="D2:E2"/>
    <mergeCell ref="G2:H2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ABDC-C21E-46FC-AC85-D56B624B06D2}">
  <dimension ref="A1:T28"/>
  <sheetViews>
    <sheetView workbookViewId="0">
      <selection sqref="A1:H1"/>
    </sheetView>
  </sheetViews>
  <sheetFormatPr defaultRowHeight="15" x14ac:dyDescent="0.25"/>
  <cols>
    <col min="1" max="1" width="26.140625" bestFit="1" customWidth="1"/>
    <col min="4" max="4" width="26.140625" bestFit="1" customWidth="1"/>
    <col min="5" max="5" width="8.7109375" bestFit="1" customWidth="1"/>
    <col min="7" max="7" width="26.140625" bestFit="1" customWidth="1"/>
    <col min="8" max="8" width="7.5703125" bestFit="1" customWidth="1"/>
    <col min="10" max="10" width="11.7109375" bestFit="1" customWidth="1"/>
    <col min="11" max="11" width="11.85546875" bestFit="1" customWidth="1"/>
    <col min="12" max="12" width="8" bestFit="1" customWidth="1"/>
    <col min="14" max="14" width="11.7109375" bestFit="1" customWidth="1"/>
    <col min="15" max="15" width="11.85546875" bestFit="1" customWidth="1"/>
    <col min="16" max="16" width="8.28515625" bestFit="1" customWidth="1"/>
    <col min="18" max="18" width="11.7109375" bestFit="1" customWidth="1"/>
    <col min="19" max="19" width="11.85546875" bestFit="1" customWidth="1"/>
    <col min="20" max="20" width="8.28515625" bestFit="1" customWidth="1"/>
  </cols>
  <sheetData>
    <row r="1" spans="1:20" ht="18.75" customHeight="1" thickBot="1" x14ac:dyDescent="0.3">
      <c r="A1" s="117" t="s">
        <v>98</v>
      </c>
      <c r="B1" s="118"/>
      <c r="C1" s="118"/>
      <c r="D1" s="118"/>
      <c r="E1" s="118"/>
      <c r="F1" s="118"/>
      <c r="G1" s="118"/>
      <c r="H1" s="118"/>
      <c r="I1" s="33"/>
      <c r="J1" s="5" t="s">
        <v>71</v>
      </c>
      <c r="K1" s="4"/>
      <c r="L1" s="4"/>
      <c r="M1" s="62"/>
      <c r="N1" s="5" t="s">
        <v>72</v>
      </c>
      <c r="O1" s="4"/>
      <c r="P1" s="4"/>
      <c r="Q1" s="62"/>
      <c r="R1" s="5" t="s">
        <v>73</v>
      </c>
      <c r="S1" s="4"/>
      <c r="T1" s="4"/>
    </row>
    <row r="2" spans="1:20" ht="15.75" thickBot="1" x14ac:dyDescent="0.3">
      <c r="A2" s="103" t="s">
        <v>0</v>
      </c>
      <c r="B2" s="104"/>
      <c r="C2" s="45"/>
      <c r="D2" s="103" t="s">
        <v>22</v>
      </c>
      <c r="E2" s="104"/>
      <c r="F2" s="45"/>
      <c r="G2" s="103" t="s">
        <v>23</v>
      </c>
      <c r="H2" s="104"/>
      <c r="I2" s="33"/>
      <c r="J2" s="5" t="s">
        <v>74</v>
      </c>
      <c r="K2" s="63" t="s">
        <v>75</v>
      </c>
      <c r="L2" s="63" t="s">
        <v>76</v>
      </c>
      <c r="M2" s="62"/>
      <c r="N2" s="5" t="s">
        <v>74</v>
      </c>
      <c r="O2" s="63" t="s">
        <v>75</v>
      </c>
      <c r="P2" s="63" t="s">
        <v>76</v>
      </c>
      <c r="Q2" s="62"/>
      <c r="R2" s="5" t="s">
        <v>74</v>
      </c>
      <c r="S2" s="63" t="s">
        <v>75</v>
      </c>
      <c r="T2" s="5" t="s">
        <v>76</v>
      </c>
    </row>
    <row r="3" spans="1:20" x14ac:dyDescent="0.25">
      <c r="A3" s="52" t="s">
        <v>1</v>
      </c>
      <c r="B3" s="53">
        <v>28100</v>
      </c>
      <c r="D3" s="54" t="s">
        <v>1</v>
      </c>
      <c r="E3" s="53">
        <v>10600</v>
      </c>
      <c r="G3" s="54" t="s">
        <v>1</v>
      </c>
      <c r="H3" s="55">
        <v>21750</v>
      </c>
      <c r="I3" s="33"/>
      <c r="J3" s="4" t="s">
        <v>77</v>
      </c>
      <c r="K3" s="6">
        <v>178956</v>
      </c>
      <c r="L3" s="64">
        <v>0.98529999999999995</v>
      </c>
      <c r="M3" s="62"/>
      <c r="N3" s="4" t="s">
        <v>77</v>
      </c>
      <c r="O3" s="6">
        <v>116848</v>
      </c>
      <c r="P3" s="64">
        <v>0.98629999999999995</v>
      </c>
      <c r="Q3" s="62"/>
      <c r="R3" s="4" t="s">
        <v>78</v>
      </c>
      <c r="S3" s="6">
        <v>105593</v>
      </c>
      <c r="T3" s="64">
        <v>0.9919</v>
      </c>
    </row>
    <row r="4" spans="1:20" x14ac:dyDescent="0.25">
      <c r="A4" s="46" t="s">
        <v>2</v>
      </c>
      <c r="B4" s="6">
        <f>SUM(B8:B28)</f>
        <v>654635</v>
      </c>
      <c r="D4" s="5" t="s">
        <v>2</v>
      </c>
      <c r="E4" s="6">
        <f>SUM(E8:E28)</f>
        <v>208638</v>
      </c>
      <c r="G4" s="5" t="s">
        <v>2</v>
      </c>
      <c r="H4" s="47">
        <f>SUM(H8:H28)</f>
        <v>447711</v>
      </c>
      <c r="I4" s="33"/>
      <c r="J4" s="4" t="s">
        <v>78</v>
      </c>
      <c r="K4" s="6">
        <v>55768</v>
      </c>
      <c r="L4" s="64">
        <v>0.99309999999999998</v>
      </c>
      <c r="M4" s="62"/>
      <c r="N4" s="4" t="s">
        <v>78</v>
      </c>
      <c r="O4" s="6">
        <v>45415</v>
      </c>
      <c r="P4" s="64">
        <v>0.99180000000000001</v>
      </c>
      <c r="Q4" s="62"/>
      <c r="R4" s="4" t="s">
        <v>80</v>
      </c>
      <c r="S4" s="6">
        <v>76094</v>
      </c>
      <c r="T4" s="64">
        <v>0.99719999999999998</v>
      </c>
    </row>
    <row r="5" spans="1:20" x14ac:dyDescent="0.25">
      <c r="A5" s="46" t="s">
        <v>3</v>
      </c>
      <c r="B5" s="3">
        <f>B3/B4</f>
        <v>4.2924683220420541E-2</v>
      </c>
      <c r="C5" s="7"/>
      <c r="D5" s="5" t="s">
        <v>3</v>
      </c>
      <c r="E5" s="3">
        <f>E3/E4</f>
        <v>5.0805701741772832E-2</v>
      </c>
      <c r="F5" s="7"/>
      <c r="G5" s="5" t="s">
        <v>3</v>
      </c>
      <c r="H5" s="48">
        <f>H3/H4</f>
        <v>4.8580445867981797E-2</v>
      </c>
      <c r="I5" s="33"/>
      <c r="J5" s="4" t="s">
        <v>82</v>
      </c>
      <c r="K5" s="6">
        <v>49690</v>
      </c>
      <c r="L5" s="64">
        <v>0.98129999999999995</v>
      </c>
      <c r="M5" s="62"/>
      <c r="N5" s="4" t="s">
        <v>82</v>
      </c>
      <c r="O5" s="6">
        <v>38727</v>
      </c>
      <c r="P5" s="64">
        <v>0.98370000000000002</v>
      </c>
      <c r="Q5" s="62"/>
      <c r="R5" s="4" t="s">
        <v>85</v>
      </c>
      <c r="S5" s="6">
        <v>26119</v>
      </c>
      <c r="T5" s="64">
        <v>0.99580000000000002</v>
      </c>
    </row>
    <row r="6" spans="1:20" x14ac:dyDescent="0.25">
      <c r="A6" s="49"/>
      <c r="B6" s="2"/>
      <c r="D6" s="2"/>
      <c r="E6" s="2"/>
      <c r="G6" s="2"/>
      <c r="H6" s="50"/>
      <c r="I6" s="33"/>
      <c r="J6" s="4" t="s">
        <v>81</v>
      </c>
      <c r="K6" s="6">
        <v>44830</v>
      </c>
      <c r="L6" s="64">
        <v>0.98799999999999999</v>
      </c>
      <c r="M6" s="62"/>
      <c r="N6" s="4" t="s">
        <v>80</v>
      </c>
      <c r="O6" s="6">
        <v>35641</v>
      </c>
      <c r="P6" s="64">
        <v>0.99609999999999999</v>
      </c>
      <c r="Q6" s="62"/>
      <c r="R6" s="4" t="s">
        <v>99</v>
      </c>
      <c r="S6" s="4">
        <v>832</v>
      </c>
      <c r="T6" s="64">
        <v>1</v>
      </c>
    </row>
    <row r="7" spans="1:20" x14ac:dyDescent="0.25">
      <c r="A7" s="46" t="s">
        <v>4</v>
      </c>
      <c r="B7" s="4"/>
      <c r="D7" s="5" t="s">
        <v>4</v>
      </c>
      <c r="E7" s="9"/>
      <c r="G7" s="5" t="s">
        <v>4</v>
      </c>
      <c r="H7" s="56"/>
      <c r="I7" s="33"/>
      <c r="J7" s="4" t="s">
        <v>80</v>
      </c>
      <c r="K7" s="6">
        <v>42446</v>
      </c>
      <c r="L7" s="64">
        <v>0.99709999999999999</v>
      </c>
      <c r="M7" s="62"/>
      <c r="N7" s="4" t="s">
        <v>79</v>
      </c>
      <c r="O7" s="6">
        <v>23728</v>
      </c>
      <c r="P7" s="64">
        <v>0.98899999999999999</v>
      </c>
      <c r="Q7" s="62"/>
      <c r="R7" s="5" t="s">
        <v>100</v>
      </c>
      <c r="S7" s="65">
        <v>208638</v>
      </c>
      <c r="T7" s="66">
        <v>0.99429999999999996</v>
      </c>
    </row>
    <row r="8" spans="1:20" x14ac:dyDescent="0.25">
      <c r="A8" s="59" t="s">
        <v>48</v>
      </c>
      <c r="B8" s="6">
        <v>141431</v>
      </c>
      <c r="D8" s="27" t="s">
        <v>57</v>
      </c>
      <c r="E8" s="30">
        <v>60276</v>
      </c>
      <c r="G8" s="27" t="s">
        <v>57</v>
      </c>
      <c r="H8" s="57">
        <v>115855</v>
      </c>
      <c r="I8" s="33"/>
      <c r="J8" s="4" t="s">
        <v>79</v>
      </c>
      <c r="K8" s="6">
        <v>28675</v>
      </c>
      <c r="L8" s="64">
        <v>0.98980000000000001</v>
      </c>
      <c r="M8" s="62"/>
      <c r="N8" s="4" t="s">
        <v>83</v>
      </c>
      <c r="O8" s="6">
        <v>13834</v>
      </c>
      <c r="P8" s="64">
        <v>0.98880000000000001</v>
      </c>
      <c r="Q8" s="62"/>
      <c r="R8" s="62"/>
      <c r="S8" s="62"/>
      <c r="T8" s="62"/>
    </row>
    <row r="9" spans="1:20" x14ac:dyDescent="0.25">
      <c r="A9" s="59" t="s">
        <v>57</v>
      </c>
      <c r="B9" s="6">
        <v>139003</v>
      </c>
      <c r="D9" s="27" t="s">
        <v>58</v>
      </c>
      <c r="E9" s="30">
        <v>31795</v>
      </c>
      <c r="G9" s="27" t="s">
        <v>58</v>
      </c>
      <c r="H9" s="57">
        <v>67032</v>
      </c>
      <c r="I9" s="33"/>
      <c r="J9" s="4" t="s">
        <v>83</v>
      </c>
      <c r="K9" s="6">
        <v>19612</v>
      </c>
      <c r="L9" s="64">
        <v>0.98939999999999995</v>
      </c>
      <c r="M9" s="62"/>
      <c r="N9" s="4" t="s">
        <v>86</v>
      </c>
      <c r="O9" s="6">
        <v>13169</v>
      </c>
      <c r="P9" s="64">
        <v>0.9899</v>
      </c>
      <c r="Q9" s="62"/>
      <c r="R9" s="62"/>
      <c r="S9" s="62"/>
      <c r="T9" s="62"/>
    </row>
    <row r="10" spans="1:20" x14ac:dyDescent="0.25">
      <c r="A10" s="59" t="s">
        <v>58</v>
      </c>
      <c r="B10" s="6">
        <v>79094</v>
      </c>
      <c r="D10" s="27" t="s">
        <v>43</v>
      </c>
      <c r="E10" s="30">
        <v>13837</v>
      </c>
      <c r="G10" s="27" t="s">
        <v>43</v>
      </c>
      <c r="H10" s="57">
        <v>31698</v>
      </c>
      <c r="I10" s="33"/>
      <c r="J10" s="4" t="s">
        <v>86</v>
      </c>
      <c r="K10" s="6">
        <v>19085</v>
      </c>
      <c r="L10" s="64">
        <v>0.98929999999999996</v>
      </c>
      <c r="M10" s="62"/>
      <c r="N10" s="4" t="s">
        <v>85</v>
      </c>
      <c r="O10" s="6">
        <v>13006</v>
      </c>
      <c r="P10" s="64">
        <v>0.99680000000000002</v>
      </c>
      <c r="Q10" s="62"/>
      <c r="R10" s="62"/>
      <c r="S10" s="62"/>
      <c r="T10" s="62"/>
    </row>
    <row r="11" spans="1:20" x14ac:dyDescent="0.25">
      <c r="A11" s="59" t="s">
        <v>43</v>
      </c>
      <c r="B11" s="6">
        <v>35402</v>
      </c>
      <c r="D11" s="27" t="s">
        <v>59</v>
      </c>
      <c r="E11" s="30">
        <v>13719</v>
      </c>
      <c r="G11" s="27" t="s">
        <v>59</v>
      </c>
      <c r="H11" s="57">
        <v>29562</v>
      </c>
      <c r="I11" s="33"/>
      <c r="J11" s="4" t="s">
        <v>97</v>
      </c>
      <c r="K11" s="6">
        <v>13306</v>
      </c>
      <c r="L11" s="64">
        <v>0.98350000000000004</v>
      </c>
      <c r="M11" s="62"/>
      <c r="N11" s="4" t="s">
        <v>97</v>
      </c>
      <c r="O11" s="6">
        <v>10107</v>
      </c>
      <c r="P11" s="64">
        <v>0.98129999999999995</v>
      </c>
      <c r="Q11" s="62"/>
      <c r="R11" s="62"/>
      <c r="S11" s="62"/>
      <c r="T11" s="62"/>
    </row>
    <row r="12" spans="1:20" x14ac:dyDescent="0.25">
      <c r="A12" s="59" t="s">
        <v>59</v>
      </c>
      <c r="B12" s="6">
        <v>34944</v>
      </c>
      <c r="D12" s="27" t="s">
        <v>44</v>
      </c>
      <c r="E12" s="30">
        <v>12355</v>
      </c>
      <c r="G12" s="27" t="s">
        <v>42</v>
      </c>
      <c r="H12" s="57">
        <v>27677</v>
      </c>
      <c r="I12" s="33"/>
      <c r="J12" s="4" t="s">
        <v>85</v>
      </c>
      <c r="K12" s="6">
        <v>13258</v>
      </c>
      <c r="L12" s="64">
        <v>0.99390000000000001</v>
      </c>
      <c r="M12" s="62"/>
      <c r="N12" s="4" t="s">
        <v>101</v>
      </c>
      <c r="O12" s="6">
        <v>5747</v>
      </c>
      <c r="P12" s="64">
        <v>0.98919999999999997</v>
      </c>
      <c r="Q12" s="62"/>
      <c r="R12" s="62"/>
      <c r="S12" s="62"/>
      <c r="T12" s="62"/>
    </row>
    <row r="13" spans="1:20" x14ac:dyDescent="0.25">
      <c r="A13" s="59" t="s">
        <v>44</v>
      </c>
      <c r="B13" s="6">
        <v>31103</v>
      </c>
      <c r="D13" s="27" t="s">
        <v>45</v>
      </c>
      <c r="E13" s="30">
        <v>11978</v>
      </c>
      <c r="G13" s="27" t="s">
        <v>44</v>
      </c>
      <c r="H13" s="57">
        <v>26180</v>
      </c>
      <c r="I13" s="33"/>
      <c r="J13" s="4" t="s">
        <v>93</v>
      </c>
      <c r="K13" s="6">
        <v>8619</v>
      </c>
      <c r="L13" s="64">
        <v>0.99050000000000005</v>
      </c>
      <c r="M13" s="62"/>
      <c r="N13" s="4" t="s">
        <v>93</v>
      </c>
      <c r="O13" s="6">
        <v>5485</v>
      </c>
      <c r="P13" s="64">
        <v>0.99070000000000003</v>
      </c>
      <c r="Q13" s="62"/>
      <c r="R13" s="62"/>
      <c r="S13" s="62"/>
      <c r="T13" s="62"/>
    </row>
    <row r="14" spans="1:20" x14ac:dyDescent="0.25">
      <c r="A14" s="59" t="s">
        <v>45</v>
      </c>
      <c r="B14" s="6">
        <v>30851</v>
      </c>
      <c r="D14" s="27" t="s">
        <v>60</v>
      </c>
      <c r="E14" s="30">
        <v>10714</v>
      </c>
      <c r="G14" s="27" t="s">
        <v>45</v>
      </c>
      <c r="H14" s="57">
        <v>25009</v>
      </c>
      <c r="I14" s="33"/>
      <c r="J14" s="4" t="s">
        <v>101</v>
      </c>
      <c r="K14" s="6">
        <v>8238</v>
      </c>
      <c r="L14" s="64">
        <v>0.98880000000000001</v>
      </c>
      <c r="M14" s="62"/>
      <c r="N14" s="4" t="s">
        <v>95</v>
      </c>
      <c r="O14" s="6">
        <v>5090</v>
      </c>
      <c r="P14" s="64">
        <v>0.98129999999999995</v>
      </c>
      <c r="Q14" s="62"/>
      <c r="R14" s="62"/>
      <c r="S14" s="62"/>
      <c r="T14" s="62"/>
    </row>
    <row r="15" spans="1:20" x14ac:dyDescent="0.25">
      <c r="A15" s="59" t="s">
        <v>42</v>
      </c>
      <c r="B15" s="6">
        <v>29126</v>
      </c>
      <c r="D15" s="27" t="s">
        <v>46</v>
      </c>
      <c r="E15" s="30">
        <v>8793</v>
      </c>
      <c r="G15" s="27" t="s">
        <v>60</v>
      </c>
      <c r="H15" s="57">
        <v>22186</v>
      </c>
      <c r="I15" s="33"/>
      <c r="J15" s="4" t="s">
        <v>95</v>
      </c>
      <c r="K15" s="6">
        <v>6832</v>
      </c>
      <c r="L15" s="64">
        <v>0.98350000000000004</v>
      </c>
      <c r="M15" s="62"/>
      <c r="N15" s="4" t="s">
        <v>88</v>
      </c>
      <c r="O15" s="6">
        <v>4566</v>
      </c>
      <c r="P15" s="64">
        <v>0.98770000000000002</v>
      </c>
      <c r="Q15" s="62"/>
      <c r="R15" s="62"/>
      <c r="S15" s="62"/>
      <c r="T15" s="62"/>
    </row>
    <row r="16" spans="1:20" x14ac:dyDescent="0.25">
      <c r="A16" s="59" t="s">
        <v>60</v>
      </c>
      <c r="B16" s="6">
        <v>25234</v>
      </c>
      <c r="D16" s="27" t="s">
        <v>47</v>
      </c>
      <c r="E16" s="30">
        <v>7862</v>
      </c>
      <c r="G16" s="27" t="s">
        <v>46</v>
      </c>
      <c r="H16" s="57">
        <v>19911</v>
      </c>
      <c r="I16" s="33"/>
      <c r="J16" s="4" t="s">
        <v>88</v>
      </c>
      <c r="K16" s="6">
        <v>6405</v>
      </c>
      <c r="L16" s="64">
        <v>0.99060000000000004</v>
      </c>
      <c r="M16" s="62"/>
      <c r="N16" s="4" t="s">
        <v>92</v>
      </c>
      <c r="O16" s="6">
        <v>4354</v>
      </c>
      <c r="P16" s="64">
        <v>0.99239999999999995</v>
      </c>
      <c r="Q16" s="62"/>
      <c r="R16" s="62"/>
      <c r="S16" s="62"/>
      <c r="T16" s="62"/>
    </row>
    <row r="17" spans="1:20" x14ac:dyDescent="0.25">
      <c r="A17" s="59" t="s">
        <v>46</v>
      </c>
      <c r="B17" s="6">
        <v>23461</v>
      </c>
      <c r="D17" s="27" t="s">
        <v>61</v>
      </c>
      <c r="E17" s="30">
        <v>7184</v>
      </c>
      <c r="G17" s="27" t="s">
        <v>61</v>
      </c>
      <c r="H17" s="57">
        <v>15690</v>
      </c>
      <c r="I17" s="33"/>
      <c r="J17" s="4" t="s">
        <v>92</v>
      </c>
      <c r="K17" s="6">
        <v>5524</v>
      </c>
      <c r="L17" s="64">
        <v>0.9909</v>
      </c>
      <c r="M17" s="62"/>
      <c r="N17" s="4" t="s">
        <v>89</v>
      </c>
      <c r="O17" s="6">
        <v>4264</v>
      </c>
      <c r="P17" s="64">
        <v>0.99509999999999998</v>
      </c>
      <c r="Q17" s="62"/>
      <c r="R17" s="62"/>
      <c r="S17" s="62"/>
      <c r="T17" s="62"/>
    </row>
    <row r="18" spans="1:20" x14ac:dyDescent="0.25">
      <c r="A18" s="59" t="s">
        <v>47</v>
      </c>
      <c r="B18" s="6">
        <v>19982</v>
      </c>
      <c r="D18" s="27" t="s">
        <v>48</v>
      </c>
      <c r="E18" s="30">
        <v>5525</v>
      </c>
      <c r="G18" s="27" t="s">
        <v>47</v>
      </c>
      <c r="H18" s="57">
        <v>15363</v>
      </c>
      <c r="I18" s="33"/>
      <c r="J18" s="4" t="s">
        <v>89</v>
      </c>
      <c r="K18" s="6">
        <v>5452</v>
      </c>
      <c r="L18" s="64">
        <v>0.99390000000000001</v>
      </c>
      <c r="M18" s="62"/>
      <c r="N18" s="4" t="s">
        <v>87</v>
      </c>
      <c r="O18" s="6">
        <v>3260</v>
      </c>
      <c r="P18" s="64">
        <v>0.99570000000000003</v>
      </c>
      <c r="Q18" s="62"/>
      <c r="R18" s="62"/>
      <c r="S18" s="62"/>
      <c r="T18" s="62"/>
    </row>
    <row r="19" spans="1:20" x14ac:dyDescent="0.25">
      <c r="A19" s="59" t="s">
        <v>61</v>
      </c>
      <c r="B19" s="6">
        <v>18527</v>
      </c>
      <c r="D19" s="27" t="s">
        <v>49</v>
      </c>
      <c r="E19" s="30">
        <v>4714</v>
      </c>
      <c r="G19" s="27" t="s">
        <v>48</v>
      </c>
      <c r="H19" s="57">
        <v>10886</v>
      </c>
      <c r="I19" s="33"/>
      <c r="J19" s="4" t="s">
        <v>87</v>
      </c>
      <c r="K19" s="6">
        <v>4917</v>
      </c>
      <c r="L19" s="64">
        <v>0.99690000000000001</v>
      </c>
      <c r="M19" s="62"/>
      <c r="N19" s="4" t="s">
        <v>102</v>
      </c>
      <c r="O19" s="6">
        <v>3124</v>
      </c>
      <c r="P19" s="64">
        <v>0.99170000000000003</v>
      </c>
      <c r="Q19" s="62"/>
      <c r="R19" s="62"/>
      <c r="S19" s="62"/>
      <c r="T19" s="62"/>
    </row>
    <row r="20" spans="1:20" x14ac:dyDescent="0.25">
      <c r="A20" s="59" t="s">
        <v>49</v>
      </c>
      <c r="B20" s="6">
        <v>8958</v>
      </c>
      <c r="D20" s="27" t="s">
        <v>42</v>
      </c>
      <c r="E20" s="30">
        <v>3714</v>
      </c>
      <c r="G20" s="27" t="s">
        <v>49</v>
      </c>
      <c r="H20" s="57">
        <v>7944</v>
      </c>
      <c r="I20" s="33"/>
      <c r="J20" s="4" t="s">
        <v>103</v>
      </c>
      <c r="K20" s="6">
        <v>4295</v>
      </c>
      <c r="L20" s="64">
        <v>0.99070000000000003</v>
      </c>
      <c r="M20" s="62"/>
      <c r="N20" s="4" t="s">
        <v>103</v>
      </c>
      <c r="O20" s="6">
        <v>2999</v>
      </c>
      <c r="P20" s="64">
        <v>0.99370000000000003</v>
      </c>
      <c r="Q20" s="62"/>
      <c r="R20" s="62"/>
      <c r="S20" s="62"/>
      <c r="T20" s="62"/>
    </row>
    <row r="21" spans="1:20" x14ac:dyDescent="0.25">
      <c r="A21" s="59" t="s">
        <v>50</v>
      </c>
      <c r="B21" s="6">
        <v>7990</v>
      </c>
      <c r="D21" s="27" t="s">
        <v>50</v>
      </c>
      <c r="E21" s="30">
        <v>3584</v>
      </c>
      <c r="G21" s="27" t="s">
        <v>50</v>
      </c>
      <c r="H21" s="57">
        <v>6875</v>
      </c>
      <c r="I21" s="33"/>
      <c r="J21" s="4" t="s">
        <v>104</v>
      </c>
      <c r="K21" s="6">
        <v>4255</v>
      </c>
      <c r="L21" s="64">
        <v>0.99319999999999997</v>
      </c>
      <c r="M21" s="62"/>
      <c r="N21" s="4" t="s">
        <v>105</v>
      </c>
      <c r="O21" s="6">
        <v>2878</v>
      </c>
      <c r="P21" s="64">
        <v>1.0048999999999999</v>
      </c>
      <c r="Q21" s="62"/>
      <c r="R21" s="62"/>
      <c r="S21" s="62"/>
      <c r="T21" s="62"/>
    </row>
    <row r="22" spans="1:20" x14ac:dyDescent="0.25">
      <c r="A22" s="59" t="s">
        <v>52</v>
      </c>
      <c r="B22" s="6">
        <v>6919</v>
      </c>
      <c r="D22" s="27" t="s">
        <v>52</v>
      </c>
      <c r="E22" s="30">
        <v>3524</v>
      </c>
      <c r="G22" s="27" t="s">
        <v>62</v>
      </c>
      <c r="H22" s="57">
        <v>6254</v>
      </c>
      <c r="I22" s="33"/>
      <c r="J22" s="4" t="s">
        <v>102</v>
      </c>
      <c r="K22" s="6">
        <v>4028</v>
      </c>
      <c r="L22" s="64">
        <v>0.99299999999999999</v>
      </c>
      <c r="M22" s="62"/>
      <c r="N22" s="4" t="s">
        <v>106</v>
      </c>
      <c r="O22" s="6">
        <v>2607</v>
      </c>
      <c r="P22" s="64">
        <v>1</v>
      </c>
      <c r="Q22" s="62"/>
      <c r="R22" s="62"/>
      <c r="S22" s="62"/>
      <c r="T22" s="62"/>
    </row>
    <row r="23" spans="1:20" x14ac:dyDescent="0.25">
      <c r="A23" s="59" t="s">
        <v>62</v>
      </c>
      <c r="B23" s="6">
        <v>6823</v>
      </c>
      <c r="D23" s="27" t="s">
        <v>62</v>
      </c>
      <c r="E23" s="30">
        <v>2762</v>
      </c>
      <c r="G23" s="27" t="s">
        <v>52</v>
      </c>
      <c r="H23" s="57">
        <v>5996</v>
      </c>
      <c r="I23" s="33"/>
      <c r="J23" s="5" t="s">
        <v>100</v>
      </c>
      <c r="K23" s="65">
        <v>654635</v>
      </c>
      <c r="L23" s="66">
        <v>0.98839999999999995</v>
      </c>
      <c r="M23" s="62"/>
      <c r="N23" s="5" t="s">
        <v>100</v>
      </c>
      <c r="O23" s="65">
        <v>447711</v>
      </c>
      <c r="P23" s="66">
        <v>0.98880000000000001</v>
      </c>
      <c r="Q23" s="62"/>
      <c r="R23" s="62"/>
      <c r="S23" s="62"/>
      <c r="T23" s="62"/>
    </row>
    <row r="24" spans="1:20" x14ac:dyDescent="0.25">
      <c r="A24" s="59" t="s">
        <v>51</v>
      </c>
      <c r="B24" s="6">
        <v>3805</v>
      </c>
      <c r="D24" s="27" t="s">
        <v>63</v>
      </c>
      <c r="E24" s="30">
        <v>1660</v>
      </c>
      <c r="G24" s="27" t="s">
        <v>51</v>
      </c>
      <c r="H24" s="57">
        <v>3289</v>
      </c>
    </row>
    <row r="25" spans="1:20" x14ac:dyDescent="0.25">
      <c r="A25" s="59" t="s">
        <v>63</v>
      </c>
      <c r="B25" s="6">
        <v>3468</v>
      </c>
      <c r="D25" s="27" t="s">
        <v>51</v>
      </c>
      <c r="E25" s="30">
        <v>1381</v>
      </c>
      <c r="G25" s="27" t="s">
        <v>63</v>
      </c>
      <c r="H25" s="57">
        <v>3046</v>
      </c>
    </row>
    <row r="26" spans="1:20" x14ac:dyDescent="0.25">
      <c r="A26" s="59" t="s">
        <v>54</v>
      </c>
      <c r="B26" s="6">
        <v>3140</v>
      </c>
      <c r="D26" s="27" t="s">
        <v>54</v>
      </c>
      <c r="E26" s="30">
        <v>1200</v>
      </c>
      <c r="G26" s="27" t="s">
        <v>54</v>
      </c>
      <c r="H26" s="57">
        <v>2723</v>
      </c>
    </row>
    <row r="27" spans="1:20" x14ac:dyDescent="0.25">
      <c r="A27" s="59" t="s">
        <v>53</v>
      </c>
      <c r="B27" s="6">
        <v>2982</v>
      </c>
      <c r="D27" s="27" t="s">
        <v>53</v>
      </c>
      <c r="E27" s="30">
        <v>1134</v>
      </c>
      <c r="G27" s="27" t="s">
        <v>53</v>
      </c>
      <c r="H27" s="57">
        <v>2569</v>
      </c>
    </row>
    <row r="28" spans="1:20" ht="15.75" thickBot="1" x14ac:dyDescent="0.3">
      <c r="A28" s="60" t="s">
        <v>64</v>
      </c>
      <c r="B28" s="61">
        <v>2392</v>
      </c>
      <c r="C28" s="51"/>
      <c r="D28" s="43" t="s">
        <v>64</v>
      </c>
      <c r="E28" s="40">
        <v>927</v>
      </c>
      <c r="F28" s="51"/>
      <c r="G28" s="43" t="s">
        <v>64</v>
      </c>
      <c r="H28" s="58">
        <v>1966</v>
      </c>
    </row>
  </sheetData>
  <mergeCells count="4">
    <mergeCell ref="A1:H1"/>
    <mergeCell ref="A2:B2"/>
    <mergeCell ref="D2:E2"/>
    <mergeCell ref="G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63CF-65E5-46CF-ADA0-A89BE2D63CA6}">
  <dimension ref="A1:AA55"/>
  <sheetViews>
    <sheetView workbookViewId="0">
      <selection activeCell="M21" sqref="M21"/>
    </sheetView>
  </sheetViews>
  <sheetFormatPr defaultColWidth="14.85546875" defaultRowHeight="15" x14ac:dyDescent="0.25"/>
  <cols>
    <col min="1" max="1" width="14.85546875" customWidth="1"/>
  </cols>
  <sheetData>
    <row r="1" spans="1:27" ht="18.75" thickBot="1" x14ac:dyDescent="0.3">
      <c r="A1" s="122" t="s">
        <v>107</v>
      </c>
      <c r="B1" s="123"/>
      <c r="C1" s="123"/>
      <c r="D1" s="123"/>
      <c r="E1" s="123"/>
      <c r="F1" s="123"/>
      <c r="G1" s="123"/>
      <c r="H1" s="123"/>
      <c r="I1" s="123"/>
      <c r="J1" s="123"/>
      <c r="K1" s="124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7" x14ac:dyDescent="0.25">
      <c r="A2" s="52" t="s">
        <v>0</v>
      </c>
      <c r="B2" s="76"/>
      <c r="C2" s="77"/>
      <c r="D2" s="54" t="s">
        <v>72</v>
      </c>
      <c r="E2" s="76"/>
      <c r="F2" s="77"/>
      <c r="G2" s="54" t="s">
        <v>108</v>
      </c>
      <c r="H2" s="76"/>
      <c r="I2" s="77"/>
      <c r="J2" s="54" t="s">
        <v>109</v>
      </c>
      <c r="K2" s="78"/>
      <c r="M2" s="67" t="s">
        <v>110</v>
      </c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7" x14ac:dyDescent="0.25">
      <c r="A3" s="46" t="s">
        <v>111</v>
      </c>
      <c r="B3" s="68">
        <v>11000</v>
      </c>
      <c r="C3" s="4"/>
      <c r="D3" s="5" t="s">
        <v>111</v>
      </c>
      <c r="E3" s="68">
        <v>7500</v>
      </c>
      <c r="F3" s="4"/>
      <c r="G3" s="5" t="s">
        <v>111</v>
      </c>
      <c r="H3" s="68">
        <v>5000</v>
      </c>
      <c r="I3" s="4"/>
      <c r="J3" s="5" t="s">
        <v>111</v>
      </c>
      <c r="K3" s="79">
        <v>3000</v>
      </c>
      <c r="L3" s="62"/>
      <c r="M3" s="69">
        <v>26500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27" x14ac:dyDescent="0.25">
      <c r="A4" s="46" t="s">
        <v>112</v>
      </c>
      <c r="B4" s="6">
        <v>261362</v>
      </c>
      <c r="C4" s="4"/>
      <c r="D4" s="5" t="s">
        <v>112</v>
      </c>
      <c r="E4" s="6">
        <v>157865</v>
      </c>
      <c r="F4" s="4"/>
      <c r="G4" s="5" t="s">
        <v>112</v>
      </c>
      <c r="H4" s="6">
        <v>105304</v>
      </c>
      <c r="I4" s="4"/>
      <c r="J4" s="5" t="s">
        <v>112</v>
      </c>
      <c r="K4" s="47">
        <v>63112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x14ac:dyDescent="0.25">
      <c r="A5" s="46" t="s">
        <v>3</v>
      </c>
      <c r="B5" s="70">
        <v>0.04</v>
      </c>
      <c r="C5" s="4"/>
      <c r="D5" s="5" t="s">
        <v>3</v>
      </c>
      <c r="E5" s="70">
        <v>0.05</v>
      </c>
      <c r="F5" s="4"/>
      <c r="G5" s="5" t="s">
        <v>3</v>
      </c>
      <c r="H5" s="70">
        <v>0.05</v>
      </c>
      <c r="I5" s="4"/>
      <c r="J5" s="5" t="s">
        <v>3</v>
      </c>
      <c r="K5" s="80">
        <v>0.05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27" ht="15.75" thickBot="1" x14ac:dyDescent="0.3">
      <c r="A6" s="59"/>
      <c r="B6" s="4"/>
      <c r="C6" s="4"/>
      <c r="D6" s="4"/>
      <c r="E6" s="4"/>
      <c r="F6" s="4"/>
      <c r="G6" s="4"/>
      <c r="H6" s="4"/>
      <c r="I6" s="4"/>
      <c r="J6" s="4"/>
      <c r="K6" s="5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5">
      <c r="A7" s="46" t="s">
        <v>113</v>
      </c>
      <c r="B7" s="4"/>
      <c r="C7" s="4"/>
      <c r="D7" s="5" t="s">
        <v>113</v>
      </c>
      <c r="E7" s="4"/>
      <c r="F7" s="4"/>
      <c r="G7" s="5" t="s">
        <v>113</v>
      </c>
      <c r="H7" s="4"/>
      <c r="I7" s="4"/>
      <c r="J7" s="5" t="s">
        <v>113</v>
      </c>
      <c r="K7" s="56"/>
      <c r="L7" s="62"/>
      <c r="M7" s="119" t="s">
        <v>71</v>
      </c>
      <c r="N7" s="120"/>
      <c r="O7" s="121"/>
      <c r="P7" s="71"/>
      <c r="Q7" s="119" t="s">
        <v>72</v>
      </c>
      <c r="R7" s="120"/>
      <c r="S7" s="121"/>
      <c r="T7" s="71"/>
      <c r="U7" s="119" t="s">
        <v>73</v>
      </c>
      <c r="V7" s="120"/>
      <c r="W7" s="121"/>
      <c r="X7" s="71"/>
      <c r="Y7" s="119" t="s">
        <v>114</v>
      </c>
      <c r="Z7" s="120"/>
      <c r="AA7" s="121"/>
    </row>
    <row r="8" spans="1:27" x14ac:dyDescent="0.25">
      <c r="A8" s="59" t="s">
        <v>57</v>
      </c>
      <c r="B8" s="6">
        <v>58289</v>
      </c>
      <c r="C8" s="4"/>
      <c r="D8" s="4" t="s">
        <v>57</v>
      </c>
      <c r="E8" s="6">
        <v>35871</v>
      </c>
      <c r="F8" s="4"/>
      <c r="G8" s="4" t="s">
        <v>57</v>
      </c>
      <c r="H8" s="6">
        <v>23740</v>
      </c>
      <c r="I8" s="4"/>
      <c r="J8" s="4" t="s">
        <v>57</v>
      </c>
      <c r="K8" s="47">
        <v>14423</v>
      </c>
      <c r="L8" s="62"/>
      <c r="M8" s="46" t="s">
        <v>74</v>
      </c>
      <c r="N8" s="5" t="s">
        <v>75</v>
      </c>
      <c r="O8" s="72" t="s">
        <v>76</v>
      </c>
      <c r="P8" s="71"/>
      <c r="Q8" s="46" t="s">
        <v>74</v>
      </c>
      <c r="R8" s="5" t="s">
        <v>75</v>
      </c>
      <c r="S8" s="72" t="s">
        <v>76</v>
      </c>
      <c r="T8" s="71"/>
      <c r="U8" s="46" t="s">
        <v>74</v>
      </c>
      <c r="V8" s="5" t="s">
        <v>75</v>
      </c>
      <c r="W8" s="72" t="s">
        <v>76</v>
      </c>
      <c r="X8" s="71"/>
      <c r="Y8" s="46" t="s">
        <v>74</v>
      </c>
      <c r="Z8" s="5" t="s">
        <v>75</v>
      </c>
      <c r="AA8" s="72" t="s">
        <v>76</v>
      </c>
    </row>
    <row r="9" spans="1:27" x14ac:dyDescent="0.25">
      <c r="A9" s="59" t="s">
        <v>58</v>
      </c>
      <c r="B9" s="6">
        <v>37942</v>
      </c>
      <c r="C9" s="4"/>
      <c r="D9" s="4" t="s">
        <v>58</v>
      </c>
      <c r="E9" s="6">
        <v>22942</v>
      </c>
      <c r="F9" s="4"/>
      <c r="G9" s="4" t="s">
        <v>58</v>
      </c>
      <c r="H9" s="6">
        <v>15172</v>
      </c>
      <c r="I9" s="4"/>
      <c r="J9" s="4" t="s">
        <v>58</v>
      </c>
      <c r="K9" s="47">
        <v>9145</v>
      </c>
      <c r="L9" s="62"/>
      <c r="M9" s="59" t="s">
        <v>78</v>
      </c>
      <c r="N9" s="6">
        <v>185428</v>
      </c>
      <c r="O9" s="73">
        <v>0.99250000000000005</v>
      </c>
      <c r="P9" s="71"/>
      <c r="Q9" s="59" t="s">
        <v>78</v>
      </c>
      <c r="R9" s="6">
        <v>108158</v>
      </c>
      <c r="S9" s="73">
        <v>0.99260000000000004</v>
      </c>
      <c r="T9" s="71"/>
      <c r="U9" s="59" t="s">
        <v>78</v>
      </c>
      <c r="V9" s="6">
        <v>75712</v>
      </c>
      <c r="W9" s="73">
        <v>0.99239999999999995</v>
      </c>
      <c r="X9" s="71"/>
      <c r="Y9" s="59" t="s">
        <v>78</v>
      </c>
      <c r="Z9" s="6">
        <v>43354</v>
      </c>
      <c r="AA9" s="73">
        <v>0.99219999999999997</v>
      </c>
    </row>
    <row r="10" spans="1:27" x14ac:dyDescent="0.25">
      <c r="A10" s="59" t="s">
        <v>42</v>
      </c>
      <c r="B10" s="6">
        <v>30967</v>
      </c>
      <c r="C10" s="4"/>
      <c r="D10" s="4" t="s">
        <v>42</v>
      </c>
      <c r="E10" s="6">
        <v>17758</v>
      </c>
      <c r="F10" s="4"/>
      <c r="G10" s="4" t="s">
        <v>42</v>
      </c>
      <c r="H10" s="6">
        <v>12110</v>
      </c>
      <c r="I10" s="4"/>
      <c r="J10" s="4" t="s">
        <v>42</v>
      </c>
      <c r="K10" s="47">
        <v>6927</v>
      </c>
      <c r="L10" s="62"/>
      <c r="M10" s="59" t="s">
        <v>80</v>
      </c>
      <c r="N10" s="6">
        <v>48786</v>
      </c>
      <c r="O10" s="73">
        <v>0.97789999999999999</v>
      </c>
      <c r="P10" s="71"/>
      <c r="Q10" s="59" t="s">
        <v>80</v>
      </c>
      <c r="R10" s="6">
        <v>34416</v>
      </c>
      <c r="S10" s="73">
        <v>0.98509999999999998</v>
      </c>
      <c r="T10" s="71"/>
      <c r="U10" s="59" t="s">
        <v>80</v>
      </c>
      <c r="V10" s="6">
        <v>19165</v>
      </c>
      <c r="W10" s="73">
        <v>0.98140000000000005</v>
      </c>
      <c r="X10" s="71"/>
      <c r="Y10" s="59" t="s">
        <v>80</v>
      </c>
      <c r="Z10" s="6">
        <v>13809</v>
      </c>
      <c r="AA10" s="73">
        <v>0.98670000000000002</v>
      </c>
    </row>
    <row r="11" spans="1:27" x14ac:dyDescent="0.25">
      <c r="A11" s="59" t="s">
        <v>43</v>
      </c>
      <c r="B11" s="6">
        <v>17003</v>
      </c>
      <c r="C11" s="4"/>
      <c r="D11" s="4" t="s">
        <v>43</v>
      </c>
      <c r="E11" s="6">
        <v>10271</v>
      </c>
      <c r="F11" s="4"/>
      <c r="G11" s="4" t="s">
        <v>43</v>
      </c>
      <c r="H11" s="6">
        <v>6956</v>
      </c>
      <c r="I11" s="4"/>
      <c r="J11" s="4" t="s">
        <v>43</v>
      </c>
      <c r="K11" s="47">
        <v>4081</v>
      </c>
      <c r="L11" s="62"/>
      <c r="M11" s="59" t="s">
        <v>85</v>
      </c>
      <c r="N11" s="6">
        <v>26349</v>
      </c>
      <c r="O11" s="73">
        <v>0.98780000000000001</v>
      </c>
      <c r="P11" s="71"/>
      <c r="Q11" s="59" t="s">
        <v>85</v>
      </c>
      <c r="R11" s="6">
        <v>14727</v>
      </c>
      <c r="S11" s="73">
        <v>0.9849</v>
      </c>
      <c r="T11" s="71"/>
      <c r="U11" s="59" t="s">
        <v>85</v>
      </c>
      <c r="V11" s="6">
        <v>10101</v>
      </c>
      <c r="W11" s="73">
        <v>0.98729999999999996</v>
      </c>
      <c r="X11" s="71"/>
      <c r="Y11" s="59" t="s">
        <v>85</v>
      </c>
      <c r="Z11" s="6">
        <v>5710</v>
      </c>
      <c r="AA11" s="73">
        <v>0.98719999999999997</v>
      </c>
    </row>
    <row r="12" spans="1:27" ht="15.75" thickBot="1" x14ac:dyDescent="0.3">
      <c r="A12" s="59" t="s">
        <v>59</v>
      </c>
      <c r="B12" s="6">
        <v>15616</v>
      </c>
      <c r="C12" s="4"/>
      <c r="D12" s="4" t="s">
        <v>59</v>
      </c>
      <c r="E12" s="6">
        <v>9405</v>
      </c>
      <c r="F12" s="4"/>
      <c r="G12" s="4" t="s">
        <v>59</v>
      </c>
      <c r="H12" s="6">
        <v>6238</v>
      </c>
      <c r="I12" s="4"/>
      <c r="J12" s="4" t="s">
        <v>59</v>
      </c>
      <c r="K12" s="47">
        <v>3675</v>
      </c>
      <c r="L12" s="62"/>
      <c r="M12" s="60" t="s">
        <v>99</v>
      </c>
      <c r="N12" s="74">
        <v>799</v>
      </c>
      <c r="O12" s="75">
        <v>0.98370000000000002</v>
      </c>
      <c r="P12" s="71"/>
      <c r="Q12" s="60" t="s">
        <v>99</v>
      </c>
      <c r="R12" s="74">
        <v>564</v>
      </c>
      <c r="S12" s="75">
        <v>0.95920000000000005</v>
      </c>
      <c r="T12" s="71"/>
      <c r="U12" s="60" t="s">
        <v>99</v>
      </c>
      <c r="V12" s="74">
        <v>326</v>
      </c>
      <c r="W12" s="75">
        <v>0.98160000000000003</v>
      </c>
      <c r="X12" s="71"/>
      <c r="Y12" s="60" t="s">
        <v>99</v>
      </c>
      <c r="Z12" s="74">
        <v>239</v>
      </c>
      <c r="AA12" s="75">
        <v>0.96230000000000004</v>
      </c>
    </row>
    <row r="13" spans="1:27" x14ac:dyDescent="0.25">
      <c r="A13" s="59" t="s">
        <v>44</v>
      </c>
      <c r="B13" s="6">
        <v>13877</v>
      </c>
      <c r="C13" s="4"/>
      <c r="D13" s="4" t="s">
        <v>44</v>
      </c>
      <c r="E13" s="6">
        <v>8477</v>
      </c>
      <c r="F13" s="4"/>
      <c r="G13" s="4" t="s">
        <v>44</v>
      </c>
      <c r="H13" s="6">
        <v>5659</v>
      </c>
      <c r="I13" s="4"/>
      <c r="J13" s="4" t="s">
        <v>44</v>
      </c>
      <c r="K13" s="47">
        <v>3475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x14ac:dyDescent="0.25">
      <c r="A14" s="59" t="s">
        <v>45</v>
      </c>
      <c r="B14" s="6">
        <v>13257</v>
      </c>
      <c r="C14" s="4"/>
      <c r="D14" s="4" t="s">
        <v>45</v>
      </c>
      <c r="E14" s="6">
        <v>8088</v>
      </c>
      <c r="F14" s="4"/>
      <c r="G14" s="4" t="s">
        <v>45</v>
      </c>
      <c r="H14" s="6">
        <v>5427</v>
      </c>
      <c r="I14" s="4"/>
      <c r="J14" s="4" t="s">
        <v>45</v>
      </c>
      <c r="K14" s="47">
        <v>3295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x14ac:dyDescent="0.25">
      <c r="A15" s="59" t="s">
        <v>60</v>
      </c>
      <c r="B15" s="6">
        <v>12715</v>
      </c>
      <c r="C15" s="4"/>
      <c r="D15" s="4" t="s">
        <v>60</v>
      </c>
      <c r="E15" s="6">
        <v>7741</v>
      </c>
      <c r="F15" s="4"/>
      <c r="G15" s="4" t="s">
        <v>60</v>
      </c>
      <c r="H15" s="6">
        <v>5145</v>
      </c>
      <c r="I15" s="4"/>
      <c r="J15" s="4" t="s">
        <v>60</v>
      </c>
      <c r="K15" s="47">
        <v>3152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x14ac:dyDescent="0.25">
      <c r="A16" s="59" t="s">
        <v>46</v>
      </c>
      <c r="B16" s="6">
        <v>10735</v>
      </c>
      <c r="C16" s="4"/>
      <c r="D16" s="4" t="s">
        <v>46</v>
      </c>
      <c r="E16" s="6">
        <v>6477</v>
      </c>
      <c r="F16" s="4"/>
      <c r="G16" s="4" t="s">
        <v>46</v>
      </c>
      <c r="H16" s="6">
        <v>4414</v>
      </c>
      <c r="I16" s="4"/>
      <c r="J16" s="4" t="s">
        <v>46</v>
      </c>
      <c r="K16" s="47">
        <v>2580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x14ac:dyDescent="0.25">
      <c r="A17" s="59" t="s">
        <v>61</v>
      </c>
      <c r="B17" s="6">
        <v>8843</v>
      </c>
      <c r="C17" s="4"/>
      <c r="D17" s="4" t="s">
        <v>61</v>
      </c>
      <c r="E17" s="6">
        <v>5497</v>
      </c>
      <c r="F17" s="4"/>
      <c r="G17" s="4" t="s">
        <v>61</v>
      </c>
      <c r="H17" s="6">
        <v>3553</v>
      </c>
      <c r="I17" s="4"/>
      <c r="J17" s="4" t="s">
        <v>61</v>
      </c>
      <c r="K17" s="47">
        <v>2128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x14ac:dyDescent="0.25">
      <c r="A18" s="59" t="s">
        <v>47</v>
      </c>
      <c r="B18" s="6">
        <v>8780</v>
      </c>
      <c r="C18" s="4"/>
      <c r="D18" s="4" t="s">
        <v>47</v>
      </c>
      <c r="E18" s="6">
        <v>5323</v>
      </c>
      <c r="F18" s="4"/>
      <c r="G18" s="4" t="s">
        <v>47</v>
      </c>
      <c r="H18" s="6">
        <v>3438</v>
      </c>
      <c r="I18" s="4"/>
      <c r="J18" s="4" t="s">
        <v>47</v>
      </c>
      <c r="K18" s="47">
        <v>2128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x14ac:dyDescent="0.25">
      <c r="A19" s="59" t="s">
        <v>48</v>
      </c>
      <c r="B19" s="6">
        <v>7053</v>
      </c>
      <c r="C19" s="4"/>
      <c r="D19" s="4" t="s">
        <v>48</v>
      </c>
      <c r="E19" s="6">
        <v>4180</v>
      </c>
      <c r="F19" s="4"/>
      <c r="G19" s="4" t="s">
        <v>48</v>
      </c>
      <c r="H19" s="6">
        <v>2825</v>
      </c>
      <c r="I19" s="4"/>
      <c r="J19" s="4" t="s">
        <v>48</v>
      </c>
      <c r="K19" s="47">
        <v>1730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x14ac:dyDescent="0.25">
      <c r="A20" s="59" t="s">
        <v>49</v>
      </c>
      <c r="B20" s="6">
        <v>5654</v>
      </c>
      <c r="C20" s="4"/>
      <c r="D20" s="4" t="s">
        <v>49</v>
      </c>
      <c r="E20" s="6">
        <v>3667</v>
      </c>
      <c r="F20" s="4"/>
      <c r="G20" s="4" t="s">
        <v>49</v>
      </c>
      <c r="H20" s="6">
        <v>2365</v>
      </c>
      <c r="I20" s="4"/>
      <c r="J20" s="4" t="s">
        <v>49</v>
      </c>
      <c r="K20" s="47">
        <v>1465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x14ac:dyDescent="0.25">
      <c r="A21" s="59" t="s">
        <v>50</v>
      </c>
      <c r="B21" s="6">
        <v>4913</v>
      </c>
      <c r="C21" s="4"/>
      <c r="D21" s="4" t="s">
        <v>50</v>
      </c>
      <c r="E21" s="6">
        <v>2979</v>
      </c>
      <c r="F21" s="4"/>
      <c r="G21" s="4" t="s">
        <v>50</v>
      </c>
      <c r="H21" s="6">
        <v>2009</v>
      </c>
      <c r="I21" s="4"/>
      <c r="J21" s="4" t="s">
        <v>50</v>
      </c>
      <c r="K21" s="47">
        <v>1182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x14ac:dyDescent="0.25">
      <c r="A22" s="59" t="s">
        <v>52</v>
      </c>
      <c r="B22" s="6">
        <v>4128</v>
      </c>
      <c r="C22" s="4"/>
      <c r="D22" s="4" t="s">
        <v>52</v>
      </c>
      <c r="E22" s="6">
        <v>2564</v>
      </c>
      <c r="F22" s="4"/>
      <c r="G22" s="4" t="s">
        <v>52</v>
      </c>
      <c r="H22" s="6">
        <v>1691</v>
      </c>
      <c r="I22" s="4"/>
      <c r="J22" s="4" t="s">
        <v>52</v>
      </c>
      <c r="K22" s="56">
        <v>971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x14ac:dyDescent="0.25">
      <c r="A23" s="59" t="s">
        <v>62</v>
      </c>
      <c r="B23" s="6">
        <v>3393</v>
      </c>
      <c r="C23" s="4"/>
      <c r="D23" s="4" t="s">
        <v>62</v>
      </c>
      <c r="E23" s="6">
        <v>2019</v>
      </c>
      <c r="F23" s="4"/>
      <c r="G23" s="4" t="s">
        <v>62</v>
      </c>
      <c r="H23" s="6">
        <v>1368</v>
      </c>
      <c r="I23" s="4"/>
      <c r="J23" s="4" t="s">
        <v>62</v>
      </c>
      <c r="K23" s="56">
        <v>817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x14ac:dyDescent="0.25">
      <c r="A24" s="59" t="s">
        <v>63</v>
      </c>
      <c r="B24" s="6">
        <v>1859</v>
      </c>
      <c r="C24" s="4"/>
      <c r="D24" s="4" t="s">
        <v>63</v>
      </c>
      <c r="E24" s="6">
        <v>1042</v>
      </c>
      <c r="F24" s="4"/>
      <c r="G24" s="4" t="s">
        <v>63</v>
      </c>
      <c r="H24" s="4">
        <v>733</v>
      </c>
      <c r="I24" s="4"/>
      <c r="J24" s="4" t="s">
        <v>63</v>
      </c>
      <c r="K24" s="56">
        <v>433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x14ac:dyDescent="0.25">
      <c r="A25" s="59" t="s">
        <v>54</v>
      </c>
      <c r="B25" s="6">
        <v>1833</v>
      </c>
      <c r="C25" s="4"/>
      <c r="D25" s="4" t="s">
        <v>54</v>
      </c>
      <c r="E25" s="4">
        <v>995</v>
      </c>
      <c r="F25" s="4"/>
      <c r="G25" s="4" t="s">
        <v>54</v>
      </c>
      <c r="H25" s="4">
        <v>697</v>
      </c>
      <c r="I25" s="4"/>
      <c r="J25" s="4" t="s">
        <v>54</v>
      </c>
      <c r="K25" s="56">
        <v>420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x14ac:dyDescent="0.25">
      <c r="A26" s="59" t="s">
        <v>51</v>
      </c>
      <c r="B26" s="6">
        <v>1717</v>
      </c>
      <c r="C26" s="4"/>
      <c r="D26" s="4" t="s">
        <v>51</v>
      </c>
      <c r="E26" s="4">
        <v>976</v>
      </c>
      <c r="F26" s="4"/>
      <c r="G26" s="4" t="s">
        <v>51</v>
      </c>
      <c r="H26" s="4">
        <v>648</v>
      </c>
      <c r="I26" s="4"/>
      <c r="J26" s="4" t="s">
        <v>51</v>
      </c>
      <c r="K26" s="56">
        <v>415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x14ac:dyDescent="0.25">
      <c r="A27" s="59" t="s">
        <v>53</v>
      </c>
      <c r="B27" s="6">
        <v>1473</v>
      </c>
      <c r="C27" s="4"/>
      <c r="D27" s="4" t="s">
        <v>53</v>
      </c>
      <c r="E27" s="4">
        <v>831</v>
      </c>
      <c r="F27" s="4"/>
      <c r="G27" s="4" t="s">
        <v>53</v>
      </c>
      <c r="H27" s="4">
        <v>575</v>
      </c>
      <c r="I27" s="4"/>
      <c r="J27" s="4" t="s">
        <v>64</v>
      </c>
      <c r="K27" s="56">
        <v>356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ht="15.75" thickBot="1" x14ac:dyDescent="0.3">
      <c r="A28" s="60" t="s">
        <v>64</v>
      </c>
      <c r="B28" s="61">
        <v>1316</v>
      </c>
      <c r="C28" s="74"/>
      <c r="D28" s="74" t="s">
        <v>64</v>
      </c>
      <c r="E28" s="74">
        <v>761</v>
      </c>
      <c r="F28" s="74"/>
      <c r="G28" s="74" t="s">
        <v>64</v>
      </c>
      <c r="H28" s="74">
        <v>542</v>
      </c>
      <c r="I28" s="74"/>
      <c r="J28" s="74" t="s">
        <v>53</v>
      </c>
      <c r="K28" s="81">
        <v>312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1:27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1:27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1:27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1:27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1:27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1:27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1:27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</sheetData>
  <mergeCells count="5">
    <mergeCell ref="Q7:S7"/>
    <mergeCell ref="U7:W7"/>
    <mergeCell ref="Y7:AA7"/>
    <mergeCell ref="A1:K1"/>
    <mergeCell ref="M7:O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D02-3ECC-48B0-91DA-77447AAC0F76}">
  <dimension ref="A1:AA29"/>
  <sheetViews>
    <sheetView workbookViewId="0"/>
  </sheetViews>
  <sheetFormatPr defaultColWidth="15.5703125" defaultRowHeight="12.75" x14ac:dyDescent="0.2"/>
  <cols>
    <col min="1" max="1" width="27" style="83" bestFit="1" customWidth="1"/>
    <col min="2" max="3" width="15.5703125" style="83"/>
    <col min="4" max="4" width="27" style="83" bestFit="1" customWidth="1"/>
    <col min="5" max="6" width="15.5703125" style="83"/>
    <col min="7" max="7" width="27" style="83" bestFit="1" customWidth="1"/>
    <col min="8" max="9" width="15.5703125" style="83"/>
    <col min="10" max="10" width="27" style="83" bestFit="1" customWidth="1"/>
    <col min="11" max="20" width="15.5703125" style="83"/>
    <col min="21" max="21" width="18" style="83" bestFit="1" customWidth="1"/>
    <col min="22" max="16384" width="15.5703125" style="83"/>
  </cols>
  <sheetData>
    <row r="1" spans="1:27" x14ac:dyDescent="0.2">
      <c r="A1" s="82">
        <v>37043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7" x14ac:dyDescent="0.2">
      <c r="A2" s="5" t="s">
        <v>0</v>
      </c>
      <c r="B2" s="4"/>
      <c r="D2" s="5" t="s">
        <v>72</v>
      </c>
      <c r="E2" s="4"/>
      <c r="G2" s="5" t="s">
        <v>108</v>
      </c>
      <c r="H2" s="4"/>
      <c r="J2" s="5" t="s">
        <v>109</v>
      </c>
      <c r="K2" s="4"/>
      <c r="M2" s="5" t="s">
        <v>110</v>
      </c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7" x14ac:dyDescent="0.2">
      <c r="A3" s="5" t="s">
        <v>111</v>
      </c>
      <c r="B3" s="70">
        <v>11000</v>
      </c>
      <c r="C3" s="62"/>
      <c r="D3" s="5" t="s">
        <v>111</v>
      </c>
      <c r="E3" s="68">
        <v>7500</v>
      </c>
      <c r="F3" s="62"/>
      <c r="G3" s="5" t="s">
        <v>111</v>
      </c>
      <c r="H3" s="68">
        <v>5000</v>
      </c>
      <c r="I3" s="62"/>
      <c r="J3" s="5" t="s">
        <v>111</v>
      </c>
      <c r="K3" s="68">
        <v>3000</v>
      </c>
      <c r="L3" s="62"/>
      <c r="M3" s="68">
        <v>26500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27" x14ac:dyDescent="0.2">
      <c r="A4" s="5" t="s">
        <v>112</v>
      </c>
      <c r="B4" s="6">
        <v>257987</v>
      </c>
      <c r="C4" s="62"/>
      <c r="D4" s="5" t="s">
        <v>112</v>
      </c>
      <c r="E4" s="6">
        <v>156456</v>
      </c>
      <c r="F4" s="62"/>
      <c r="G4" s="5" t="s">
        <v>112</v>
      </c>
      <c r="H4" s="6">
        <v>101960</v>
      </c>
      <c r="I4" s="62"/>
      <c r="J4" s="5" t="s">
        <v>112</v>
      </c>
      <c r="K4" s="6">
        <v>62380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x14ac:dyDescent="0.2">
      <c r="A5" s="5" t="s">
        <v>3</v>
      </c>
      <c r="B5" s="70">
        <v>0.04</v>
      </c>
      <c r="C5" s="62"/>
      <c r="D5" s="5" t="s">
        <v>3</v>
      </c>
      <c r="E5" s="70">
        <v>0.05</v>
      </c>
      <c r="F5" s="62"/>
      <c r="G5" s="5" t="s">
        <v>3</v>
      </c>
      <c r="H5" s="70">
        <v>0.05</v>
      </c>
      <c r="I5" s="62"/>
      <c r="J5" s="5" t="s">
        <v>3</v>
      </c>
      <c r="K5" s="70">
        <v>0.05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27" x14ac:dyDescent="0.2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">
      <c r="A7" s="5" t="s">
        <v>113</v>
      </c>
      <c r="B7" s="4"/>
      <c r="C7" s="62"/>
      <c r="D7" s="5" t="s">
        <v>113</v>
      </c>
      <c r="E7" s="4"/>
      <c r="F7" s="62"/>
      <c r="G7" s="5" t="s">
        <v>113</v>
      </c>
      <c r="H7" s="4"/>
      <c r="I7" s="62"/>
      <c r="J7" s="5" t="s">
        <v>113</v>
      </c>
      <c r="K7" s="4"/>
      <c r="L7" s="62"/>
      <c r="M7" s="5" t="s">
        <v>71</v>
      </c>
      <c r="N7" s="4"/>
      <c r="O7" s="4"/>
      <c r="P7" s="62"/>
      <c r="Q7" s="5" t="s">
        <v>72</v>
      </c>
      <c r="R7" s="4"/>
      <c r="S7" s="4"/>
      <c r="T7" s="62"/>
      <c r="U7" s="5" t="s">
        <v>73</v>
      </c>
      <c r="V7" s="4"/>
      <c r="W7" s="4"/>
      <c r="X7" s="62"/>
      <c r="Y7" s="5" t="s">
        <v>114</v>
      </c>
      <c r="Z7" s="4"/>
      <c r="AA7" s="4"/>
    </row>
    <row r="8" spans="1:27" ht="15" x14ac:dyDescent="0.3">
      <c r="A8" s="84" t="s">
        <v>57</v>
      </c>
      <c r="B8" s="85">
        <v>67873</v>
      </c>
      <c r="C8" s="62"/>
      <c r="D8" s="84" t="s">
        <v>57</v>
      </c>
      <c r="E8" s="85">
        <v>41440</v>
      </c>
      <c r="F8" s="62"/>
      <c r="G8" s="84" t="s">
        <v>57</v>
      </c>
      <c r="H8" s="85">
        <v>26578</v>
      </c>
      <c r="I8" s="62"/>
      <c r="J8" s="84" t="s">
        <v>57</v>
      </c>
      <c r="K8" s="85">
        <v>16007</v>
      </c>
      <c r="L8" s="62"/>
      <c r="M8" s="5" t="s">
        <v>74</v>
      </c>
      <c r="N8" s="5" t="s">
        <v>75</v>
      </c>
      <c r="O8" s="5" t="s">
        <v>76</v>
      </c>
      <c r="P8" s="62"/>
      <c r="Q8" s="5" t="s">
        <v>74</v>
      </c>
      <c r="R8" s="5" t="s">
        <v>75</v>
      </c>
      <c r="S8" s="5" t="s">
        <v>76</v>
      </c>
      <c r="T8" s="62"/>
      <c r="U8" s="5" t="s">
        <v>74</v>
      </c>
      <c r="V8" s="5" t="s">
        <v>75</v>
      </c>
      <c r="W8" s="5" t="s">
        <v>76</v>
      </c>
      <c r="X8" s="62"/>
      <c r="Y8" s="5" t="s">
        <v>74</v>
      </c>
      <c r="Z8" s="5" t="s">
        <v>75</v>
      </c>
      <c r="AA8" s="5" t="s">
        <v>76</v>
      </c>
    </row>
    <row r="9" spans="1:27" ht="15" x14ac:dyDescent="0.3">
      <c r="A9" s="84" t="s">
        <v>58</v>
      </c>
      <c r="B9" s="85">
        <v>36154</v>
      </c>
      <c r="C9" s="62"/>
      <c r="D9" s="84" t="s">
        <v>58</v>
      </c>
      <c r="E9" s="85">
        <v>22258</v>
      </c>
      <c r="F9" s="62"/>
      <c r="G9" s="84" t="s">
        <v>58</v>
      </c>
      <c r="H9" s="85">
        <v>14459</v>
      </c>
      <c r="I9" s="62"/>
      <c r="J9" s="84" t="s">
        <v>58</v>
      </c>
      <c r="K9" s="85">
        <v>8953</v>
      </c>
      <c r="L9" s="62"/>
      <c r="M9" s="4" t="s">
        <v>80</v>
      </c>
      <c r="N9" s="6">
        <v>98052</v>
      </c>
      <c r="O9" s="64">
        <v>0.95650000000000002</v>
      </c>
      <c r="P9" s="62"/>
      <c r="Q9" s="4" t="s">
        <v>80</v>
      </c>
      <c r="R9" s="6">
        <v>63923</v>
      </c>
      <c r="S9" s="64">
        <v>0.96340000000000003</v>
      </c>
      <c r="T9" s="62"/>
      <c r="U9" s="4" t="s">
        <v>80</v>
      </c>
      <c r="V9" s="6">
        <v>39557</v>
      </c>
      <c r="W9" s="64">
        <v>0.95669999999999999</v>
      </c>
      <c r="X9" s="62"/>
      <c r="Y9" s="4" t="s">
        <v>80</v>
      </c>
      <c r="Z9" s="6">
        <v>24977</v>
      </c>
      <c r="AA9" s="64">
        <v>0.96660000000000001</v>
      </c>
    </row>
    <row r="10" spans="1:27" ht="15" x14ac:dyDescent="0.3">
      <c r="A10" s="84" t="s">
        <v>43</v>
      </c>
      <c r="B10" s="85">
        <v>24327</v>
      </c>
      <c r="C10" s="62"/>
      <c r="D10" s="84" t="s">
        <v>43</v>
      </c>
      <c r="E10" s="85">
        <v>14336</v>
      </c>
      <c r="F10" s="62"/>
      <c r="G10" s="84" t="s">
        <v>43</v>
      </c>
      <c r="H10" s="85">
        <v>9426</v>
      </c>
      <c r="I10" s="62"/>
      <c r="J10" s="84" t="s">
        <v>43</v>
      </c>
      <c r="K10" s="85">
        <v>5775</v>
      </c>
      <c r="L10" s="62"/>
      <c r="M10" s="4" t="s">
        <v>99</v>
      </c>
      <c r="N10" s="6">
        <v>88097</v>
      </c>
      <c r="O10" s="64">
        <v>0.99160000000000004</v>
      </c>
      <c r="P10" s="62"/>
      <c r="Q10" s="4" t="s">
        <v>99</v>
      </c>
      <c r="R10" s="6">
        <v>53610</v>
      </c>
      <c r="S10" s="64">
        <v>0.99219999999999997</v>
      </c>
      <c r="T10" s="62"/>
      <c r="U10" s="4" t="s">
        <v>99</v>
      </c>
      <c r="V10" s="6">
        <v>34836</v>
      </c>
      <c r="W10" s="64">
        <v>0.99219999999999997</v>
      </c>
      <c r="X10" s="62"/>
      <c r="Y10" s="4" t="s">
        <v>99</v>
      </c>
      <c r="Z10" s="6">
        <v>23020</v>
      </c>
      <c r="AA10" s="64">
        <v>0.99099999999999999</v>
      </c>
    </row>
    <row r="11" spans="1:27" ht="15" x14ac:dyDescent="0.3">
      <c r="A11" s="84" t="s">
        <v>60</v>
      </c>
      <c r="B11" s="85">
        <v>16249</v>
      </c>
      <c r="C11" s="62"/>
      <c r="D11" s="84" t="s">
        <v>60</v>
      </c>
      <c r="E11" s="85">
        <v>9770</v>
      </c>
      <c r="F11" s="62"/>
      <c r="G11" s="84" t="s">
        <v>60</v>
      </c>
      <c r="H11" s="85">
        <v>6583</v>
      </c>
      <c r="I11" s="62"/>
      <c r="J11" s="84" t="s">
        <v>42</v>
      </c>
      <c r="K11" s="85">
        <v>4550</v>
      </c>
      <c r="L11" s="62"/>
      <c r="M11" s="4" t="s">
        <v>78</v>
      </c>
      <c r="N11" s="6">
        <v>46644</v>
      </c>
      <c r="O11" s="64">
        <v>0.99439999999999995</v>
      </c>
      <c r="P11" s="62"/>
      <c r="Q11" s="4" t="s">
        <v>78</v>
      </c>
      <c r="R11" s="6">
        <v>24768</v>
      </c>
      <c r="S11" s="64">
        <v>0.99180000000000001</v>
      </c>
      <c r="T11" s="62"/>
      <c r="U11" s="4" t="s">
        <v>78</v>
      </c>
      <c r="V11" s="6">
        <v>17923</v>
      </c>
      <c r="W11" s="64">
        <v>0.99319999999999997</v>
      </c>
      <c r="X11" s="62"/>
      <c r="Y11" s="4" t="s">
        <v>78</v>
      </c>
      <c r="Z11" s="6">
        <v>9193</v>
      </c>
      <c r="AA11" s="64">
        <v>0.99199999999999999</v>
      </c>
    </row>
    <row r="12" spans="1:27" ht="15" x14ac:dyDescent="0.3">
      <c r="A12" s="84" t="s">
        <v>42</v>
      </c>
      <c r="B12" s="85">
        <v>16078</v>
      </c>
      <c r="C12" s="62"/>
      <c r="D12" s="84" t="s">
        <v>42</v>
      </c>
      <c r="E12" s="85">
        <v>9699</v>
      </c>
      <c r="F12" s="62"/>
      <c r="G12" s="84" t="s">
        <v>42</v>
      </c>
      <c r="H12" s="85">
        <v>6517</v>
      </c>
      <c r="I12" s="62"/>
      <c r="J12" s="84" t="s">
        <v>60</v>
      </c>
      <c r="K12" s="85">
        <v>3763</v>
      </c>
      <c r="L12" s="62"/>
      <c r="M12" s="4" t="s">
        <v>85</v>
      </c>
      <c r="N12" s="6">
        <v>31419</v>
      </c>
      <c r="O12" s="64">
        <v>0.96960000000000002</v>
      </c>
      <c r="P12" s="62"/>
      <c r="Q12" s="4" t="s">
        <v>85</v>
      </c>
      <c r="R12" s="6">
        <v>17733</v>
      </c>
      <c r="S12" s="64">
        <v>0.96509999999999996</v>
      </c>
      <c r="T12" s="62"/>
      <c r="U12" s="4" t="s">
        <v>85</v>
      </c>
      <c r="V12" s="6">
        <v>12334</v>
      </c>
      <c r="W12" s="64">
        <v>0.9526</v>
      </c>
      <c r="X12" s="62"/>
      <c r="Y12" s="4" t="s">
        <v>85</v>
      </c>
      <c r="Z12" s="6">
        <v>6544</v>
      </c>
      <c r="AA12" s="64">
        <v>0.96379999999999999</v>
      </c>
    </row>
    <row r="13" spans="1:27" ht="15" x14ac:dyDescent="0.3">
      <c r="A13" s="84" t="s">
        <v>44</v>
      </c>
      <c r="B13" s="85">
        <v>15193</v>
      </c>
      <c r="C13" s="62"/>
      <c r="D13" s="84" t="s">
        <v>44</v>
      </c>
      <c r="E13" s="85">
        <v>9219</v>
      </c>
      <c r="F13" s="62"/>
      <c r="G13" s="84" t="s">
        <v>44</v>
      </c>
      <c r="H13" s="85">
        <v>5933</v>
      </c>
      <c r="I13" s="62"/>
      <c r="J13" s="84" t="s">
        <v>44</v>
      </c>
      <c r="K13" s="85">
        <v>3684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ht="15" x14ac:dyDescent="0.3">
      <c r="A14" s="84" t="s">
        <v>59</v>
      </c>
      <c r="B14" s="85">
        <v>13951</v>
      </c>
      <c r="C14" s="62"/>
      <c r="D14" s="84" t="s">
        <v>59</v>
      </c>
      <c r="E14" s="85">
        <v>8914</v>
      </c>
      <c r="F14" s="62"/>
      <c r="G14" s="84" t="s">
        <v>59</v>
      </c>
      <c r="H14" s="85">
        <v>5690</v>
      </c>
      <c r="I14" s="62"/>
      <c r="J14" s="84" t="s">
        <v>59</v>
      </c>
      <c r="K14" s="85">
        <v>3560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ht="15" x14ac:dyDescent="0.3">
      <c r="A15" s="84" t="s">
        <v>46</v>
      </c>
      <c r="B15" s="85">
        <v>11585</v>
      </c>
      <c r="C15" s="62"/>
      <c r="D15" s="84" t="s">
        <v>45</v>
      </c>
      <c r="E15" s="85">
        <v>7084</v>
      </c>
      <c r="F15" s="62"/>
      <c r="G15" s="84" t="s">
        <v>46</v>
      </c>
      <c r="H15" s="85">
        <v>4603</v>
      </c>
      <c r="I15" s="62"/>
      <c r="J15" s="84" t="s">
        <v>46</v>
      </c>
      <c r="K15" s="85">
        <v>2758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ht="15" x14ac:dyDescent="0.3">
      <c r="A16" s="84" t="s">
        <v>45</v>
      </c>
      <c r="B16" s="85">
        <v>11527</v>
      </c>
      <c r="C16" s="62"/>
      <c r="D16" s="84" t="s">
        <v>46</v>
      </c>
      <c r="E16" s="85">
        <v>6813</v>
      </c>
      <c r="F16" s="62"/>
      <c r="G16" s="84" t="s">
        <v>45</v>
      </c>
      <c r="H16" s="85">
        <v>4504</v>
      </c>
      <c r="I16" s="62"/>
      <c r="J16" s="84" t="s">
        <v>45</v>
      </c>
      <c r="K16" s="85">
        <v>2631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ht="15" x14ac:dyDescent="0.3">
      <c r="A17" s="84" t="s">
        <v>61</v>
      </c>
      <c r="B17" s="85">
        <v>9741</v>
      </c>
      <c r="C17" s="62"/>
      <c r="D17" s="84" t="s">
        <v>61</v>
      </c>
      <c r="E17" s="85">
        <v>5715</v>
      </c>
      <c r="F17" s="62"/>
      <c r="G17" s="84" t="s">
        <v>61</v>
      </c>
      <c r="H17" s="85">
        <v>3777</v>
      </c>
      <c r="I17" s="62"/>
      <c r="J17" s="84" t="s">
        <v>61</v>
      </c>
      <c r="K17" s="85">
        <v>2267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ht="15" x14ac:dyDescent="0.3">
      <c r="A18" s="84" t="s">
        <v>48</v>
      </c>
      <c r="B18" s="85">
        <v>7846</v>
      </c>
      <c r="C18" s="62"/>
      <c r="D18" s="84" t="s">
        <v>48</v>
      </c>
      <c r="E18" s="85">
        <v>4470</v>
      </c>
      <c r="F18" s="62"/>
      <c r="G18" s="84" t="s">
        <v>48</v>
      </c>
      <c r="H18" s="85">
        <v>3125</v>
      </c>
      <c r="I18" s="62"/>
      <c r="J18" s="84" t="s">
        <v>48</v>
      </c>
      <c r="K18" s="85">
        <v>1764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ht="15" x14ac:dyDescent="0.3">
      <c r="A19" s="84" t="s">
        <v>47</v>
      </c>
      <c r="B19" s="85">
        <v>6959</v>
      </c>
      <c r="C19" s="62"/>
      <c r="D19" s="84" t="s">
        <v>47</v>
      </c>
      <c r="E19" s="85">
        <v>4401</v>
      </c>
      <c r="F19" s="62"/>
      <c r="G19" s="84" t="s">
        <v>47</v>
      </c>
      <c r="H19" s="85">
        <v>2761</v>
      </c>
      <c r="I19" s="62"/>
      <c r="J19" s="84" t="s">
        <v>47</v>
      </c>
      <c r="K19" s="85">
        <v>1734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ht="15" x14ac:dyDescent="0.3">
      <c r="A20" s="84" t="s">
        <v>50</v>
      </c>
      <c r="B20" s="85">
        <v>4441</v>
      </c>
      <c r="C20" s="62"/>
      <c r="D20" s="84" t="s">
        <v>49</v>
      </c>
      <c r="E20" s="85">
        <v>2603</v>
      </c>
      <c r="F20" s="62"/>
      <c r="G20" s="84" t="s">
        <v>50</v>
      </c>
      <c r="H20" s="85">
        <v>1740</v>
      </c>
      <c r="I20" s="62"/>
      <c r="J20" s="84" t="s">
        <v>49</v>
      </c>
      <c r="K20" s="84">
        <v>989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ht="15" x14ac:dyDescent="0.3">
      <c r="A21" s="84" t="s">
        <v>49</v>
      </c>
      <c r="B21" s="85">
        <v>4218</v>
      </c>
      <c r="C21" s="62"/>
      <c r="D21" s="84" t="s">
        <v>50</v>
      </c>
      <c r="E21" s="85">
        <v>2602</v>
      </c>
      <c r="F21" s="62"/>
      <c r="G21" s="84" t="s">
        <v>49</v>
      </c>
      <c r="H21" s="85">
        <v>1712</v>
      </c>
      <c r="I21" s="62"/>
      <c r="J21" s="84" t="s">
        <v>62</v>
      </c>
      <c r="K21" s="84">
        <v>956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ht="15" x14ac:dyDescent="0.3">
      <c r="A22" s="84" t="s">
        <v>62</v>
      </c>
      <c r="B22" s="85">
        <v>3932</v>
      </c>
      <c r="C22" s="62"/>
      <c r="D22" s="84" t="s">
        <v>62</v>
      </c>
      <c r="E22" s="85">
        <v>2420</v>
      </c>
      <c r="F22" s="62"/>
      <c r="G22" s="84" t="s">
        <v>62</v>
      </c>
      <c r="H22" s="85">
        <v>1526</v>
      </c>
      <c r="I22" s="62"/>
      <c r="J22" s="84" t="s">
        <v>50</v>
      </c>
      <c r="K22" s="84">
        <v>954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ht="15" x14ac:dyDescent="0.3">
      <c r="A23" s="84" t="s">
        <v>52</v>
      </c>
      <c r="B23" s="85">
        <v>3373</v>
      </c>
      <c r="C23" s="62"/>
      <c r="D23" s="84" t="s">
        <v>52</v>
      </c>
      <c r="E23" s="85">
        <v>1998</v>
      </c>
      <c r="F23" s="62"/>
      <c r="G23" s="84" t="s">
        <v>52</v>
      </c>
      <c r="H23" s="85">
        <v>1349</v>
      </c>
      <c r="I23" s="62"/>
      <c r="J23" s="84" t="s">
        <v>52</v>
      </c>
      <c r="K23" s="84">
        <v>867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ht="15" x14ac:dyDescent="0.3">
      <c r="A24" s="84" t="s">
        <v>63</v>
      </c>
      <c r="B24" s="85">
        <v>1795</v>
      </c>
      <c r="C24" s="62"/>
      <c r="D24" s="84" t="s">
        <v>63</v>
      </c>
      <c r="E24" s="85">
        <v>1108</v>
      </c>
      <c r="F24" s="62"/>
      <c r="G24" s="84" t="s">
        <v>63</v>
      </c>
      <c r="H24" s="84">
        <v>729</v>
      </c>
      <c r="I24" s="62"/>
      <c r="J24" s="84" t="s">
        <v>63</v>
      </c>
      <c r="K24" s="84">
        <v>454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ht="15" x14ac:dyDescent="0.3">
      <c r="A25" s="84" t="s">
        <v>51</v>
      </c>
      <c r="B25" s="85">
        <v>1607</v>
      </c>
      <c r="C25" s="62"/>
      <c r="D25" s="84" t="s">
        <v>51</v>
      </c>
      <c r="E25" s="84">
        <v>976</v>
      </c>
      <c r="F25" s="62"/>
      <c r="G25" s="84" t="s">
        <v>51</v>
      </c>
      <c r="H25" s="84">
        <v>648</v>
      </c>
      <c r="I25" s="62"/>
      <c r="J25" s="84" t="s">
        <v>51</v>
      </c>
      <c r="K25" s="84">
        <v>382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ht="15" x14ac:dyDescent="0.3">
      <c r="A26" s="84" t="s">
        <v>54</v>
      </c>
      <c r="B26" s="85">
        <v>1412</v>
      </c>
      <c r="C26" s="62"/>
      <c r="D26" s="84" t="s">
        <v>54</v>
      </c>
      <c r="E26" s="84">
        <v>866</v>
      </c>
      <c r="F26" s="62"/>
      <c r="G26" s="84" t="s">
        <v>54</v>
      </c>
      <c r="H26" s="84">
        <v>551</v>
      </c>
      <c r="I26" s="62"/>
      <c r="J26" s="84" t="s">
        <v>54</v>
      </c>
      <c r="K26" s="84">
        <v>309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ht="15" x14ac:dyDescent="0.3">
      <c r="A27" s="84" t="s">
        <v>53</v>
      </c>
      <c r="B27" s="85">
        <v>1289</v>
      </c>
      <c r="C27" s="62"/>
      <c r="D27" s="84" t="s">
        <v>53</v>
      </c>
      <c r="E27" s="84">
        <v>722</v>
      </c>
      <c r="F27" s="62"/>
      <c r="G27" s="84" t="s">
        <v>53</v>
      </c>
      <c r="H27" s="84">
        <v>495</v>
      </c>
      <c r="I27" s="62"/>
      <c r="J27" s="84" t="s">
        <v>53</v>
      </c>
      <c r="K27" s="84">
        <v>304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ht="15" x14ac:dyDescent="0.3">
      <c r="A28" s="84" t="s">
        <v>64</v>
      </c>
      <c r="B28" s="85">
        <v>1109</v>
      </c>
      <c r="C28" s="62"/>
      <c r="D28" s="84" t="s">
        <v>64</v>
      </c>
      <c r="E28" s="84">
        <v>673</v>
      </c>
      <c r="F28" s="62"/>
      <c r="G28" s="84" t="s">
        <v>64</v>
      </c>
      <c r="H28" s="84">
        <v>468</v>
      </c>
      <c r="I28" s="62"/>
      <c r="J28" s="84" t="s">
        <v>64</v>
      </c>
      <c r="K28" s="84">
        <v>261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941B-1BE2-4F2F-8383-4BDC58BE8B75}">
  <dimension ref="A1:AA31"/>
  <sheetViews>
    <sheetView workbookViewId="0">
      <selection activeCell="O24" sqref="O24"/>
    </sheetView>
  </sheetViews>
  <sheetFormatPr defaultColWidth="12.5703125" defaultRowHeight="15" x14ac:dyDescent="0.25"/>
  <cols>
    <col min="1" max="1" width="21.7109375" bestFit="1" customWidth="1"/>
    <col min="2" max="2" width="14.42578125" customWidth="1"/>
    <col min="4" max="4" width="21.7109375" bestFit="1" customWidth="1"/>
    <col min="7" max="7" width="18.140625" bestFit="1" customWidth="1"/>
    <col min="10" max="10" width="18.140625" bestFit="1" customWidth="1"/>
    <col min="13" max="13" width="13.85546875" bestFit="1" customWidth="1"/>
    <col min="14" max="14" width="14.140625" bestFit="1" customWidth="1"/>
    <col min="17" max="18" width="14.140625" bestFit="1" customWidth="1"/>
    <col min="21" max="21" width="16.42578125" bestFit="1" customWidth="1"/>
    <col min="22" max="22" width="14.140625" bestFit="1" customWidth="1"/>
    <col min="25" max="25" width="13.28515625" bestFit="1" customWidth="1"/>
    <col min="26" max="26" width="14.140625" bestFit="1" customWidth="1"/>
  </cols>
  <sheetData>
    <row r="1" spans="1:27" ht="15.75" x14ac:dyDescent="0.25">
      <c r="A1" s="86">
        <v>11505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</row>
    <row r="2" spans="1:27" ht="15.75" x14ac:dyDescent="0.25">
      <c r="A2" s="88" t="s">
        <v>0</v>
      </c>
      <c r="B2" s="89"/>
      <c r="C2" s="87"/>
      <c r="D2" s="88" t="s">
        <v>72</v>
      </c>
      <c r="E2" s="13"/>
      <c r="F2" s="87"/>
      <c r="G2" s="88" t="s">
        <v>108</v>
      </c>
      <c r="H2" s="89"/>
      <c r="J2" s="88" t="s">
        <v>109</v>
      </c>
      <c r="K2" s="89"/>
      <c r="L2" s="87"/>
      <c r="M2" s="88" t="s">
        <v>110</v>
      </c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7" ht="15.75" x14ac:dyDescent="0.25">
      <c r="A3" s="88" t="s">
        <v>111</v>
      </c>
      <c r="B3" s="90">
        <v>11000</v>
      </c>
      <c r="C3" s="91"/>
      <c r="D3" s="88" t="s">
        <v>111</v>
      </c>
      <c r="E3" s="90">
        <v>7500</v>
      </c>
      <c r="F3" s="87"/>
      <c r="G3" s="88" t="s">
        <v>111</v>
      </c>
      <c r="H3" s="90">
        <v>5000</v>
      </c>
      <c r="I3" s="87"/>
      <c r="J3" s="88" t="s">
        <v>111</v>
      </c>
      <c r="K3" s="90">
        <v>3000</v>
      </c>
      <c r="L3" s="87"/>
      <c r="M3" s="90">
        <v>26500</v>
      </c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27" ht="15.75" x14ac:dyDescent="0.25">
      <c r="A4" s="88" t="s">
        <v>112</v>
      </c>
      <c r="B4" s="92">
        <v>272096</v>
      </c>
      <c r="C4" s="93"/>
      <c r="D4" s="88" t="s">
        <v>112</v>
      </c>
      <c r="E4" s="92">
        <v>164640</v>
      </c>
      <c r="F4" s="87"/>
      <c r="G4" s="88" t="s">
        <v>112</v>
      </c>
      <c r="H4" s="92">
        <v>110218</v>
      </c>
      <c r="I4" s="87"/>
      <c r="J4" s="88" t="s">
        <v>112</v>
      </c>
      <c r="K4" s="92">
        <v>65866</v>
      </c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</row>
    <row r="5" spans="1:27" ht="15.75" x14ac:dyDescent="0.25">
      <c r="A5" s="88" t="s">
        <v>3</v>
      </c>
      <c r="B5" s="94">
        <v>0.04</v>
      </c>
      <c r="C5" s="91"/>
      <c r="D5" s="88" t="s">
        <v>3</v>
      </c>
      <c r="E5" s="94">
        <v>0.05</v>
      </c>
      <c r="F5" s="87"/>
      <c r="G5" s="88" t="s">
        <v>3</v>
      </c>
      <c r="H5" s="94">
        <v>0.05</v>
      </c>
      <c r="I5" s="87"/>
      <c r="J5" s="88" t="s">
        <v>3</v>
      </c>
      <c r="K5" s="94">
        <v>0.05</v>
      </c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spans="1:27" ht="15.75" x14ac:dyDescent="0.25">
      <c r="A6" s="89"/>
      <c r="B6" s="89"/>
      <c r="C6" s="87"/>
      <c r="D6" s="89"/>
      <c r="E6" s="89"/>
      <c r="F6" s="87"/>
      <c r="G6" s="89"/>
      <c r="H6" s="89"/>
      <c r="I6" s="87"/>
      <c r="J6" s="89"/>
      <c r="K6" s="89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1:27" ht="15.75" x14ac:dyDescent="0.25">
      <c r="A7" s="88" t="s">
        <v>113</v>
      </c>
      <c r="B7" s="89"/>
      <c r="C7" s="87"/>
      <c r="D7" s="88" t="s">
        <v>113</v>
      </c>
      <c r="E7" s="89"/>
      <c r="F7" s="87"/>
      <c r="G7" s="88" t="s">
        <v>113</v>
      </c>
      <c r="H7" s="89"/>
      <c r="I7" s="87"/>
      <c r="J7" s="88" t="s">
        <v>113</v>
      </c>
      <c r="K7" s="89"/>
      <c r="L7" s="87"/>
      <c r="M7" s="88" t="s">
        <v>71</v>
      </c>
      <c r="N7" s="89"/>
      <c r="O7" s="89"/>
      <c r="P7" s="87"/>
      <c r="Q7" s="88" t="s">
        <v>72</v>
      </c>
      <c r="R7" s="89"/>
      <c r="S7" s="89"/>
      <c r="T7" s="87"/>
      <c r="U7" s="88" t="s">
        <v>73</v>
      </c>
      <c r="V7" s="89"/>
      <c r="W7" s="89"/>
      <c r="X7" s="87"/>
      <c r="Y7" s="88" t="s">
        <v>114</v>
      </c>
      <c r="Z7" s="89"/>
      <c r="AA7" s="89"/>
    </row>
    <row r="8" spans="1:27" ht="15.75" x14ac:dyDescent="0.25">
      <c r="A8" s="89" t="s">
        <v>57</v>
      </c>
      <c r="B8" s="92">
        <v>67594</v>
      </c>
      <c r="C8" s="93"/>
      <c r="D8" s="89" t="s">
        <v>57</v>
      </c>
      <c r="E8" s="92">
        <v>41215</v>
      </c>
      <c r="F8" s="87"/>
      <c r="G8" s="89" t="s">
        <v>57</v>
      </c>
      <c r="H8" s="92">
        <v>27470</v>
      </c>
      <c r="I8" s="87"/>
      <c r="J8" s="89" t="s">
        <v>57</v>
      </c>
      <c r="K8" s="92">
        <v>16364</v>
      </c>
      <c r="L8" s="87"/>
      <c r="M8" s="88" t="s">
        <v>74</v>
      </c>
      <c r="N8" s="88" t="s">
        <v>75</v>
      </c>
      <c r="O8" s="88" t="s">
        <v>76</v>
      </c>
      <c r="P8" s="87"/>
      <c r="Q8" s="88" t="s">
        <v>74</v>
      </c>
      <c r="R8" s="88" t="s">
        <v>75</v>
      </c>
      <c r="S8" s="88" t="s">
        <v>76</v>
      </c>
      <c r="T8" s="87"/>
      <c r="U8" s="88" t="s">
        <v>74</v>
      </c>
      <c r="V8" s="88" t="s">
        <v>75</v>
      </c>
      <c r="W8" s="88" t="s">
        <v>76</v>
      </c>
      <c r="X8" s="87"/>
      <c r="Y8" s="88" t="s">
        <v>74</v>
      </c>
      <c r="Z8" s="88" t="s">
        <v>75</v>
      </c>
      <c r="AA8" s="88" t="s">
        <v>76</v>
      </c>
    </row>
    <row r="9" spans="1:27" ht="15.75" x14ac:dyDescent="0.25">
      <c r="A9" s="89" t="s">
        <v>58</v>
      </c>
      <c r="B9" s="92">
        <v>40037</v>
      </c>
      <c r="C9" s="93"/>
      <c r="D9" s="89" t="s">
        <v>58</v>
      </c>
      <c r="E9" s="92">
        <v>23973</v>
      </c>
      <c r="F9" s="87"/>
      <c r="G9" s="89" t="s">
        <v>58</v>
      </c>
      <c r="H9" s="92">
        <v>16257</v>
      </c>
      <c r="I9" s="87"/>
      <c r="J9" s="89" t="s">
        <v>58</v>
      </c>
      <c r="K9" s="92">
        <v>9659</v>
      </c>
      <c r="L9" s="87"/>
      <c r="M9" s="89" t="s">
        <v>85</v>
      </c>
      <c r="N9" s="92">
        <v>85556</v>
      </c>
      <c r="O9" s="95">
        <v>0.98640000000000005</v>
      </c>
      <c r="P9" s="87"/>
      <c r="Q9" s="89" t="s">
        <v>85</v>
      </c>
      <c r="R9" s="92">
        <v>51105</v>
      </c>
      <c r="S9" s="95">
        <v>0.98329999999999995</v>
      </c>
      <c r="T9" s="87"/>
      <c r="U9" s="89" t="s">
        <v>85</v>
      </c>
      <c r="V9" s="92">
        <v>33397</v>
      </c>
      <c r="W9" s="95">
        <v>0.9849</v>
      </c>
      <c r="X9" s="87"/>
      <c r="Y9" s="89" t="s">
        <v>85</v>
      </c>
      <c r="Z9" s="92">
        <v>20799</v>
      </c>
      <c r="AA9" s="95">
        <v>0.98409999999999997</v>
      </c>
    </row>
    <row r="10" spans="1:27" ht="15.75" x14ac:dyDescent="0.25">
      <c r="A10" s="89" t="s">
        <v>43</v>
      </c>
      <c r="B10" s="92">
        <v>23399</v>
      </c>
      <c r="C10" s="93"/>
      <c r="D10" s="89" t="s">
        <v>43</v>
      </c>
      <c r="E10" s="92">
        <v>14292</v>
      </c>
      <c r="F10" s="87"/>
      <c r="G10" s="89" t="s">
        <v>43</v>
      </c>
      <c r="H10" s="92">
        <v>9407</v>
      </c>
      <c r="I10" s="87"/>
      <c r="J10" s="89" t="s">
        <v>43</v>
      </c>
      <c r="K10" s="92">
        <v>5609</v>
      </c>
      <c r="L10" s="87"/>
      <c r="M10" s="89" t="s">
        <v>99</v>
      </c>
      <c r="N10" s="92">
        <v>72824</v>
      </c>
      <c r="O10" s="95">
        <v>0.99250000000000005</v>
      </c>
      <c r="P10" s="87"/>
      <c r="Q10" s="89" t="s">
        <v>99</v>
      </c>
      <c r="R10" s="92">
        <v>45334</v>
      </c>
      <c r="S10" s="95">
        <v>0.99199999999999999</v>
      </c>
      <c r="T10" s="87"/>
      <c r="U10" s="89" t="s">
        <v>99</v>
      </c>
      <c r="V10" s="92">
        <v>30513</v>
      </c>
      <c r="W10" s="95">
        <v>0.99309999999999998</v>
      </c>
      <c r="X10" s="87"/>
      <c r="Y10" s="89" t="s">
        <v>99</v>
      </c>
      <c r="Z10" s="92">
        <v>18189</v>
      </c>
      <c r="AA10" s="95">
        <v>0.99270000000000003</v>
      </c>
    </row>
    <row r="11" spans="1:27" ht="15.75" x14ac:dyDescent="0.25">
      <c r="A11" s="89" t="s">
        <v>42</v>
      </c>
      <c r="B11" s="92">
        <v>21787</v>
      </c>
      <c r="C11" s="93"/>
      <c r="D11" s="89" t="s">
        <v>42</v>
      </c>
      <c r="E11" s="92">
        <v>12910</v>
      </c>
      <c r="F11" s="87"/>
      <c r="G11" s="89" t="s">
        <v>42</v>
      </c>
      <c r="H11" s="92">
        <v>8681</v>
      </c>
      <c r="I11" s="87"/>
      <c r="J11" s="89" t="s">
        <v>42</v>
      </c>
      <c r="K11" s="92">
        <v>5278</v>
      </c>
      <c r="L11" s="87"/>
      <c r="M11" s="89" t="s">
        <v>80</v>
      </c>
      <c r="N11" s="92">
        <v>62904</v>
      </c>
      <c r="O11" s="95">
        <v>0.98019999999999996</v>
      </c>
      <c r="P11" s="87"/>
      <c r="Q11" s="89" t="s">
        <v>80</v>
      </c>
      <c r="R11" s="92">
        <v>37557</v>
      </c>
      <c r="S11" s="95">
        <v>0.97860000000000003</v>
      </c>
      <c r="T11" s="87"/>
      <c r="U11" s="89" t="s">
        <v>80</v>
      </c>
      <c r="V11" s="92">
        <v>25535</v>
      </c>
      <c r="W11" s="95">
        <v>0.97829999999999995</v>
      </c>
      <c r="X11" s="87"/>
      <c r="Y11" s="89" t="s">
        <v>80</v>
      </c>
      <c r="Z11" s="92">
        <v>14797</v>
      </c>
      <c r="AA11" s="95">
        <v>0.98350000000000004</v>
      </c>
    </row>
    <row r="12" spans="1:27" ht="15.75" x14ac:dyDescent="0.25">
      <c r="A12" s="89" t="s">
        <v>44</v>
      </c>
      <c r="B12" s="92">
        <v>15936</v>
      </c>
      <c r="C12" s="93"/>
      <c r="D12" s="89" t="s">
        <v>44</v>
      </c>
      <c r="E12" s="92">
        <v>9756</v>
      </c>
      <c r="F12" s="87"/>
      <c r="G12" s="89" t="s">
        <v>44</v>
      </c>
      <c r="H12" s="92">
        <v>6372</v>
      </c>
      <c r="I12" s="87"/>
      <c r="J12" s="89" t="s">
        <v>44</v>
      </c>
      <c r="K12" s="92">
        <v>3873</v>
      </c>
      <c r="L12" s="87"/>
      <c r="M12" s="89" t="s">
        <v>78</v>
      </c>
      <c r="N12" s="92">
        <v>54790</v>
      </c>
      <c r="O12" s="95">
        <v>0.98140000000000005</v>
      </c>
      <c r="P12" s="87"/>
      <c r="Q12" s="89" t="s">
        <v>78</v>
      </c>
      <c r="R12" s="92">
        <v>33543</v>
      </c>
      <c r="S12" s="95">
        <v>0.9738</v>
      </c>
      <c r="T12" s="87"/>
      <c r="U12" s="89" t="s">
        <v>78</v>
      </c>
      <c r="V12" s="92">
        <v>22492</v>
      </c>
      <c r="W12" s="95">
        <v>0.98</v>
      </c>
      <c r="X12" s="87"/>
      <c r="Y12" s="89" t="s">
        <v>78</v>
      </c>
      <c r="Z12" s="92">
        <v>13017</v>
      </c>
      <c r="AA12" s="95">
        <v>0.98240000000000005</v>
      </c>
    </row>
    <row r="13" spans="1:27" ht="15.75" x14ac:dyDescent="0.25">
      <c r="A13" s="89" t="s">
        <v>59</v>
      </c>
      <c r="B13" s="92">
        <v>14576</v>
      </c>
      <c r="C13" s="93"/>
      <c r="D13" s="89" t="s">
        <v>59</v>
      </c>
      <c r="E13" s="92">
        <v>9126</v>
      </c>
      <c r="F13" s="87"/>
      <c r="G13" s="89" t="s">
        <v>59</v>
      </c>
      <c r="H13" s="92">
        <v>6153</v>
      </c>
      <c r="I13" s="87"/>
      <c r="J13" s="89" t="s">
        <v>59</v>
      </c>
      <c r="K13" s="92">
        <v>3621</v>
      </c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</row>
    <row r="14" spans="1:27" ht="15.75" x14ac:dyDescent="0.25">
      <c r="A14" s="89" t="s">
        <v>60</v>
      </c>
      <c r="B14" s="92">
        <v>13956</v>
      </c>
      <c r="C14" s="93"/>
      <c r="D14" s="89" t="s">
        <v>60</v>
      </c>
      <c r="E14" s="92">
        <v>8445</v>
      </c>
      <c r="F14" s="87"/>
      <c r="G14" s="89" t="s">
        <v>60</v>
      </c>
      <c r="H14" s="92">
        <v>5650</v>
      </c>
      <c r="I14" s="87"/>
      <c r="J14" s="89" t="s">
        <v>60</v>
      </c>
      <c r="K14" s="92">
        <v>3363</v>
      </c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</row>
    <row r="15" spans="1:27" ht="15.75" x14ac:dyDescent="0.25">
      <c r="A15" s="89" t="s">
        <v>45</v>
      </c>
      <c r="B15" s="92">
        <v>13018</v>
      </c>
      <c r="C15" s="93"/>
      <c r="D15" s="89" t="s">
        <v>45</v>
      </c>
      <c r="E15" s="92">
        <v>7728</v>
      </c>
      <c r="F15" s="87"/>
      <c r="G15" s="89" t="s">
        <v>45</v>
      </c>
      <c r="H15" s="92">
        <v>5204</v>
      </c>
      <c r="I15" s="87"/>
      <c r="J15" s="89" t="s">
        <v>45</v>
      </c>
      <c r="K15" s="92">
        <v>3110</v>
      </c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</row>
    <row r="16" spans="1:27" ht="15.75" x14ac:dyDescent="0.25">
      <c r="A16" s="89" t="s">
        <v>61</v>
      </c>
      <c r="B16" s="92">
        <v>11992</v>
      </c>
      <c r="C16" s="93"/>
      <c r="D16" s="89" t="s">
        <v>46</v>
      </c>
      <c r="E16" s="92">
        <v>7345</v>
      </c>
      <c r="F16" s="87"/>
      <c r="G16" s="89" t="s">
        <v>61</v>
      </c>
      <c r="H16" s="92">
        <v>4966</v>
      </c>
      <c r="I16" s="87"/>
      <c r="J16" s="89" t="s">
        <v>46</v>
      </c>
      <c r="K16" s="92">
        <v>2932</v>
      </c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</row>
    <row r="17" spans="1:27" ht="15.75" x14ac:dyDescent="0.25">
      <c r="A17" s="89" t="s">
        <v>46</v>
      </c>
      <c r="B17" s="92">
        <v>11934</v>
      </c>
      <c r="C17" s="93"/>
      <c r="D17" s="89" t="s">
        <v>61</v>
      </c>
      <c r="E17" s="92">
        <v>7172</v>
      </c>
      <c r="F17" s="87"/>
      <c r="G17" s="89" t="s">
        <v>46</v>
      </c>
      <c r="H17" s="92">
        <v>4886</v>
      </c>
      <c r="I17" s="87"/>
      <c r="J17" s="89" t="s">
        <v>61</v>
      </c>
      <c r="K17" s="92">
        <v>2896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</row>
    <row r="18" spans="1:27" ht="15.75" x14ac:dyDescent="0.25">
      <c r="A18" s="89" t="s">
        <v>48</v>
      </c>
      <c r="B18" s="92">
        <v>7858</v>
      </c>
      <c r="C18" s="93"/>
      <c r="D18" s="89" t="s">
        <v>48</v>
      </c>
      <c r="E18" s="92">
        <v>4788</v>
      </c>
      <c r="F18" s="87"/>
      <c r="G18" s="89" t="s">
        <v>48</v>
      </c>
      <c r="H18" s="92">
        <v>3196</v>
      </c>
      <c r="I18" s="87"/>
      <c r="J18" s="89" t="s">
        <v>48</v>
      </c>
      <c r="K18" s="92">
        <v>1868</v>
      </c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</row>
    <row r="19" spans="1:27" ht="15.75" x14ac:dyDescent="0.25">
      <c r="A19" s="89" t="s">
        <v>47</v>
      </c>
      <c r="B19" s="92">
        <v>7200</v>
      </c>
      <c r="C19" s="93"/>
      <c r="D19" s="89" t="s">
        <v>47</v>
      </c>
      <c r="E19" s="92">
        <v>4673</v>
      </c>
      <c r="F19" s="87"/>
      <c r="G19" s="89" t="s">
        <v>47</v>
      </c>
      <c r="H19" s="92">
        <v>2956</v>
      </c>
      <c r="I19" s="87"/>
      <c r="J19" s="89" t="s">
        <v>47</v>
      </c>
      <c r="K19" s="92">
        <v>1783</v>
      </c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</row>
    <row r="20" spans="1:27" ht="15.75" x14ac:dyDescent="0.25">
      <c r="A20" s="89" t="s">
        <v>50</v>
      </c>
      <c r="B20" s="92">
        <v>5198</v>
      </c>
      <c r="C20" s="93"/>
      <c r="D20" s="89" t="s">
        <v>50</v>
      </c>
      <c r="E20" s="92">
        <v>3150</v>
      </c>
      <c r="F20" s="87"/>
      <c r="G20" s="89" t="s">
        <v>50</v>
      </c>
      <c r="H20" s="92">
        <v>2079</v>
      </c>
      <c r="I20" s="87"/>
      <c r="J20" s="89" t="s">
        <v>50</v>
      </c>
      <c r="K20" s="92">
        <v>1203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</row>
    <row r="21" spans="1:27" ht="15.75" x14ac:dyDescent="0.25">
      <c r="A21" s="89" t="s">
        <v>49</v>
      </c>
      <c r="B21" s="92">
        <v>4838</v>
      </c>
      <c r="C21" s="93"/>
      <c r="D21" s="89" t="s">
        <v>49</v>
      </c>
      <c r="E21" s="92">
        <v>2896</v>
      </c>
      <c r="F21" s="87"/>
      <c r="G21" s="89" t="s">
        <v>49</v>
      </c>
      <c r="H21" s="92">
        <v>1951</v>
      </c>
      <c r="I21" s="87"/>
      <c r="J21" s="89" t="s">
        <v>49</v>
      </c>
      <c r="K21" s="92">
        <v>1154</v>
      </c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</row>
    <row r="22" spans="1:27" ht="15.75" x14ac:dyDescent="0.25">
      <c r="A22" s="89" t="s">
        <v>52</v>
      </c>
      <c r="B22" s="92">
        <v>4342</v>
      </c>
      <c r="C22" s="93"/>
      <c r="D22" s="89" t="s">
        <v>52</v>
      </c>
      <c r="E22" s="92">
        <v>2589</v>
      </c>
      <c r="F22" s="87"/>
      <c r="G22" s="89" t="s">
        <v>52</v>
      </c>
      <c r="H22" s="92">
        <v>1734</v>
      </c>
      <c r="I22" s="87"/>
      <c r="J22" s="89" t="s">
        <v>62</v>
      </c>
      <c r="K22" s="89">
        <v>983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</row>
    <row r="23" spans="1:27" ht="15.75" x14ac:dyDescent="0.25">
      <c r="A23" s="89" t="s">
        <v>62</v>
      </c>
      <c r="B23" s="92">
        <v>4060</v>
      </c>
      <c r="C23" s="93"/>
      <c r="D23" s="89" t="s">
        <v>62</v>
      </c>
      <c r="E23" s="92">
        <v>2387</v>
      </c>
      <c r="F23" s="87"/>
      <c r="G23" s="89" t="s">
        <v>62</v>
      </c>
      <c r="H23" s="92">
        <v>1610</v>
      </c>
      <c r="I23" s="87"/>
      <c r="J23" s="89" t="s">
        <v>52</v>
      </c>
      <c r="K23" s="89">
        <v>982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</row>
    <row r="24" spans="1:27" ht="15.75" x14ac:dyDescent="0.25">
      <c r="A24" s="89" t="s">
        <v>63</v>
      </c>
      <c r="B24" s="92">
        <v>1938</v>
      </c>
      <c r="C24" s="93"/>
      <c r="D24" s="89" t="s">
        <v>63</v>
      </c>
      <c r="E24" s="92">
        <v>1185</v>
      </c>
      <c r="F24" s="87"/>
      <c r="G24" s="89" t="s">
        <v>63</v>
      </c>
      <c r="H24" s="89">
        <v>808</v>
      </c>
      <c r="I24" s="87"/>
      <c r="J24" s="89" t="s">
        <v>51</v>
      </c>
      <c r="K24" s="89">
        <v>500</v>
      </c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</row>
    <row r="25" spans="1:27" ht="15.75" x14ac:dyDescent="0.25">
      <c r="A25" s="89" t="s">
        <v>51</v>
      </c>
      <c r="B25" s="92">
        <v>1802</v>
      </c>
      <c r="C25" s="93"/>
      <c r="D25" s="89" t="s">
        <v>54</v>
      </c>
      <c r="E25" s="92">
        <v>1151</v>
      </c>
      <c r="F25" s="87"/>
      <c r="G25" s="89" t="s">
        <v>51</v>
      </c>
      <c r="H25" s="89">
        <v>784</v>
      </c>
      <c r="I25" s="87"/>
      <c r="J25" s="89" t="s">
        <v>63</v>
      </c>
      <c r="K25" s="89">
        <v>473</v>
      </c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</row>
    <row r="26" spans="1:27" ht="15.75" x14ac:dyDescent="0.25">
      <c r="A26" s="89" t="s">
        <v>54</v>
      </c>
      <c r="B26" s="92">
        <v>1798</v>
      </c>
      <c r="C26" s="93"/>
      <c r="D26" s="89" t="s">
        <v>51</v>
      </c>
      <c r="E26" s="92">
        <v>1068</v>
      </c>
      <c r="F26" s="87"/>
      <c r="G26" s="89" t="s">
        <v>54</v>
      </c>
      <c r="H26" s="89">
        <v>678</v>
      </c>
      <c r="I26" s="87"/>
      <c r="J26" s="89" t="s">
        <v>54</v>
      </c>
      <c r="K26" s="89">
        <v>447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</row>
    <row r="27" spans="1:27" ht="15.75" x14ac:dyDescent="0.25">
      <c r="A27" s="89" t="s">
        <v>53</v>
      </c>
      <c r="B27" s="92">
        <v>1481</v>
      </c>
      <c r="C27" s="93"/>
      <c r="D27" s="89" t="s">
        <v>53</v>
      </c>
      <c r="E27" s="89">
        <v>894</v>
      </c>
      <c r="F27" s="87"/>
      <c r="G27" s="89" t="s">
        <v>53</v>
      </c>
      <c r="H27" s="89">
        <v>594</v>
      </c>
      <c r="I27" s="87"/>
      <c r="J27" s="89" t="s">
        <v>53</v>
      </c>
      <c r="K27" s="89">
        <v>384</v>
      </c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</row>
    <row r="28" spans="1:27" ht="15.75" x14ac:dyDescent="0.25">
      <c r="A28" s="89" t="s">
        <v>64</v>
      </c>
      <c r="B28" s="92">
        <v>1330</v>
      </c>
      <c r="C28" s="93"/>
      <c r="D28" s="89" t="s">
        <v>64</v>
      </c>
      <c r="E28" s="89">
        <v>796</v>
      </c>
      <c r="F28" s="87"/>
      <c r="G28" s="89" t="s">
        <v>64</v>
      </c>
      <c r="H28" s="89">
        <v>501</v>
      </c>
      <c r="I28" s="87"/>
      <c r="J28" s="89" t="s">
        <v>64</v>
      </c>
      <c r="K28" s="89">
        <v>320</v>
      </c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spans="1:27" ht="15.75" x14ac:dyDescent="0.2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</row>
    <row r="30" spans="1:27" ht="15.75" x14ac:dyDescent="0.25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</row>
    <row r="31" spans="1:27" ht="15.75" x14ac:dyDescent="0.25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3C7B-53DC-449D-8738-B54A40AF713A}">
  <dimension ref="A1:AE84"/>
  <sheetViews>
    <sheetView tabSelected="1" topLeftCell="B1" workbookViewId="0">
      <selection activeCell="P16" sqref="P16"/>
    </sheetView>
  </sheetViews>
  <sheetFormatPr defaultColWidth="12.5703125" defaultRowHeight="15" x14ac:dyDescent="0.25"/>
  <cols>
    <col min="1" max="1" width="24.42578125" customWidth="1"/>
    <col min="2" max="2" width="17.7109375" customWidth="1"/>
    <col min="3" max="3" width="19.5703125" bestFit="1" customWidth="1"/>
    <col min="5" max="5" width="25.7109375" customWidth="1"/>
    <col min="7" max="7" width="19.5703125" bestFit="1" customWidth="1"/>
    <col min="9" max="9" width="23.28515625" customWidth="1"/>
    <col min="11" max="11" width="19.5703125" bestFit="1" customWidth="1"/>
    <col min="13" max="13" width="21.85546875" customWidth="1"/>
    <col min="15" max="15" width="19.5703125" bestFit="1" customWidth="1"/>
    <col min="16" max="16" width="15" customWidth="1"/>
    <col min="20" max="20" width="16.140625" customWidth="1"/>
    <col min="24" max="24" width="13.85546875" bestFit="1" customWidth="1"/>
    <col min="28" max="28" width="14.85546875" customWidth="1"/>
  </cols>
  <sheetData>
    <row r="1" spans="1:31" x14ac:dyDescent="0.25">
      <c r="A1" s="82">
        <v>11536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 x14ac:dyDescent="0.25">
      <c r="A2" s="5" t="s">
        <v>0</v>
      </c>
      <c r="B2" s="4"/>
      <c r="C2" s="62"/>
      <c r="E2" s="5" t="s">
        <v>72</v>
      </c>
      <c r="F2" s="4"/>
      <c r="H2" s="62"/>
      <c r="I2" s="5" t="s">
        <v>108</v>
      </c>
      <c r="J2" s="13"/>
      <c r="K2" s="62"/>
      <c r="M2" s="5" t="s">
        <v>109</v>
      </c>
      <c r="N2" s="4"/>
      <c r="O2" s="62"/>
      <c r="P2" s="5" t="s">
        <v>110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31" x14ac:dyDescent="0.25">
      <c r="A3" s="5" t="s">
        <v>111</v>
      </c>
      <c r="B3" s="68">
        <f>B60</f>
        <v>29675.040000000005</v>
      </c>
      <c r="C3" s="62"/>
      <c r="D3" s="62"/>
      <c r="E3" s="5" t="s">
        <v>111</v>
      </c>
      <c r="F3" s="68">
        <f>F60</f>
        <v>8648.0199999999986</v>
      </c>
      <c r="G3" s="62"/>
      <c r="H3" s="62"/>
      <c r="I3" s="5" t="s">
        <v>111</v>
      </c>
      <c r="J3" s="68">
        <f>J60</f>
        <v>10174.979999999998</v>
      </c>
      <c r="K3" s="62"/>
      <c r="L3" s="62"/>
      <c r="M3" s="5" t="s">
        <v>111</v>
      </c>
      <c r="N3" s="68">
        <f>N60</f>
        <v>4320</v>
      </c>
      <c r="O3" s="62"/>
      <c r="P3" s="68">
        <f>B3+F3+J3+N3</f>
        <v>52818.04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spans="1:31" x14ac:dyDescent="0.25">
      <c r="A4" s="5" t="s">
        <v>112</v>
      </c>
      <c r="B4" s="6">
        <v>562859</v>
      </c>
      <c r="C4" s="62"/>
      <c r="D4" s="62"/>
      <c r="E4" s="5" t="s">
        <v>112</v>
      </c>
      <c r="F4" s="6">
        <v>178320</v>
      </c>
      <c r="G4" s="62"/>
      <c r="H4" s="62"/>
      <c r="I4" s="5" t="s">
        <v>112</v>
      </c>
      <c r="J4" s="6">
        <v>195740</v>
      </c>
      <c r="K4" s="62"/>
      <c r="L4" s="62"/>
      <c r="M4" s="5" t="s">
        <v>112</v>
      </c>
      <c r="N4" s="6">
        <v>89127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spans="1:31" x14ac:dyDescent="0.25">
      <c r="A5" s="5" t="s">
        <v>3</v>
      </c>
      <c r="B5" s="70">
        <f>B3/B4</f>
        <v>5.2721978328497912E-2</v>
      </c>
      <c r="C5" s="62"/>
      <c r="D5" s="62"/>
      <c r="E5" s="5" t="s">
        <v>3</v>
      </c>
      <c r="F5" s="70">
        <f>F3/F4</f>
        <v>4.8497196052041266E-2</v>
      </c>
      <c r="G5" s="62"/>
      <c r="H5" s="62"/>
      <c r="I5" s="5" t="s">
        <v>3</v>
      </c>
      <c r="J5" s="70">
        <f>J3/J4</f>
        <v>5.1982119137631538E-2</v>
      </c>
      <c r="K5" s="62"/>
      <c r="L5" s="62"/>
      <c r="M5" s="5" t="s">
        <v>3</v>
      </c>
      <c r="N5" s="70">
        <f>N3/N4</f>
        <v>4.8470160557406848E-2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 spans="1:31" x14ac:dyDescent="0.25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1:31" x14ac:dyDescent="0.25">
      <c r="A7" s="5" t="s">
        <v>113</v>
      </c>
      <c r="B7" s="4"/>
      <c r="C7" s="62"/>
      <c r="D7" s="62"/>
      <c r="E7" s="5" t="s">
        <v>113</v>
      </c>
      <c r="F7" s="4"/>
      <c r="G7" s="62"/>
      <c r="H7" s="62"/>
      <c r="I7" s="5" t="s">
        <v>113</v>
      </c>
      <c r="J7" s="4"/>
      <c r="K7" s="62"/>
      <c r="L7" s="62"/>
      <c r="M7" s="5" t="s">
        <v>113</v>
      </c>
      <c r="N7" s="4"/>
      <c r="O7" s="62"/>
      <c r="P7" s="5" t="s">
        <v>71</v>
      </c>
      <c r="Q7" s="4"/>
      <c r="R7" s="4"/>
      <c r="S7" s="62"/>
      <c r="T7" s="5" t="s">
        <v>72</v>
      </c>
      <c r="U7" s="4"/>
      <c r="V7" s="4"/>
      <c r="W7" s="62"/>
      <c r="X7" s="5" t="s">
        <v>73</v>
      </c>
      <c r="Y7" s="4"/>
      <c r="Z7" s="4"/>
      <c r="AA7" s="62"/>
      <c r="AB7" s="5" t="s">
        <v>114</v>
      </c>
      <c r="AC7" s="4"/>
      <c r="AD7" s="4"/>
      <c r="AE7" s="62"/>
    </row>
    <row r="8" spans="1:31" x14ac:dyDescent="0.25">
      <c r="A8" s="4" t="s">
        <v>57</v>
      </c>
      <c r="B8" s="6">
        <v>134817</v>
      </c>
      <c r="C8" s="62"/>
      <c r="D8" s="62"/>
      <c r="E8" s="4" t="s">
        <v>57</v>
      </c>
      <c r="F8" s="6">
        <v>42855</v>
      </c>
      <c r="G8" s="62"/>
      <c r="H8" s="62"/>
      <c r="I8" s="4" t="s">
        <v>57</v>
      </c>
      <c r="J8" s="6">
        <v>46711</v>
      </c>
      <c r="K8" s="62"/>
      <c r="L8" s="62"/>
      <c r="M8" s="4" t="s">
        <v>57</v>
      </c>
      <c r="N8" s="6">
        <v>21344</v>
      </c>
      <c r="O8" s="62"/>
      <c r="P8" s="5" t="s">
        <v>74</v>
      </c>
      <c r="Q8" s="5" t="s">
        <v>75</v>
      </c>
      <c r="R8" s="5" t="s">
        <v>76</v>
      </c>
      <c r="S8" s="62"/>
      <c r="T8" s="5" t="s">
        <v>74</v>
      </c>
      <c r="U8" s="5" t="s">
        <v>75</v>
      </c>
      <c r="V8" s="5" t="s">
        <v>76</v>
      </c>
      <c r="W8" s="62"/>
      <c r="X8" s="5" t="s">
        <v>74</v>
      </c>
      <c r="Y8" s="5" t="s">
        <v>75</v>
      </c>
      <c r="Z8" s="5" t="s">
        <v>76</v>
      </c>
      <c r="AA8" s="62"/>
      <c r="AB8" s="5" t="s">
        <v>74</v>
      </c>
      <c r="AC8" s="5" t="s">
        <v>75</v>
      </c>
      <c r="AD8" s="5" t="s">
        <v>76</v>
      </c>
      <c r="AE8" s="62"/>
    </row>
    <row r="9" spans="1:31" x14ac:dyDescent="0.25">
      <c r="A9" s="4" t="s">
        <v>58</v>
      </c>
      <c r="B9" s="6">
        <v>84539</v>
      </c>
      <c r="C9" s="62"/>
      <c r="D9" s="62"/>
      <c r="E9" s="4" t="s">
        <v>58</v>
      </c>
      <c r="F9" s="6">
        <v>26840</v>
      </c>
      <c r="G9" s="62"/>
      <c r="H9" s="62"/>
      <c r="I9" s="4" t="s">
        <v>58</v>
      </c>
      <c r="J9" s="6">
        <v>29643</v>
      </c>
      <c r="K9" s="62"/>
      <c r="L9" s="62"/>
      <c r="M9" s="4" t="s">
        <v>58</v>
      </c>
      <c r="N9" s="6">
        <v>13230</v>
      </c>
      <c r="O9" s="62"/>
      <c r="P9" s="4" t="s">
        <v>80</v>
      </c>
      <c r="Q9" s="6">
        <v>219471</v>
      </c>
      <c r="R9" s="64">
        <v>0.93579999999999997</v>
      </c>
      <c r="S9" s="62"/>
      <c r="T9" s="4" t="s">
        <v>80</v>
      </c>
      <c r="U9" s="6">
        <v>68599</v>
      </c>
      <c r="V9" s="64">
        <v>0.93169999999999997</v>
      </c>
      <c r="W9" s="62"/>
      <c r="X9" s="4" t="s">
        <v>80</v>
      </c>
      <c r="Y9" s="6">
        <v>74936</v>
      </c>
      <c r="Z9" s="64">
        <v>0.93269999999999997</v>
      </c>
      <c r="AA9" s="62"/>
      <c r="AB9" s="4" t="s">
        <v>80</v>
      </c>
      <c r="AC9" s="6">
        <v>33663</v>
      </c>
      <c r="AD9" s="64">
        <v>0.92559999999999998</v>
      </c>
      <c r="AE9" s="62"/>
    </row>
    <row r="10" spans="1:31" x14ac:dyDescent="0.25">
      <c r="A10" s="4" t="s">
        <v>42</v>
      </c>
      <c r="B10" s="6">
        <v>51334</v>
      </c>
      <c r="C10" s="62"/>
      <c r="D10" s="62"/>
      <c r="E10" s="4" t="s">
        <v>42</v>
      </c>
      <c r="F10" s="6">
        <v>15553</v>
      </c>
      <c r="G10" s="62"/>
      <c r="H10" s="62"/>
      <c r="I10" s="4" t="s">
        <v>42</v>
      </c>
      <c r="J10" s="6">
        <v>17464</v>
      </c>
      <c r="K10" s="62"/>
      <c r="L10" s="62"/>
      <c r="M10" s="4" t="s">
        <v>42</v>
      </c>
      <c r="N10" s="6">
        <v>7956</v>
      </c>
      <c r="O10" s="62"/>
      <c r="P10" s="4" t="s">
        <v>78</v>
      </c>
      <c r="Q10" s="6">
        <v>164137</v>
      </c>
      <c r="R10" s="64">
        <v>0.98209999999999997</v>
      </c>
      <c r="S10" s="62"/>
      <c r="T10" s="4" t="s">
        <v>78</v>
      </c>
      <c r="U10" s="6">
        <v>53688</v>
      </c>
      <c r="V10" s="64">
        <v>0.97499999999999998</v>
      </c>
      <c r="W10" s="62"/>
      <c r="X10" s="4" t="s">
        <v>78</v>
      </c>
      <c r="Y10" s="6">
        <v>59140</v>
      </c>
      <c r="Z10" s="64">
        <v>0.97950000000000004</v>
      </c>
      <c r="AA10" s="62"/>
      <c r="AB10" s="4" t="s">
        <v>78</v>
      </c>
      <c r="AC10" s="6">
        <v>26701</v>
      </c>
      <c r="AD10" s="64">
        <v>0.97850000000000004</v>
      </c>
      <c r="AE10" s="62"/>
    </row>
    <row r="11" spans="1:31" x14ac:dyDescent="0.25">
      <c r="A11" s="4" t="s">
        <v>43</v>
      </c>
      <c r="B11" s="6">
        <v>37892</v>
      </c>
      <c r="C11" s="62"/>
      <c r="D11" s="62"/>
      <c r="E11" s="4" t="s">
        <v>43</v>
      </c>
      <c r="F11" s="6">
        <v>11786</v>
      </c>
      <c r="G11" s="62"/>
      <c r="H11" s="62"/>
      <c r="I11" s="4" t="s">
        <v>43</v>
      </c>
      <c r="J11" s="6">
        <v>13156</v>
      </c>
      <c r="K11" s="62"/>
      <c r="L11" s="62"/>
      <c r="M11" s="4" t="s">
        <v>43</v>
      </c>
      <c r="N11" s="6">
        <v>5900</v>
      </c>
      <c r="O11" s="62"/>
      <c r="P11" s="4" t="s">
        <v>85</v>
      </c>
      <c r="Q11" s="6">
        <v>133648</v>
      </c>
      <c r="R11" s="64">
        <v>0.98670000000000002</v>
      </c>
      <c r="S11" s="62"/>
      <c r="T11" s="4" t="s">
        <v>85</v>
      </c>
      <c r="U11" s="6">
        <v>40922</v>
      </c>
      <c r="V11" s="64">
        <v>0.98440000000000005</v>
      </c>
      <c r="W11" s="62"/>
      <c r="X11" s="4" t="s">
        <v>85</v>
      </c>
      <c r="Y11" s="6">
        <v>44903</v>
      </c>
      <c r="Z11" s="64">
        <v>0.98399999999999999</v>
      </c>
      <c r="AA11" s="62"/>
      <c r="AB11" s="4" t="s">
        <v>85</v>
      </c>
      <c r="AC11" s="6">
        <v>20900</v>
      </c>
      <c r="AD11" s="64">
        <v>0.98609999999999998</v>
      </c>
      <c r="AE11" s="62"/>
    </row>
    <row r="12" spans="1:31" x14ac:dyDescent="0.25">
      <c r="A12" s="4" t="s">
        <v>59</v>
      </c>
      <c r="B12" s="6">
        <v>32583</v>
      </c>
      <c r="C12" s="62"/>
      <c r="D12" s="62"/>
      <c r="E12" s="4" t="s">
        <v>44</v>
      </c>
      <c r="F12" s="6">
        <v>10500</v>
      </c>
      <c r="G12" s="62"/>
      <c r="H12" s="62"/>
      <c r="I12" s="4" t="s">
        <v>59</v>
      </c>
      <c r="J12" s="6">
        <v>11305</v>
      </c>
      <c r="K12" s="62"/>
      <c r="L12" s="62"/>
      <c r="M12" s="4" t="s">
        <v>44</v>
      </c>
      <c r="N12" s="6">
        <v>5195</v>
      </c>
      <c r="O12" s="62"/>
      <c r="P12" s="4" t="s">
        <v>99</v>
      </c>
      <c r="Q12" s="6">
        <v>45603</v>
      </c>
      <c r="R12" s="64">
        <v>0.99250000000000005</v>
      </c>
      <c r="S12" s="62"/>
      <c r="T12" s="4" t="s">
        <v>99</v>
      </c>
      <c r="U12" s="6">
        <v>15111</v>
      </c>
      <c r="V12" s="64">
        <v>0.99239999999999995</v>
      </c>
      <c r="W12" s="62"/>
      <c r="X12" s="4" t="s">
        <v>99</v>
      </c>
      <c r="Y12" s="6">
        <v>16761</v>
      </c>
      <c r="Z12" s="64">
        <v>0.99250000000000005</v>
      </c>
      <c r="AA12" s="62"/>
      <c r="AB12" s="4" t="s">
        <v>99</v>
      </c>
      <c r="AC12" s="6">
        <v>7863</v>
      </c>
      <c r="AD12" s="64">
        <v>0.99199999999999999</v>
      </c>
      <c r="AE12" s="62"/>
    </row>
    <row r="13" spans="1:31" x14ac:dyDescent="0.25">
      <c r="A13" s="4" t="s">
        <v>44</v>
      </c>
      <c r="B13" s="6">
        <v>32048</v>
      </c>
      <c r="C13" s="62"/>
      <c r="D13" s="62"/>
      <c r="E13" s="4" t="s">
        <v>59</v>
      </c>
      <c r="F13" s="6">
        <v>10211</v>
      </c>
      <c r="G13" s="62"/>
      <c r="H13" s="62"/>
      <c r="I13" s="4" t="s">
        <v>44</v>
      </c>
      <c r="J13" s="6">
        <v>11215</v>
      </c>
      <c r="K13" s="62"/>
      <c r="L13" s="62"/>
      <c r="M13" s="4" t="s">
        <v>59</v>
      </c>
      <c r="N13" s="6">
        <v>5125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 spans="1:31" x14ac:dyDescent="0.25">
      <c r="A14" s="4" t="s">
        <v>45</v>
      </c>
      <c r="B14" s="6">
        <v>27367</v>
      </c>
      <c r="C14" s="62"/>
      <c r="D14" s="62"/>
      <c r="E14" s="4" t="s">
        <v>45</v>
      </c>
      <c r="F14" s="6">
        <v>8781</v>
      </c>
      <c r="G14" s="62"/>
      <c r="H14" s="62"/>
      <c r="I14" s="4" t="s">
        <v>45</v>
      </c>
      <c r="J14" s="6">
        <v>9400</v>
      </c>
      <c r="K14" s="62"/>
      <c r="L14" s="62"/>
      <c r="M14" s="4" t="s">
        <v>45</v>
      </c>
      <c r="N14" s="6">
        <v>4446</v>
      </c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spans="1:31" x14ac:dyDescent="0.25">
      <c r="A15" s="4" t="s">
        <v>60</v>
      </c>
      <c r="B15" s="6">
        <v>26383</v>
      </c>
      <c r="C15" s="62"/>
      <c r="D15" s="62"/>
      <c r="E15" s="4" t="s">
        <v>60</v>
      </c>
      <c r="F15" s="6">
        <v>8401</v>
      </c>
      <c r="G15" s="62"/>
      <c r="H15" s="62"/>
      <c r="I15" s="4" t="s">
        <v>60</v>
      </c>
      <c r="J15" s="6">
        <v>9220</v>
      </c>
      <c r="K15" s="62"/>
      <c r="L15" s="62"/>
      <c r="M15" s="4" t="s">
        <v>60</v>
      </c>
      <c r="N15" s="6">
        <v>4120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1:31" x14ac:dyDescent="0.25">
      <c r="A16" s="4" t="s">
        <v>46</v>
      </c>
      <c r="B16" s="6">
        <v>23734</v>
      </c>
      <c r="C16" s="62"/>
      <c r="D16" s="62"/>
      <c r="E16" s="4" t="s">
        <v>46</v>
      </c>
      <c r="F16" s="6">
        <v>7654</v>
      </c>
      <c r="G16" s="62"/>
      <c r="H16" s="62"/>
      <c r="I16" s="4" t="s">
        <v>46</v>
      </c>
      <c r="J16" s="6">
        <v>8402</v>
      </c>
      <c r="K16" s="62"/>
      <c r="L16" s="62"/>
      <c r="M16" s="4" t="s">
        <v>46</v>
      </c>
      <c r="N16" s="6">
        <v>4011</v>
      </c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spans="1:31" x14ac:dyDescent="0.25">
      <c r="A17" s="4" t="s">
        <v>61</v>
      </c>
      <c r="B17" s="6">
        <v>20239</v>
      </c>
      <c r="C17" s="62"/>
      <c r="D17" s="62"/>
      <c r="E17" s="4" t="s">
        <v>61</v>
      </c>
      <c r="F17" s="6">
        <v>6479</v>
      </c>
      <c r="G17" s="62"/>
      <c r="H17" s="62"/>
      <c r="I17" s="4" t="s">
        <v>61</v>
      </c>
      <c r="J17" s="6">
        <v>7210</v>
      </c>
      <c r="K17" s="62"/>
      <c r="L17" s="62"/>
      <c r="M17" s="4" t="s">
        <v>61</v>
      </c>
      <c r="N17" s="6">
        <v>3222</v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 spans="1:31" x14ac:dyDescent="0.25">
      <c r="A18" s="4" t="s">
        <v>47</v>
      </c>
      <c r="B18" s="6">
        <v>17193</v>
      </c>
      <c r="C18" s="62"/>
      <c r="D18" s="62"/>
      <c r="E18" s="4" t="s">
        <v>48</v>
      </c>
      <c r="F18" s="6">
        <v>5301</v>
      </c>
      <c r="G18" s="62"/>
      <c r="H18" s="62"/>
      <c r="I18" s="4" t="s">
        <v>48</v>
      </c>
      <c r="J18" s="6">
        <v>5904</v>
      </c>
      <c r="K18" s="62"/>
      <c r="L18" s="62"/>
      <c r="M18" s="4" t="s">
        <v>47</v>
      </c>
      <c r="N18" s="6">
        <v>2678</v>
      </c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 x14ac:dyDescent="0.25">
      <c r="A19" s="4" t="s">
        <v>48</v>
      </c>
      <c r="B19" s="6">
        <v>16582</v>
      </c>
      <c r="C19" s="62"/>
      <c r="D19" s="62"/>
      <c r="E19" s="4" t="s">
        <v>47</v>
      </c>
      <c r="F19" s="6">
        <v>5294</v>
      </c>
      <c r="G19" s="62"/>
      <c r="H19" s="62"/>
      <c r="I19" s="4" t="s">
        <v>47</v>
      </c>
      <c r="J19" s="6">
        <v>5791</v>
      </c>
      <c r="K19" s="62"/>
      <c r="L19" s="62"/>
      <c r="M19" s="4" t="s">
        <v>48</v>
      </c>
      <c r="N19" s="6">
        <v>2626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spans="1:31" x14ac:dyDescent="0.25">
      <c r="A20" s="4" t="s">
        <v>52</v>
      </c>
      <c r="B20" s="6">
        <v>13954</v>
      </c>
      <c r="C20" s="62"/>
      <c r="D20" s="62"/>
      <c r="E20" s="4" t="s">
        <v>52</v>
      </c>
      <c r="F20" s="6">
        <v>4424</v>
      </c>
      <c r="G20" s="62"/>
      <c r="H20" s="62"/>
      <c r="I20" s="4" t="s">
        <v>52</v>
      </c>
      <c r="J20" s="6">
        <v>4761</v>
      </c>
      <c r="K20" s="62"/>
      <c r="L20" s="62"/>
      <c r="M20" s="4" t="s">
        <v>52</v>
      </c>
      <c r="N20" s="6">
        <v>2265</v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 spans="1:31" x14ac:dyDescent="0.25">
      <c r="A21" s="4" t="s">
        <v>50</v>
      </c>
      <c r="B21" s="6">
        <v>10687</v>
      </c>
      <c r="C21" s="62"/>
      <c r="D21" s="62"/>
      <c r="E21" s="4" t="s">
        <v>50</v>
      </c>
      <c r="F21" s="6">
        <v>3527</v>
      </c>
      <c r="G21" s="62"/>
      <c r="H21" s="62"/>
      <c r="I21" s="4" t="s">
        <v>50</v>
      </c>
      <c r="J21" s="6">
        <v>3793</v>
      </c>
      <c r="K21" s="62"/>
      <c r="L21" s="62"/>
      <c r="M21" s="4" t="s">
        <v>50</v>
      </c>
      <c r="N21" s="6">
        <v>1744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spans="1:31" x14ac:dyDescent="0.25">
      <c r="A22" s="4" t="s">
        <v>49</v>
      </c>
      <c r="B22" s="6">
        <v>9975</v>
      </c>
      <c r="C22" s="62"/>
      <c r="D22" s="62"/>
      <c r="E22" s="4" t="s">
        <v>49</v>
      </c>
      <c r="F22" s="6">
        <v>3238</v>
      </c>
      <c r="G22" s="62"/>
      <c r="H22" s="62"/>
      <c r="I22" s="4" t="s">
        <v>49</v>
      </c>
      <c r="J22" s="6">
        <v>3532</v>
      </c>
      <c r="K22" s="62"/>
      <c r="L22" s="62"/>
      <c r="M22" s="4" t="s">
        <v>49</v>
      </c>
      <c r="N22" s="6">
        <v>1623</v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spans="1:31" x14ac:dyDescent="0.25">
      <c r="A23" s="4" t="s">
        <v>62</v>
      </c>
      <c r="B23" s="6">
        <v>7533</v>
      </c>
      <c r="C23" s="62"/>
      <c r="D23" s="62"/>
      <c r="E23" s="4" t="s">
        <v>62</v>
      </c>
      <c r="F23" s="6">
        <v>2413</v>
      </c>
      <c r="G23" s="62"/>
      <c r="H23" s="62"/>
      <c r="I23" s="4" t="s">
        <v>62</v>
      </c>
      <c r="J23" s="6">
        <v>2585</v>
      </c>
      <c r="K23" s="62"/>
      <c r="L23" s="62"/>
      <c r="M23" s="4" t="s">
        <v>62</v>
      </c>
      <c r="N23" s="6">
        <v>1178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spans="1:31" x14ac:dyDescent="0.25">
      <c r="A24" s="4" t="s">
        <v>63</v>
      </c>
      <c r="B24" s="6">
        <v>3741</v>
      </c>
      <c r="C24" s="62"/>
      <c r="D24" s="62"/>
      <c r="E24" s="4" t="s">
        <v>63</v>
      </c>
      <c r="F24" s="6">
        <v>1158</v>
      </c>
      <c r="G24" s="62"/>
      <c r="H24" s="62"/>
      <c r="I24" s="4" t="s">
        <v>63</v>
      </c>
      <c r="J24" s="6">
        <v>1309</v>
      </c>
      <c r="K24" s="62"/>
      <c r="L24" s="62"/>
      <c r="M24" s="4" t="s">
        <v>63</v>
      </c>
      <c r="N24" s="4">
        <v>559</v>
      </c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spans="1:31" x14ac:dyDescent="0.25">
      <c r="A25" s="4" t="s">
        <v>54</v>
      </c>
      <c r="B25" s="6">
        <v>3370</v>
      </c>
      <c r="C25" s="62"/>
      <c r="D25" s="62"/>
      <c r="E25" s="4" t="s">
        <v>54</v>
      </c>
      <c r="F25" s="6">
        <v>1143</v>
      </c>
      <c r="G25" s="62"/>
      <c r="H25" s="62"/>
      <c r="I25" s="4" t="s">
        <v>54</v>
      </c>
      <c r="J25" s="6">
        <v>1239</v>
      </c>
      <c r="K25" s="62"/>
      <c r="L25" s="62"/>
      <c r="M25" s="4" t="s">
        <v>51</v>
      </c>
      <c r="N25" s="4">
        <v>515</v>
      </c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 spans="1:31" x14ac:dyDescent="0.25">
      <c r="A26" s="4" t="s">
        <v>51</v>
      </c>
      <c r="B26" s="6">
        <v>3202</v>
      </c>
      <c r="C26" s="62"/>
      <c r="D26" s="62"/>
      <c r="E26" s="4" t="s">
        <v>51</v>
      </c>
      <c r="F26" s="6">
        <v>1019</v>
      </c>
      <c r="G26" s="62"/>
      <c r="H26" s="62"/>
      <c r="I26" s="4" t="s">
        <v>51</v>
      </c>
      <c r="J26" s="6">
        <v>1162</v>
      </c>
      <c r="K26" s="62"/>
      <c r="L26" s="62"/>
      <c r="M26" s="4" t="s">
        <v>54</v>
      </c>
      <c r="N26" s="4">
        <v>514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 x14ac:dyDescent="0.25">
      <c r="A27" s="4" t="s">
        <v>53</v>
      </c>
      <c r="B27" s="6">
        <v>3089</v>
      </c>
      <c r="C27" s="62"/>
      <c r="D27" s="62"/>
      <c r="E27" s="4" t="s">
        <v>53</v>
      </c>
      <c r="F27" s="4">
        <v>959</v>
      </c>
      <c r="G27" s="62"/>
      <c r="H27" s="62"/>
      <c r="I27" s="4" t="s">
        <v>53</v>
      </c>
      <c r="J27" s="6">
        <v>1055</v>
      </c>
      <c r="K27" s="62"/>
      <c r="L27" s="62"/>
      <c r="M27" s="4" t="s">
        <v>53</v>
      </c>
      <c r="N27" s="4">
        <v>470</v>
      </c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 spans="1:31" x14ac:dyDescent="0.25">
      <c r="A28" s="4" t="s">
        <v>64</v>
      </c>
      <c r="B28" s="6">
        <v>2597</v>
      </c>
      <c r="C28" s="62"/>
      <c r="D28" s="62"/>
      <c r="E28" s="4" t="s">
        <v>64</v>
      </c>
      <c r="F28" s="4">
        <v>784</v>
      </c>
      <c r="G28" s="62"/>
      <c r="H28" s="62"/>
      <c r="I28" s="4" t="s">
        <v>64</v>
      </c>
      <c r="J28" s="4">
        <v>883</v>
      </c>
      <c r="K28" s="62"/>
      <c r="L28" s="62"/>
      <c r="M28" s="4" t="s">
        <v>64</v>
      </c>
      <c r="N28" s="4">
        <v>406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spans="1:3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 spans="1:3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spans="1:31" x14ac:dyDescent="0.25">
      <c r="A31" s="96" t="s">
        <v>115</v>
      </c>
      <c r="B31" s="96" t="s">
        <v>116</v>
      </c>
      <c r="C31" s="96" t="s">
        <v>117</v>
      </c>
      <c r="D31" s="97"/>
      <c r="E31" s="96" t="s">
        <v>115</v>
      </c>
      <c r="F31" s="96" t="s">
        <v>116</v>
      </c>
      <c r="G31" s="96" t="s">
        <v>117</v>
      </c>
      <c r="H31" s="97"/>
      <c r="I31" s="96" t="s">
        <v>115</v>
      </c>
      <c r="J31" s="96" t="s">
        <v>116</v>
      </c>
      <c r="K31" s="96" t="s">
        <v>117</v>
      </c>
      <c r="L31" s="97"/>
      <c r="M31" s="96" t="s">
        <v>115</v>
      </c>
      <c r="N31" s="96" t="s">
        <v>116</v>
      </c>
      <c r="O31" s="96" t="s">
        <v>117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 spans="1:31" x14ac:dyDescent="0.25">
      <c r="A32" s="98">
        <v>45873</v>
      </c>
      <c r="B32" s="70">
        <v>261.08999999999997</v>
      </c>
      <c r="C32" s="6">
        <v>3111</v>
      </c>
      <c r="D32" s="62"/>
      <c r="E32" s="98">
        <v>45873</v>
      </c>
      <c r="F32" s="70">
        <v>80.989999999999995</v>
      </c>
      <c r="G32" s="6">
        <v>1084</v>
      </c>
      <c r="H32" s="62"/>
      <c r="I32" s="98">
        <v>45873</v>
      </c>
      <c r="J32" s="70">
        <v>117.64</v>
      </c>
      <c r="K32" s="6">
        <v>1125</v>
      </c>
      <c r="L32" s="62"/>
      <c r="M32" s="98">
        <v>45873</v>
      </c>
      <c r="N32" s="70">
        <v>39.630000000000003</v>
      </c>
      <c r="O32" s="4">
        <v>525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 x14ac:dyDescent="0.25">
      <c r="A33" s="98">
        <v>45874</v>
      </c>
      <c r="B33" s="70">
        <v>1136.26</v>
      </c>
      <c r="C33" s="6">
        <v>13905</v>
      </c>
      <c r="D33" s="62"/>
      <c r="E33" s="98">
        <v>45874</v>
      </c>
      <c r="F33" s="70">
        <v>323.10000000000002</v>
      </c>
      <c r="G33" s="6">
        <v>4447</v>
      </c>
      <c r="H33" s="62"/>
      <c r="I33" s="98">
        <v>45874</v>
      </c>
      <c r="J33" s="70">
        <v>356.43</v>
      </c>
      <c r="K33" s="6">
        <v>5890</v>
      </c>
      <c r="L33" s="62"/>
      <c r="M33" s="98">
        <v>45874</v>
      </c>
      <c r="N33" s="70">
        <v>162.28</v>
      </c>
      <c r="O33" s="6">
        <v>2132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 x14ac:dyDescent="0.25">
      <c r="A34" s="98">
        <v>45875</v>
      </c>
      <c r="B34" s="70">
        <v>1146.32</v>
      </c>
      <c r="C34" s="6">
        <v>17290</v>
      </c>
      <c r="D34" s="62"/>
      <c r="E34" s="98">
        <v>45875</v>
      </c>
      <c r="F34" s="70">
        <v>328.46</v>
      </c>
      <c r="G34" s="6">
        <v>6706</v>
      </c>
      <c r="H34" s="62"/>
      <c r="I34" s="98">
        <v>45875</v>
      </c>
      <c r="J34" s="70">
        <v>359.35</v>
      </c>
      <c r="K34" s="6">
        <v>6128</v>
      </c>
      <c r="L34" s="62"/>
      <c r="M34" s="98">
        <v>45875</v>
      </c>
      <c r="N34" s="70">
        <v>162.63999999999999</v>
      </c>
      <c r="O34" s="6">
        <v>3810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x14ac:dyDescent="0.25">
      <c r="A35" s="98">
        <v>45876</v>
      </c>
      <c r="B35" s="70">
        <v>1141.1199999999999</v>
      </c>
      <c r="C35" s="6">
        <v>22140</v>
      </c>
      <c r="D35" s="62"/>
      <c r="E35" s="98">
        <v>45876</v>
      </c>
      <c r="F35" s="70">
        <v>327</v>
      </c>
      <c r="G35" s="6">
        <v>6369</v>
      </c>
      <c r="H35" s="62"/>
      <c r="I35" s="98">
        <v>45876</v>
      </c>
      <c r="J35" s="70">
        <v>398.49</v>
      </c>
      <c r="K35" s="6">
        <v>7875</v>
      </c>
      <c r="L35" s="62"/>
      <c r="M35" s="98">
        <v>45876</v>
      </c>
      <c r="N35" s="70">
        <v>161.91999999999999</v>
      </c>
      <c r="O35" s="6">
        <v>3201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1" x14ac:dyDescent="0.25">
      <c r="A36" s="98">
        <v>45877</v>
      </c>
      <c r="B36" s="70">
        <v>1122.01</v>
      </c>
      <c r="C36" s="6">
        <v>23011</v>
      </c>
      <c r="D36" s="62"/>
      <c r="E36" s="98">
        <v>45877</v>
      </c>
      <c r="F36" s="70">
        <v>316.14</v>
      </c>
      <c r="G36" s="6">
        <v>6336</v>
      </c>
      <c r="H36" s="62"/>
      <c r="I36" s="98">
        <v>45877</v>
      </c>
      <c r="J36" s="70">
        <v>380.9</v>
      </c>
      <c r="K36" s="6">
        <v>7257</v>
      </c>
      <c r="L36" s="62"/>
      <c r="M36" s="98">
        <v>45877</v>
      </c>
      <c r="N36" s="70">
        <v>160.21</v>
      </c>
      <c r="O36" s="6">
        <v>3278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1:31" x14ac:dyDescent="0.25">
      <c r="A37" s="98">
        <v>45878</v>
      </c>
      <c r="B37" s="70">
        <v>1135.02</v>
      </c>
      <c r="C37" s="6">
        <v>21941</v>
      </c>
      <c r="D37" s="62"/>
      <c r="E37" s="98">
        <v>45878</v>
      </c>
      <c r="F37" s="70">
        <v>323.26</v>
      </c>
      <c r="G37" s="6">
        <v>6499</v>
      </c>
      <c r="H37" s="62"/>
      <c r="I37" s="98">
        <v>45878</v>
      </c>
      <c r="J37" s="70">
        <v>354.53</v>
      </c>
      <c r="K37" s="6">
        <v>7027</v>
      </c>
      <c r="L37" s="62"/>
      <c r="M37" s="98">
        <v>45878</v>
      </c>
      <c r="N37" s="70">
        <v>161.47999999999999</v>
      </c>
      <c r="O37" s="6">
        <v>3230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1:31" x14ac:dyDescent="0.25">
      <c r="A38" s="98">
        <v>45879</v>
      </c>
      <c r="B38" s="70">
        <v>1131.5</v>
      </c>
      <c r="C38" s="6">
        <v>22573</v>
      </c>
      <c r="D38" s="62"/>
      <c r="E38" s="98">
        <v>45879</v>
      </c>
      <c r="F38" s="70">
        <v>322.63</v>
      </c>
      <c r="G38" s="6">
        <v>6618</v>
      </c>
      <c r="H38" s="62"/>
      <c r="I38" s="98">
        <v>45879</v>
      </c>
      <c r="J38" s="70">
        <v>394.61</v>
      </c>
      <c r="K38" s="6">
        <v>7233</v>
      </c>
      <c r="L38" s="62"/>
      <c r="M38" s="98">
        <v>45879</v>
      </c>
      <c r="N38" s="70">
        <v>161.4</v>
      </c>
      <c r="O38" s="6">
        <v>3284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1:31" x14ac:dyDescent="0.25">
      <c r="A39" s="98">
        <v>45880</v>
      </c>
      <c r="B39" s="70">
        <v>1113.6199999999999</v>
      </c>
      <c r="C39" s="6">
        <v>22051</v>
      </c>
      <c r="D39" s="62"/>
      <c r="E39" s="98">
        <v>45880</v>
      </c>
      <c r="F39" s="70">
        <v>316.91000000000003</v>
      </c>
      <c r="G39" s="6">
        <v>6004</v>
      </c>
      <c r="H39" s="62"/>
      <c r="I39" s="98">
        <v>45880</v>
      </c>
      <c r="J39" s="70">
        <v>349.5</v>
      </c>
      <c r="K39" s="6">
        <v>6679</v>
      </c>
      <c r="L39" s="62"/>
      <c r="M39" s="98">
        <v>45880</v>
      </c>
      <c r="N39" s="70">
        <v>158.15</v>
      </c>
      <c r="O39" s="6">
        <v>3057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1:31" x14ac:dyDescent="0.25">
      <c r="A40" s="98">
        <v>45881</v>
      </c>
      <c r="B40" s="70">
        <v>1175.77</v>
      </c>
      <c r="C40" s="6">
        <v>22510</v>
      </c>
      <c r="D40" s="62"/>
      <c r="E40" s="98">
        <v>45881</v>
      </c>
      <c r="F40" s="70">
        <v>335.94</v>
      </c>
      <c r="G40" s="6">
        <v>6851</v>
      </c>
      <c r="H40" s="62"/>
      <c r="I40" s="98">
        <v>45881</v>
      </c>
      <c r="J40" s="70">
        <v>388.14</v>
      </c>
      <c r="K40" s="6">
        <v>7677</v>
      </c>
      <c r="L40" s="62"/>
      <c r="M40" s="98">
        <v>45881</v>
      </c>
      <c r="N40" s="70">
        <v>168</v>
      </c>
      <c r="O40" s="6">
        <v>3563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spans="1:31" x14ac:dyDescent="0.25">
      <c r="A41" s="98">
        <v>45882</v>
      </c>
      <c r="B41" s="70">
        <v>1155.18</v>
      </c>
      <c r="C41" s="6">
        <v>24282</v>
      </c>
      <c r="D41" s="62"/>
      <c r="E41" s="98">
        <v>45882</v>
      </c>
      <c r="F41" s="70">
        <v>329.64</v>
      </c>
      <c r="G41" s="6">
        <v>6702</v>
      </c>
      <c r="H41" s="62"/>
      <c r="I41" s="98">
        <v>45882</v>
      </c>
      <c r="J41" s="70">
        <v>442.67</v>
      </c>
      <c r="K41" s="6">
        <v>8362</v>
      </c>
      <c r="L41" s="62"/>
      <c r="M41" s="98">
        <v>45882</v>
      </c>
      <c r="N41" s="70">
        <v>164.51</v>
      </c>
      <c r="O41" s="6">
        <v>3340</v>
      </c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 x14ac:dyDescent="0.25">
      <c r="A42" s="98">
        <v>45883</v>
      </c>
      <c r="B42" s="70">
        <v>986.95</v>
      </c>
      <c r="C42" s="6">
        <v>19207</v>
      </c>
      <c r="D42" s="62"/>
      <c r="E42" s="98">
        <v>45883</v>
      </c>
      <c r="F42" s="70">
        <v>308.77</v>
      </c>
      <c r="G42" s="6">
        <v>6039</v>
      </c>
      <c r="H42" s="62"/>
      <c r="I42" s="98">
        <v>45883</v>
      </c>
      <c r="J42" s="70">
        <v>379.32</v>
      </c>
      <c r="K42" s="6">
        <v>7604</v>
      </c>
      <c r="L42" s="62"/>
      <c r="M42" s="98">
        <v>45883</v>
      </c>
      <c r="N42" s="70">
        <v>154.22</v>
      </c>
      <c r="O42" s="6">
        <v>2987</v>
      </c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x14ac:dyDescent="0.25">
      <c r="A43" s="98">
        <v>45884</v>
      </c>
      <c r="B43" s="70">
        <v>1184.6300000000001</v>
      </c>
      <c r="C43" s="6">
        <v>21964</v>
      </c>
      <c r="D43" s="62"/>
      <c r="E43" s="98">
        <v>45884</v>
      </c>
      <c r="F43" s="70">
        <v>338.44</v>
      </c>
      <c r="G43" s="6">
        <v>6899</v>
      </c>
      <c r="H43" s="62"/>
      <c r="I43" s="98">
        <v>45884</v>
      </c>
      <c r="J43" s="70">
        <v>372.32</v>
      </c>
      <c r="K43" s="6">
        <v>7566</v>
      </c>
      <c r="L43" s="62"/>
      <c r="M43" s="98">
        <v>45884</v>
      </c>
      <c r="N43" s="70">
        <v>169.43</v>
      </c>
      <c r="O43" s="6">
        <v>3426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 x14ac:dyDescent="0.25">
      <c r="A44" s="98">
        <v>45885</v>
      </c>
      <c r="B44" s="70">
        <v>1132.5999999999999</v>
      </c>
      <c r="C44" s="6">
        <v>21447</v>
      </c>
      <c r="D44" s="62"/>
      <c r="E44" s="98">
        <v>45885</v>
      </c>
      <c r="F44" s="70">
        <v>323.02</v>
      </c>
      <c r="G44" s="6">
        <v>6789</v>
      </c>
      <c r="H44" s="62"/>
      <c r="I44" s="98">
        <v>45885</v>
      </c>
      <c r="J44" s="70">
        <v>354.64</v>
      </c>
      <c r="K44" s="6">
        <v>7460</v>
      </c>
      <c r="L44" s="62"/>
      <c r="M44" s="98">
        <v>45885</v>
      </c>
      <c r="N44" s="70">
        <v>161.34</v>
      </c>
      <c r="O44" s="6">
        <v>3339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 x14ac:dyDescent="0.25">
      <c r="A45" s="98">
        <v>45886</v>
      </c>
      <c r="B45" s="70">
        <v>1144.75</v>
      </c>
      <c r="C45" s="6">
        <v>22976</v>
      </c>
      <c r="D45" s="62"/>
      <c r="E45" s="98">
        <v>45886</v>
      </c>
      <c r="F45" s="70">
        <v>326.77999999999997</v>
      </c>
      <c r="G45" s="6">
        <v>7004</v>
      </c>
      <c r="H45" s="62"/>
      <c r="I45" s="98">
        <v>45886</v>
      </c>
      <c r="J45" s="70">
        <v>359.26</v>
      </c>
      <c r="K45" s="6">
        <v>7992</v>
      </c>
      <c r="L45" s="62"/>
      <c r="M45" s="98">
        <v>45886</v>
      </c>
      <c r="N45" s="70">
        <v>163.16</v>
      </c>
      <c r="O45" s="6">
        <v>3632</v>
      </c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spans="1:31" x14ac:dyDescent="0.25">
      <c r="A46" s="98">
        <v>45887</v>
      </c>
      <c r="B46" s="70">
        <v>970.81</v>
      </c>
      <c r="C46" s="6">
        <v>20892</v>
      </c>
      <c r="D46" s="62"/>
      <c r="E46" s="98">
        <v>45887</v>
      </c>
      <c r="F46" s="70">
        <v>302.94</v>
      </c>
      <c r="G46" s="6">
        <v>7594</v>
      </c>
      <c r="H46" s="62"/>
      <c r="I46" s="98">
        <v>45887</v>
      </c>
      <c r="J46" s="70">
        <v>394.81</v>
      </c>
      <c r="K46" s="6">
        <v>7290</v>
      </c>
      <c r="L46" s="62"/>
      <c r="M46" s="98">
        <v>45887</v>
      </c>
      <c r="N46" s="70">
        <v>152.05000000000001</v>
      </c>
      <c r="O46" s="6">
        <v>3327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spans="1:31" x14ac:dyDescent="0.25">
      <c r="A47" s="98">
        <v>45888</v>
      </c>
      <c r="B47" s="70">
        <v>1112.3</v>
      </c>
      <c r="C47" s="6">
        <v>21963</v>
      </c>
      <c r="D47" s="62"/>
      <c r="E47" s="98">
        <v>45888</v>
      </c>
      <c r="F47" s="70">
        <v>316.75</v>
      </c>
      <c r="G47" s="6">
        <v>6893</v>
      </c>
      <c r="H47" s="62"/>
      <c r="I47" s="98">
        <v>45888</v>
      </c>
      <c r="J47" s="70">
        <v>345.48</v>
      </c>
      <c r="K47" s="6">
        <v>7494</v>
      </c>
      <c r="L47" s="62"/>
      <c r="M47" s="98">
        <v>45888</v>
      </c>
      <c r="N47" s="70">
        <v>157.16</v>
      </c>
      <c r="O47" s="6">
        <v>3369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spans="1:31" x14ac:dyDescent="0.25">
      <c r="A48" s="98">
        <v>45889</v>
      </c>
      <c r="B48" s="70">
        <v>1141.7</v>
      </c>
      <c r="C48" s="6">
        <v>22678</v>
      </c>
      <c r="D48" s="62"/>
      <c r="E48" s="98">
        <v>45889</v>
      </c>
      <c r="F48" s="70">
        <v>325.3</v>
      </c>
      <c r="G48" s="6">
        <v>7092</v>
      </c>
      <c r="H48" s="62"/>
      <c r="I48" s="98">
        <v>45889</v>
      </c>
      <c r="J48" s="70">
        <v>397.61</v>
      </c>
      <c r="K48" s="6">
        <v>7837</v>
      </c>
      <c r="L48" s="62"/>
      <c r="M48" s="98">
        <v>45889</v>
      </c>
      <c r="N48" s="70">
        <v>163.38</v>
      </c>
      <c r="O48" s="6">
        <v>3563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spans="1:31" x14ac:dyDescent="0.25">
      <c r="A49" s="98">
        <v>45890</v>
      </c>
      <c r="B49" s="70">
        <v>966.49</v>
      </c>
      <c r="C49" s="6">
        <v>20738</v>
      </c>
      <c r="D49" s="62"/>
      <c r="E49" s="98">
        <v>45890</v>
      </c>
      <c r="F49" s="70">
        <v>302.58</v>
      </c>
      <c r="G49" s="6">
        <v>6511</v>
      </c>
      <c r="H49" s="62"/>
      <c r="I49" s="98">
        <v>45890</v>
      </c>
      <c r="J49" s="70">
        <v>393.11</v>
      </c>
      <c r="K49" s="6">
        <v>7203</v>
      </c>
      <c r="L49" s="62"/>
      <c r="M49" s="98">
        <v>45890</v>
      </c>
      <c r="N49" s="70">
        <v>150.84</v>
      </c>
      <c r="O49" s="6">
        <v>3250</v>
      </c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spans="1:31" x14ac:dyDescent="0.25">
      <c r="A50" s="98">
        <v>45891</v>
      </c>
      <c r="B50" s="70">
        <v>1115.04</v>
      </c>
      <c r="C50" s="6">
        <v>21327</v>
      </c>
      <c r="D50" s="62"/>
      <c r="E50" s="98">
        <v>45891</v>
      </c>
      <c r="F50" s="70">
        <v>317.19</v>
      </c>
      <c r="G50" s="6">
        <v>6644</v>
      </c>
      <c r="H50" s="62"/>
      <c r="I50" s="98">
        <v>45891</v>
      </c>
      <c r="J50" s="70">
        <v>348.12</v>
      </c>
      <c r="K50" s="6">
        <v>8309</v>
      </c>
      <c r="L50" s="62"/>
      <c r="M50" s="98">
        <v>45891</v>
      </c>
      <c r="N50" s="70">
        <v>159.12</v>
      </c>
      <c r="O50" s="6">
        <v>3329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 x14ac:dyDescent="0.25">
      <c r="A51" s="98">
        <v>45892</v>
      </c>
      <c r="B51" s="70">
        <v>1113.57</v>
      </c>
      <c r="C51" s="6">
        <v>19357</v>
      </c>
      <c r="D51" s="62"/>
      <c r="E51" s="98">
        <v>45892</v>
      </c>
      <c r="F51" s="70">
        <v>317.19</v>
      </c>
      <c r="G51" s="6">
        <v>6116</v>
      </c>
      <c r="H51" s="62"/>
      <c r="I51" s="98">
        <v>45892</v>
      </c>
      <c r="J51" s="70">
        <v>349</v>
      </c>
      <c r="K51" s="6">
        <v>6664</v>
      </c>
      <c r="L51" s="62"/>
      <c r="M51" s="98">
        <v>45892</v>
      </c>
      <c r="N51" s="70">
        <v>157.66</v>
      </c>
      <c r="O51" s="6">
        <v>3039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spans="1:31" x14ac:dyDescent="0.25">
      <c r="A52" s="98">
        <v>45893</v>
      </c>
      <c r="B52" s="70">
        <v>1115.5999999999999</v>
      </c>
      <c r="C52" s="6">
        <v>19344</v>
      </c>
      <c r="D52" s="62"/>
      <c r="E52" s="98">
        <v>45893</v>
      </c>
      <c r="F52" s="70">
        <v>317.32</v>
      </c>
      <c r="G52" s="6">
        <v>6082</v>
      </c>
      <c r="H52" s="62"/>
      <c r="I52" s="98">
        <v>45893</v>
      </c>
      <c r="J52" s="70">
        <v>348.45</v>
      </c>
      <c r="K52" s="6">
        <v>6689</v>
      </c>
      <c r="L52" s="62"/>
      <c r="M52" s="98">
        <v>45893</v>
      </c>
      <c r="N52" s="70">
        <v>158.94999999999999</v>
      </c>
      <c r="O52" s="6">
        <v>3197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spans="1:31" x14ac:dyDescent="0.25">
      <c r="A53" s="98">
        <v>45894</v>
      </c>
      <c r="B53" s="70">
        <v>930.08</v>
      </c>
      <c r="C53" s="6">
        <v>18124</v>
      </c>
      <c r="D53" s="62"/>
      <c r="E53" s="98">
        <v>45894</v>
      </c>
      <c r="F53" s="70">
        <v>290.18</v>
      </c>
      <c r="G53" s="6">
        <v>5634</v>
      </c>
      <c r="H53" s="62"/>
      <c r="I53" s="98">
        <v>45894</v>
      </c>
      <c r="J53" s="70">
        <v>399.41</v>
      </c>
      <c r="K53" s="6">
        <v>6190</v>
      </c>
      <c r="L53" s="62"/>
      <c r="M53" s="98">
        <v>45894</v>
      </c>
      <c r="N53" s="70">
        <v>145.26</v>
      </c>
      <c r="O53" s="6">
        <v>2863</v>
      </c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spans="1:31" x14ac:dyDescent="0.25">
      <c r="A54" s="98">
        <v>45895</v>
      </c>
      <c r="B54" s="70">
        <v>1124.24</v>
      </c>
      <c r="C54" s="6">
        <v>21284</v>
      </c>
      <c r="D54" s="62"/>
      <c r="E54" s="98">
        <v>45895</v>
      </c>
      <c r="F54" s="70">
        <v>319.74</v>
      </c>
      <c r="G54" s="6">
        <v>7783</v>
      </c>
      <c r="H54" s="62"/>
      <c r="I54" s="98">
        <v>45895</v>
      </c>
      <c r="J54" s="70">
        <v>351.73</v>
      </c>
      <c r="K54" s="6">
        <v>6355</v>
      </c>
      <c r="L54" s="62"/>
      <c r="M54" s="98">
        <v>45895</v>
      </c>
      <c r="N54" s="70">
        <v>159.31</v>
      </c>
      <c r="O54" s="6">
        <v>3845</v>
      </c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spans="1:31" x14ac:dyDescent="0.25">
      <c r="A55" s="98">
        <v>45896</v>
      </c>
      <c r="B55" s="70">
        <v>992.09</v>
      </c>
      <c r="C55" s="6">
        <v>18626</v>
      </c>
      <c r="D55" s="62"/>
      <c r="E55" s="98">
        <v>45896</v>
      </c>
      <c r="F55" s="70">
        <v>310.7</v>
      </c>
      <c r="G55" s="6">
        <v>6712</v>
      </c>
      <c r="H55" s="62"/>
      <c r="I55" s="98">
        <v>45896</v>
      </c>
      <c r="J55" s="70">
        <v>391.58</v>
      </c>
      <c r="K55" s="6">
        <v>6347</v>
      </c>
      <c r="L55" s="62"/>
      <c r="M55" s="98">
        <v>45896</v>
      </c>
      <c r="N55" s="70">
        <v>154.99</v>
      </c>
      <c r="O55" s="6">
        <v>3844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spans="1:31" x14ac:dyDescent="0.25">
      <c r="A56" s="98">
        <v>45897</v>
      </c>
      <c r="B56" s="70">
        <v>1163.98</v>
      </c>
      <c r="C56" s="6">
        <v>20983</v>
      </c>
      <c r="D56" s="62"/>
      <c r="E56" s="98">
        <v>45897</v>
      </c>
      <c r="F56" s="70">
        <v>333.74</v>
      </c>
      <c r="G56" s="6">
        <v>7675</v>
      </c>
      <c r="H56" s="62"/>
      <c r="I56" s="98">
        <v>45897</v>
      </c>
      <c r="J56" s="70">
        <v>366.05</v>
      </c>
      <c r="K56" s="6">
        <v>7257</v>
      </c>
      <c r="L56" s="62"/>
      <c r="M56" s="98">
        <v>45897</v>
      </c>
      <c r="N56" s="70">
        <v>166.54</v>
      </c>
      <c r="O56" s="6">
        <v>3314</v>
      </c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spans="1:31" x14ac:dyDescent="0.25">
      <c r="A57" s="98">
        <v>45898</v>
      </c>
      <c r="B57" s="70">
        <v>1120.72</v>
      </c>
      <c r="C57" s="6">
        <v>20568</v>
      </c>
      <c r="D57" s="62"/>
      <c r="E57" s="98">
        <v>45898</v>
      </c>
      <c r="F57" s="70">
        <v>317.79000000000002</v>
      </c>
      <c r="G57" s="6">
        <v>6309</v>
      </c>
      <c r="H57" s="62"/>
      <c r="I57" s="98">
        <v>45898</v>
      </c>
      <c r="J57" s="70">
        <v>349.55</v>
      </c>
      <c r="K57" s="6">
        <v>7039</v>
      </c>
      <c r="L57" s="62"/>
      <c r="M57" s="98">
        <v>45898</v>
      </c>
      <c r="N57" s="70">
        <v>158.91999999999999</v>
      </c>
      <c r="O57" s="6">
        <v>3383</v>
      </c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spans="1:31" x14ac:dyDescent="0.25">
      <c r="A58" s="98">
        <v>45899</v>
      </c>
      <c r="B58" s="70">
        <v>1005.98</v>
      </c>
      <c r="C58" s="6">
        <v>21061</v>
      </c>
      <c r="D58" s="62"/>
      <c r="E58" s="98">
        <v>45899</v>
      </c>
      <c r="F58" s="70">
        <v>316.33</v>
      </c>
      <c r="G58" s="6">
        <v>6510</v>
      </c>
      <c r="H58" s="62"/>
      <c r="I58" s="98">
        <v>45899</v>
      </c>
      <c r="J58" s="70">
        <v>348.01</v>
      </c>
      <c r="K58" s="6">
        <v>7263</v>
      </c>
      <c r="L58" s="62"/>
      <c r="M58" s="98">
        <v>45899</v>
      </c>
      <c r="N58" s="70">
        <v>158.9</v>
      </c>
      <c r="O58" s="6">
        <v>3312</v>
      </c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 x14ac:dyDescent="0.25">
      <c r="A59" s="98">
        <v>45900</v>
      </c>
      <c r="B59" s="70">
        <v>835.62</v>
      </c>
      <c r="C59" s="6">
        <v>17506</v>
      </c>
      <c r="D59" s="62"/>
      <c r="E59" s="98">
        <v>45900</v>
      </c>
      <c r="F59" s="70">
        <v>259.19</v>
      </c>
      <c r="G59" s="6">
        <v>6418</v>
      </c>
      <c r="H59" s="62"/>
      <c r="I59" s="98">
        <v>45900</v>
      </c>
      <c r="J59" s="70">
        <v>384.27</v>
      </c>
      <c r="K59" s="6">
        <v>7928</v>
      </c>
      <c r="L59" s="62"/>
      <c r="M59" s="98">
        <v>45900</v>
      </c>
      <c r="N59" s="70">
        <v>128.59</v>
      </c>
      <c r="O59" s="6">
        <v>2688</v>
      </c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spans="1:31" x14ac:dyDescent="0.25">
      <c r="A60" s="5" t="s">
        <v>118</v>
      </c>
      <c r="B60" s="70">
        <f>SUM(B32:B59)</f>
        <v>29675.040000000005</v>
      </c>
      <c r="C60" s="99">
        <v>562859</v>
      </c>
      <c r="D60" s="62"/>
      <c r="E60" s="5" t="s">
        <v>118</v>
      </c>
      <c r="F60" s="70">
        <f>SUM(F32:F59)</f>
        <v>8648.0199999999986</v>
      </c>
      <c r="G60" s="6">
        <v>178320</v>
      </c>
      <c r="H60" s="62"/>
      <c r="I60" s="5" t="s">
        <v>118</v>
      </c>
      <c r="J60" s="70">
        <f>SUM(J32:J59)</f>
        <v>10174.979999999998</v>
      </c>
      <c r="K60" s="6">
        <v>195740</v>
      </c>
      <c r="L60" s="62"/>
      <c r="M60" s="5" t="s">
        <v>118</v>
      </c>
      <c r="N60" s="70">
        <v>4320</v>
      </c>
      <c r="O60" s="6">
        <v>89127</v>
      </c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1:3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1:3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1:3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1:3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 spans="1:3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spans="1:3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 spans="1:3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 spans="1:3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 spans="1:3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 spans="1:3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1:3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 spans="1:3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 spans="1:3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 spans="1:3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 spans="1:3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 spans="1:3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 spans="1:3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 spans="1:3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 spans="1:3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 spans="1:3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 spans="1:3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 spans="1:3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 spans="1:31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</vt:lpstr>
      <vt:lpstr>February</vt:lpstr>
      <vt:lpstr>March</vt:lpstr>
      <vt:lpstr>April.25</vt:lpstr>
      <vt:lpstr>May.25</vt:lpstr>
      <vt:lpstr>June.25</vt:lpstr>
      <vt:lpstr>July.25</vt:lpstr>
      <vt:lpstr>August.25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Zammit</dc:creator>
  <cp:lastModifiedBy>tim.anderson@commissionkings.ag</cp:lastModifiedBy>
  <dcterms:created xsi:type="dcterms:W3CDTF">2024-04-01T17:58:54Z</dcterms:created>
  <dcterms:modified xsi:type="dcterms:W3CDTF">2025-09-17T19:31:03Z</dcterms:modified>
</cp:coreProperties>
</file>