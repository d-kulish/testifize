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\Desktop\"/>
    </mc:Choice>
  </mc:AlternateContent>
  <xr:revisionPtr revIDLastSave="0" documentId="13_ncr:1_{2D8FC29E-23AA-4DC3-8296-48EFE6B33A73}" xr6:coauthVersionLast="47" xr6:coauthVersionMax="47" xr10:uidLastSave="{00000000-0000-0000-0000-000000000000}"/>
  <bookViews>
    <workbookView xWindow="20205" yWindow="0" windowWidth="31020" windowHeight="15180" xr2:uid="{C5D8DC9F-AC6F-464C-B613-D610117E8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0" i="1" l="1"/>
  <c r="J70" i="1"/>
  <c r="F70" i="1"/>
  <c r="B70" i="1"/>
  <c r="N4" i="1" l="1"/>
  <c r="N3" i="1"/>
  <c r="N5" i="1" s="1"/>
  <c r="J4" i="1"/>
  <c r="J3" i="1"/>
  <c r="J5" i="1" s="1"/>
  <c r="F4" i="1"/>
  <c r="F3" i="1"/>
  <c r="F5" i="1" s="1"/>
  <c r="B4" i="1"/>
  <c r="B3" i="1"/>
  <c r="B5" i="1" s="1"/>
</calcChain>
</file>

<file path=xl/sharedStrings.xml><?xml version="1.0" encoding="utf-8"?>
<sst xmlns="http://schemas.openxmlformats.org/spreadsheetml/2006/main" count="237" uniqueCount="67">
  <si>
    <t>BOL</t>
  </si>
  <si>
    <t>Wild Casino</t>
  </si>
  <si>
    <t>Sportsbetting</t>
  </si>
  <si>
    <t>Superslots</t>
  </si>
  <si>
    <t>Cost</t>
  </si>
  <si>
    <t>Views</t>
  </si>
  <si>
    <t>CPV</t>
  </si>
  <si>
    <t>Views by State</t>
  </si>
  <si>
    <t>Video Plays</t>
  </si>
  <si>
    <t>BetOnline</t>
  </si>
  <si>
    <t>SportsBetting</t>
  </si>
  <si>
    <t>SuperSlots</t>
  </si>
  <si>
    <t>Texas</t>
  </si>
  <si>
    <t>California</t>
  </si>
  <si>
    <t>App</t>
  </si>
  <si>
    <t>VTR (%)</t>
  </si>
  <si>
    <t>Georgia</t>
  </si>
  <si>
    <t>NFL</t>
  </si>
  <si>
    <t>Florida</t>
  </si>
  <si>
    <t>Washington</t>
  </si>
  <si>
    <t>ESPN</t>
  </si>
  <si>
    <t>NBA</t>
  </si>
  <si>
    <t>Missouri</t>
  </si>
  <si>
    <t>Illinois</t>
  </si>
  <si>
    <t>Alabama</t>
  </si>
  <si>
    <t>Pluto TV</t>
  </si>
  <si>
    <t>Watch Free</t>
  </si>
  <si>
    <t>Virginia</t>
  </si>
  <si>
    <t>South Carolina</t>
  </si>
  <si>
    <t>Minnesota</t>
  </si>
  <si>
    <t>North Carolina</t>
  </si>
  <si>
    <t>Arizona</t>
  </si>
  <si>
    <t>Wisconsin</t>
  </si>
  <si>
    <t>Oklahoma</t>
  </si>
  <si>
    <t>Mississippi</t>
  </si>
  <si>
    <t>Utah</t>
  </si>
  <si>
    <t>New Mexico</t>
  </si>
  <si>
    <t>Delaware</t>
  </si>
  <si>
    <t>District of Columbia</t>
  </si>
  <si>
    <t>Idaho</t>
  </si>
  <si>
    <t>Montana</t>
  </si>
  <si>
    <t>Hawaii</t>
  </si>
  <si>
    <t>South Dakota</t>
  </si>
  <si>
    <t>North Dakota</t>
  </si>
  <si>
    <t>Alaska</t>
  </si>
  <si>
    <t>Day</t>
  </si>
  <si>
    <t>Spend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</si>
  <si>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</si>
  <si>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</si>
  <si>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</si>
  <si>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</si>
  <si>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</si>
  <si>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</si>
  <si>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</si>
  <si>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</si>
  <si>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01/21/2026</t>
  </si>
  <si>
    <t>01/22/2026</t>
  </si>
  <si>
    <t>01/23/2026</t>
  </si>
  <si>
    <t>01/24/2026</t>
  </si>
  <si>
    <t>01/25/2026</t>
  </si>
  <si>
    <t>01/26/2026</t>
  </si>
  <si>
    <t>01/27/2026</t>
  </si>
  <si>
    <t>01/28/2026</t>
  </si>
  <si>
    <t>01/29/2026</t>
  </si>
  <si>
    <t>01/30/2026</t>
  </si>
  <si>
    <t>01/31/2026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</si>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</sst>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€&quot;#,##0_);[Red]\(&quot;€&quot;#,##0\)"/>
    <numFmt numFmtId="165" formatCode="&quot;€&quot;#,##0.00_);[Red]\(&quot;€&quot;#,##0.00\)"/>
  </numFmts>
  <fonts count="4" x14ac:knownFonts="1">
    <font>
      <sz val="12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2" fillId="0" borderId="0" xfId="0" applyFont="1"/>
    <xf numFmtId="17" fontId="2" fillId="0" borderId="0" xfId="0" applyNumberFormat="1" applyFont="1" applyAlignment="1">
      <alignment horizontal="left"/>
    </xf>
    <xf numFmtId="0" fontId="2" fillId="0" borderId="1" xfId="0" applyFont="1" applyBorder="1"/>
    <xf numFmtId="14" fontId="1" fillId="0" borderId="1" xfId="0" applyNumberFormat="1" applyFont="1" applyBorder="1" applyAlignment="1">
      <alignment horizontal="left"/>
    </xf>
    <xf numFmtId="165" fontId="1" fillId="0" borderId="1" xfId="0" applyNumberFormat="1" applyFont="1" applyBorder="1"/>
    <xf numFmtId="0" fontId="1" fillId="0" borderId="1" xfId="0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/>
    <xf numFmtId="3" fontId="2" fillId="0" borderId="1" xfId="0" applyNumberFormat="1" applyFont="1" applyBorder="1"/>
    <xf numFmtId="164" fontId="1" fillId="0" borderId="1" xfId="0" applyNumberFormat="1" applyFont="1" applyBorder="1"/>
    <xf numFmtId="0" fontId="3" fillId="0" borderId="1" xfId="0" applyFont="1" applyBorder="1"/>
    <xf numFmtId="10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D03B-9451-C64F-BE5D-AA1F08775728}">
  <dimension ref="A1:AE135"/>
  <sheetViews>
    <sheetView tabSelected="1" workbookViewId="0">
      <selection sqref="A1:XFD1048576"/>
    </sheetView>
  </sheetViews>
  <sheetFormatPr defaultColWidth="11" defaultRowHeight="15.75" x14ac:dyDescent="0.25"/>
  <cols>
    <col min="1" max="1" width="22" bestFit="1" customWidth="1"/>
    <col min="2" max="3" width="14.5" bestFit="1" customWidth="1"/>
    <col min="5" max="5" width="22" bestFit="1" customWidth="1"/>
    <col min="6" max="7" width="14.5" bestFit="1" customWidth="1"/>
    <col min="9" max="9" width="22" bestFit="1" customWidth="1"/>
    <col min="10" max="11" width="14.5" bestFit="1" customWidth="1"/>
    <col min="13" max="13" width="22" bestFit="1" customWidth="1"/>
    <col min="14" max="15" width="14.5" bestFit="1" customWidth="1"/>
    <col min="16" max="16" width="12.5" bestFit="1" customWidth="1"/>
    <col min="17" max="17" width="14.5" bestFit="1" customWidth="1"/>
    <col min="20" max="20" width="14.875" bestFit="1" customWidth="1"/>
    <col min="21" max="21" width="14.5" bestFit="1" customWidth="1"/>
    <col min="24" max="24" width="17.125" bestFit="1" customWidth="1"/>
    <col min="25" max="25" width="14.5" bestFit="1" customWidth="1"/>
    <col min="28" max="28" width="13.625" bestFit="1" customWidth="1"/>
    <col min="29" max="29" width="14.5" bestFit="1" customWidth="1"/>
  </cols>
  <sheetData>
    <row r="1" spans="1:31" ht="18" x14ac:dyDescent="0.25">
      <c r="A1" s="3">
        <v>46023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8" x14ac:dyDescent="0.25">
      <c r="A2" s="2" t="s">
        <v>0</v>
      </c>
      <c r="B2" s="1"/>
      <c r="C2" s="1"/>
      <c r="D2" s="1"/>
      <c r="E2" s="2" t="s">
        <v>1</v>
      </c>
      <c r="F2" s="1"/>
      <c r="G2" s="1"/>
      <c r="H2" s="1"/>
      <c r="I2" s="2" t="s">
        <v>2</v>
      </c>
      <c r="J2" s="1"/>
      <c r="K2" s="1"/>
      <c r="L2" s="1"/>
      <c r="M2" s="2" t="s">
        <v>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8" x14ac:dyDescent="0.25">
      <c r="A3" s="4" t="s">
        <v>4</v>
      </c>
      <c r="B3" s="13">
        <f>B70</f>
        <v>45899.960000000006</v>
      </c>
      <c r="C3" s="1"/>
      <c r="D3" s="1"/>
      <c r="E3" s="4" t="s">
        <v>4</v>
      </c>
      <c r="F3" s="13">
        <f>F70</f>
        <v>12359.750000000004</v>
      </c>
      <c r="G3" s="1"/>
      <c r="H3" s="1"/>
      <c r="I3" s="4" t="s">
        <v>4</v>
      </c>
      <c r="J3" s="13">
        <f>J70</f>
        <v>21299.53</v>
      </c>
      <c r="K3" s="1"/>
      <c r="L3" s="1"/>
      <c r="M3" s="4" t="s">
        <v>4</v>
      </c>
      <c r="N3" s="13">
        <f>N70</f>
        <v>4199.9799999999996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8" x14ac:dyDescent="0.25">
      <c r="A4" s="4" t="s">
        <v>5</v>
      </c>
      <c r="B4" s="8">
        <f>C70</f>
        <v>557205</v>
      </c>
      <c r="C4" s="1"/>
      <c r="D4" s="1"/>
      <c r="E4" s="4" t="s">
        <v>5</v>
      </c>
      <c r="F4" s="8">
        <f>G70</f>
        <v>206356</v>
      </c>
      <c r="G4" s="1"/>
      <c r="H4" s="1"/>
      <c r="I4" s="4" t="s">
        <v>5</v>
      </c>
      <c r="J4" s="8">
        <f>K70</f>
        <v>398859</v>
      </c>
      <c r="K4" s="1"/>
      <c r="L4" s="1"/>
      <c r="M4" s="4" t="s">
        <v>5</v>
      </c>
      <c r="N4" s="8">
        <f>O70</f>
        <v>59262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8" x14ac:dyDescent="0.25">
      <c r="A5" s="4" t="s">
        <v>6</v>
      </c>
      <c r="B5" s="6">
        <f>B3/B4</f>
        <v>8.2375355569314718E-2</v>
      </c>
      <c r="C5" s="1"/>
      <c r="D5" s="1"/>
      <c r="E5" s="4" t="s">
        <v>6</v>
      </c>
      <c r="F5" s="6">
        <f>F3/F4</f>
        <v>5.9895278063153014E-2</v>
      </c>
      <c r="G5" s="1"/>
      <c r="H5" s="1"/>
      <c r="I5" s="4" t="s">
        <v>6</v>
      </c>
      <c r="J5" s="6">
        <f>J3/J4</f>
        <v>5.3401151785468046E-2</v>
      </c>
      <c r="K5" s="1"/>
      <c r="L5" s="1"/>
      <c r="M5" s="4" t="s">
        <v>6</v>
      </c>
      <c r="N5" s="6">
        <f>N3/N4</f>
        <v>7.087138469845769E-2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8" x14ac:dyDescent="0.25">
      <c r="A8" s="4" t="s">
        <v>7</v>
      </c>
      <c r="B8" s="4" t="s">
        <v>8</v>
      </c>
      <c r="C8" s="1"/>
      <c r="D8" s="1"/>
      <c r="E8" s="4" t="s">
        <v>7</v>
      </c>
      <c r="F8" s="4" t="s">
        <v>8</v>
      </c>
      <c r="G8" s="1"/>
      <c r="H8" s="1"/>
      <c r="I8" s="4" t="s">
        <v>7</v>
      </c>
      <c r="J8" s="4" t="s">
        <v>8</v>
      </c>
      <c r="K8" s="1"/>
      <c r="L8" s="1"/>
      <c r="M8" s="4" t="s">
        <v>7</v>
      </c>
      <c r="N8" s="4" t="s">
        <v>8</v>
      </c>
      <c r="O8" s="1"/>
      <c r="P8" s="4" t="s">
        <v>9</v>
      </c>
      <c r="Q8" s="14"/>
      <c r="R8" s="14"/>
      <c r="S8" s="1"/>
      <c r="T8" s="4" t="s">
        <v>1</v>
      </c>
      <c r="U8" s="14"/>
      <c r="V8" s="14"/>
      <c r="W8" s="1"/>
      <c r="X8" s="4" t="s">
        <v>10</v>
      </c>
      <c r="Y8" s="14"/>
      <c r="Z8" s="14"/>
      <c r="AA8" s="1"/>
      <c r="AB8" s="4" t="s">
        <v>11</v>
      </c>
      <c r="AC8" s="14"/>
      <c r="AD8" s="14"/>
      <c r="AE8" s="1"/>
    </row>
    <row r="9" spans="1:31" ht="18" x14ac:dyDescent="0.25">
      <c r="A9" s="7" t="s">
        <v>12</v>
      </c>
      <c r="B9" s="8">
        <v>111569</v>
      </c>
      <c r="C9" s="1"/>
      <c r="D9" s="1"/>
      <c r="E9" s="7" t="s">
        <v>13</v>
      </c>
      <c r="F9" s="8">
        <v>49589</v>
      </c>
      <c r="G9" s="1"/>
      <c r="H9" s="1"/>
      <c r="I9" s="7" t="s">
        <v>13</v>
      </c>
      <c r="J9" s="8">
        <v>89927</v>
      </c>
      <c r="K9" s="1"/>
      <c r="L9" s="1"/>
      <c r="M9" s="7" t="s">
        <v>13</v>
      </c>
      <c r="N9" s="8">
        <v>13165</v>
      </c>
      <c r="O9" s="1"/>
      <c r="P9" s="4" t="s">
        <v>14</v>
      </c>
      <c r="Q9" s="4" t="s">
        <v>8</v>
      </c>
      <c r="R9" s="4" t="s">
        <v>15</v>
      </c>
      <c r="S9" s="1"/>
      <c r="T9" s="4" t="s">
        <v>14</v>
      </c>
      <c r="U9" s="4" t="s">
        <v>8</v>
      </c>
      <c r="V9" s="4" t="s">
        <v>15</v>
      </c>
      <c r="W9" s="1"/>
      <c r="X9" s="4" t="s">
        <v>14</v>
      </c>
      <c r="Y9" s="4" t="s">
        <v>8</v>
      </c>
      <c r="Z9" s="4" t="s">
        <v>15</v>
      </c>
      <c r="AA9" s="1"/>
      <c r="AB9" s="4" t="s">
        <v>14</v>
      </c>
      <c r="AC9" s="4" t="s">
        <v>8</v>
      </c>
      <c r="AD9" s="4" t="s">
        <v>15</v>
      </c>
      <c r="AE9" s="1"/>
    </row>
    <row r="10" spans="1:31" ht="18" x14ac:dyDescent="0.25">
      <c r="A10" s="7" t="s">
        <v>13</v>
      </c>
      <c r="B10" s="8">
        <v>86120</v>
      </c>
      <c r="C10" s="1"/>
      <c r="D10" s="1"/>
      <c r="E10" s="7" t="s">
        <v>16</v>
      </c>
      <c r="F10" s="8">
        <v>27975</v>
      </c>
      <c r="G10" s="1"/>
      <c r="H10" s="1"/>
      <c r="I10" s="7" t="s">
        <v>16</v>
      </c>
      <c r="J10" s="8">
        <v>50184</v>
      </c>
      <c r="K10" s="1"/>
      <c r="L10" s="1"/>
      <c r="M10" s="7" t="s">
        <v>16</v>
      </c>
      <c r="N10" s="8">
        <v>8552</v>
      </c>
      <c r="O10" s="1"/>
      <c r="P10" s="7" t="s">
        <v>17</v>
      </c>
      <c r="Q10" s="8">
        <v>140033</v>
      </c>
      <c r="R10" s="15">
        <v>0.98280000000000001</v>
      </c>
      <c r="S10" s="1"/>
      <c r="T10" s="7" t="s">
        <v>17</v>
      </c>
      <c r="U10" s="8">
        <v>56111</v>
      </c>
      <c r="V10" s="15">
        <v>0.97509999999999997</v>
      </c>
      <c r="W10" s="1"/>
      <c r="X10" s="7" t="s">
        <v>17</v>
      </c>
      <c r="Y10" s="8">
        <v>100152</v>
      </c>
      <c r="Z10" s="15">
        <v>0.97709999999999997</v>
      </c>
      <c r="AA10" s="1"/>
      <c r="AB10" s="7" t="s">
        <v>17</v>
      </c>
      <c r="AC10" s="8">
        <v>15940</v>
      </c>
      <c r="AD10" s="15">
        <v>0.97729999999999995</v>
      </c>
      <c r="AE10" s="1"/>
    </row>
    <row r="11" spans="1:31" ht="18" x14ac:dyDescent="0.25">
      <c r="A11" s="7" t="s">
        <v>18</v>
      </c>
      <c r="B11" s="8">
        <v>70734</v>
      </c>
      <c r="C11" s="1"/>
      <c r="D11" s="1"/>
      <c r="E11" s="7" t="s">
        <v>18</v>
      </c>
      <c r="F11" s="8">
        <v>15797</v>
      </c>
      <c r="G11" s="1"/>
      <c r="H11" s="1"/>
      <c r="I11" s="7" t="s">
        <v>18</v>
      </c>
      <c r="J11" s="8">
        <v>45364</v>
      </c>
      <c r="K11" s="1"/>
      <c r="L11" s="1"/>
      <c r="M11" s="7" t="s">
        <v>19</v>
      </c>
      <c r="N11" s="8">
        <v>4239</v>
      </c>
      <c r="O11" s="1"/>
      <c r="P11" s="7" t="s">
        <v>20</v>
      </c>
      <c r="Q11" s="8">
        <v>111711</v>
      </c>
      <c r="R11" s="15">
        <v>0.93400000000000005</v>
      </c>
      <c r="S11" s="1"/>
      <c r="T11" s="7" t="s">
        <v>21</v>
      </c>
      <c r="U11" s="8">
        <v>36495</v>
      </c>
      <c r="V11" s="15">
        <v>0.97450000000000003</v>
      </c>
      <c r="W11" s="1"/>
      <c r="X11" s="7" t="s">
        <v>21</v>
      </c>
      <c r="Y11" s="8">
        <v>64943</v>
      </c>
      <c r="Z11" s="15">
        <v>0.98070000000000002</v>
      </c>
      <c r="AA11" s="1"/>
      <c r="AB11" s="7" t="s">
        <v>21</v>
      </c>
      <c r="AC11" s="8">
        <v>11181</v>
      </c>
      <c r="AD11" s="15">
        <v>0.9748</v>
      </c>
      <c r="AE11" s="1"/>
    </row>
    <row r="12" spans="1:31" ht="18" x14ac:dyDescent="0.25">
      <c r="A12" s="7" t="s">
        <v>16</v>
      </c>
      <c r="B12" s="8">
        <v>49486</v>
      </c>
      <c r="C12" s="1"/>
      <c r="D12" s="1"/>
      <c r="E12" s="7" t="s">
        <v>19</v>
      </c>
      <c r="F12" s="8">
        <v>14712</v>
      </c>
      <c r="G12" s="1"/>
      <c r="H12" s="1"/>
      <c r="I12" s="7" t="s">
        <v>22</v>
      </c>
      <c r="J12" s="8">
        <v>33466</v>
      </c>
      <c r="K12" s="1"/>
      <c r="L12" s="1"/>
      <c r="M12" s="7" t="s">
        <v>22</v>
      </c>
      <c r="N12" s="8">
        <v>3985</v>
      </c>
      <c r="O12" s="1"/>
      <c r="P12" s="7" t="s">
        <v>21</v>
      </c>
      <c r="Q12" s="8">
        <v>94270</v>
      </c>
      <c r="R12" s="15">
        <v>0.98260000000000003</v>
      </c>
      <c r="S12" s="1"/>
      <c r="T12" s="7" t="s">
        <v>20</v>
      </c>
      <c r="U12" s="8">
        <v>19469</v>
      </c>
      <c r="V12" s="15">
        <v>0.9345</v>
      </c>
      <c r="W12" s="1"/>
      <c r="X12" s="7" t="s">
        <v>20</v>
      </c>
      <c r="Y12" s="8">
        <v>56887</v>
      </c>
      <c r="Z12" s="15">
        <v>0.9415</v>
      </c>
      <c r="AA12" s="1"/>
      <c r="AB12" s="7" t="s">
        <v>20</v>
      </c>
      <c r="AC12" s="8">
        <v>7609</v>
      </c>
      <c r="AD12" s="15">
        <v>0.91749999999999998</v>
      </c>
      <c r="AE12" s="1"/>
    </row>
    <row r="13" spans="1:31" ht="18" x14ac:dyDescent="0.25">
      <c r="A13" s="7" t="s">
        <v>23</v>
      </c>
      <c r="B13" s="8">
        <v>30398</v>
      </c>
      <c r="C13" s="1"/>
      <c r="D13" s="1"/>
      <c r="E13" s="7" t="s">
        <v>22</v>
      </c>
      <c r="F13" s="8">
        <v>13843</v>
      </c>
      <c r="G13" s="1"/>
      <c r="H13" s="1"/>
      <c r="I13" s="7" t="s">
        <v>19</v>
      </c>
      <c r="J13" s="8">
        <v>26547</v>
      </c>
      <c r="K13" s="1"/>
      <c r="L13" s="1"/>
      <c r="M13" s="7" t="s">
        <v>24</v>
      </c>
      <c r="N13" s="8">
        <v>3830</v>
      </c>
      <c r="O13" s="1"/>
      <c r="P13" s="7" t="s">
        <v>25</v>
      </c>
      <c r="Q13" s="8">
        <v>26903</v>
      </c>
      <c r="R13" s="15">
        <v>0.98540000000000005</v>
      </c>
      <c r="S13" s="1"/>
      <c r="T13" s="7" t="s">
        <v>25</v>
      </c>
      <c r="U13" s="8">
        <v>13851</v>
      </c>
      <c r="V13" s="15">
        <v>0.98380000000000001</v>
      </c>
      <c r="W13" s="1"/>
      <c r="X13" s="7" t="s">
        <v>25</v>
      </c>
      <c r="Y13" s="8">
        <v>35617</v>
      </c>
      <c r="Z13" s="15">
        <v>0.96960000000000002</v>
      </c>
      <c r="AA13" s="1"/>
      <c r="AB13" s="7" t="s">
        <v>26</v>
      </c>
      <c r="AC13" s="8">
        <v>3061</v>
      </c>
      <c r="AD13" s="15">
        <v>0.98299999999999998</v>
      </c>
      <c r="AE13" s="1"/>
    </row>
    <row r="14" spans="1:31" ht="18" x14ac:dyDescent="0.25">
      <c r="A14" s="7" t="s">
        <v>27</v>
      </c>
      <c r="B14" s="8">
        <v>29328</v>
      </c>
      <c r="C14" s="1"/>
      <c r="D14" s="1"/>
      <c r="E14" s="7" t="s">
        <v>24</v>
      </c>
      <c r="F14" s="8">
        <v>12480</v>
      </c>
      <c r="G14" s="1"/>
      <c r="H14" s="1"/>
      <c r="I14" s="7" t="s">
        <v>24</v>
      </c>
      <c r="J14" s="8">
        <v>22804</v>
      </c>
      <c r="K14" s="1"/>
      <c r="L14" s="1"/>
      <c r="M14" s="7" t="s">
        <v>18</v>
      </c>
      <c r="N14" s="8">
        <v>3644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8" x14ac:dyDescent="0.25">
      <c r="A15" s="7" t="s">
        <v>22</v>
      </c>
      <c r="B15" s="8">
        <v>28070</v>
      </c>
      <c r="C15" s="1"/>
      <c r="D15" s="1"/>
      <c r="E15" s="7" t="s">
        <v>28</v>
      </c>
      <c r="F15" s="8">
        <v>10439</v>
      </c>
      <c r="G15" s="1"/>
      <c r="H15" s="1"/>
      <c r="I15" s="7" t="s">
        <v>28</v>
      </c>
      <c r="J15" s="8">
        <v>19348</v>
      </c>
      <c r="K15" s="1"/>
      <c r="L15" s="1"/>
      <c r="M15" s="7" t="s">
        <v>29</v>
      </c>
      <c r="N15" s="8">
        <v>3142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8" x14ac:dyDescent="0.25">
      <c r="A16" s="7" t="s">
        <v>30</v>
      </c>
      <c r="B16" s="8">
        <v>25745</v>
      </c>
      <c r="C16" s="1"/>
      <c r="D16" s="1"/>
      <c r="E16" s="7" t="s">
        <v>29</v>
      </c>
      <c r="F16" s="8">
        <v>10185</v>
      </c>
      <c r="G16" s="1"/>
      <c r="H16" s="1"/>
      <c r="I16" s="7" t="s">
        <v>29</v>
      </c>
      <c r="J16" s="8">
        <v>18471</v>
      </c>
      <c r="K16" s="1"/>
      <c r="L16" s="1"/>
      <c r="M16" s="7" t="s">
        <v>28</v>
      </c>
      <c r="N16" s="8">
        <v>3020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8" x14ac:dyDescent="0.25">
      <c r="A17" s="7" t="s">
        <v>31</v>
      </c>
      <c r="B17" s="8">
        <v>17179</v>
      </c>
      <c r="C17" s="1"/>
      <c r="D17" s="1"/>
      <c r="E17" s="7" t="s">
        <v>32</v>
      </c>
      <c r="F17" s="8">
        <v>8424</v>
      </c>
      <c r="G17" s="1"/>
      <c r="H17" s="1"/>
      <c r="I17" s="7" t="s">
        <v>33</v>
      </c>
      <c r="J17" s="8">
        <v>15122</v>
      </c>
      <c r="K17" s="1"/>
      <c r="L17" s="1"/>
      <c r="M17" s="7" t="s">
        <v>33</v>
      </c>
      <c r="N17" s="8">
        <v>2511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8" x14ac:dyDescent="0.25">
      <c r="A18" s="7" t="s">
        <v>28</v>
      </c>
      <c r="B18" s="8">
        <v>15309</v>
      </c>
      <c r="C18" s="1"/>
      <c r="D18" s="1"/>
      <c r="E18" s="7" t="s">
        <v>33</v>
      </c>
      <c r="F18" s="8">
        <v>8296</v>
      </c>
      <c r="G18" s="1"/>
      <c r="H18" s="1"/>
      <c r="I18" s="7" t="s">
        <v>32</v>
      </c>
      <c r="J18" s="8">
        <v>15120</v>
      </c>
      <c r="K18" s="1"/>
      <c r="L18" s="1"/>
      <c r="M18" s="7" t="s">
        <v>32</v>
      </c>
      <c r="N18" s="8">
        <v>2507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8" x14ac:dyDescent="0.25">
      <c r="A19" s="7" t="s">
        <v>32</v>
      </c>
      <c r="B19" s="8">
        <v>11839</v>
      </c>
      <c r="C19" s="1"/>
      <c r="D19" s="1"/>
      <c r="E19" s="7" t="s">
        <v>34</v>
      </c>
      <c r="F19" s="8">
        <v>8001</v>
      </c>
      <c r="G19" s="1"/>
      <c r="H19" s="1"/>
      <c r="I19" s="7" t="s">
        <v>34</v>
      </c>
      <c r="J19" s="8">
        <v>14428</v>
      </c>
      <c r="K19" s="1"/>
      <c r="L19" s="1"/>
      <c r="M19" s="7" t="s">
        <v>34</v>
      </c>
      <c r="N19" s="8">
        <v>2357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18" x14ac:dyDescent="0.25">
      <c r="A20" s="7" t="s">
        <v>19</v>
      </c>
      <c r="B20" s="8">
        <v>11584</v>
      </c>
      <c r="C20" s="1"/>
      <c r="D20" s="1"/>
      <c r="E20" s="7" t="s">
        <v>35</v>
      </c>
      <c r="F20" s="8">
        <v>6018</v>
      </c>
      <c r="G20" s="1"/>
      <c r="H20" s="1"/>
      <c r="I20" s="7" t="s">
        <v>35</v>
      </c>
      <c r="J20" s="8">
        <v>10669</v>
      </c>
      <c r="K20" s="1"/>
      <c r="L20" s="1"/>
      <c r="M20" s="7" t="s">
        <v>35</v>
      </c>
      <c r="N20" s="8">
        <v>1806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8" x14ac:dyDescent="0.25">
      <c r="A21" s="7" t="s">
        <v>34</v>
      </c>
      <c r="B21" s="8">
        <v>11252</v>
      </c>
      <c r="C21" s="1"/>
      <c r="D21" s="1"/>
      <c r="E21" s="7" t="s">
        <v>36</v>
      </c>
      <c r="F21" s="8">
        <v>3847</v>
      </c>
      <c r="G21" s="1"/>
      <c r="H21" s="1"/>
      <c r="I21" s="7" t="s">
        <v>36</v>
      </c>
      <c r="J21" s="8">
        <v>6802</v>
      </c>
      <c r="K21" s="1"/>
      <c r="L21" s="1"/>
      <c r="M21" s="7" t="s">
        <v>37</v>
      </c>
      <c r="N21" s="8">
        <v>1245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18" x14ac:dyDescent="0.25">
      <c r="A22" s="7" t="s">
        <v>24</v>
      </c>
      <c r="B22" s="8">
        <v>9634</v>
      </c>
      <c r="C22" s="1"/>
      <c r="D22" s="1"/>
      <c r="E22" s="7" t="s">
        <v>38</v>
      </c>
      <c r="F22" s="8">
        <v>3608</v>
      </c>
      <c r="G22" s="1"/>
      <c r="H22" s="1"/>
      <c r="I22" s="7" t="s">
        <v>38</v>
      </c>
      <c r="J22" s="8">
        <v>6684</v>
      </c>
      <c r="K22" s="1"/>
      <c r="L22" s="1"/>
      <c r="M22" s="7" t="s">
        <v>36</v>
      </c>
      <c r="N22" s="8">
        <v>1164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8" x14ac:dyDescent="0.25">
      <c r="A23" s="7" t="s">
        <v>29</v>
      </c>
      <c r="B23" s="8">
        <v>8381</v>
      </c>
      <c r="C23" s="1"/>
      <c r="D23" s="1"/>
      <c r="E23" s="7" t="s">
        <v>37</v>
      </c>
      <c r="F23" s="8">
        <v>3346</v>
      </c>
      <c r="G23" s="1"/>
      <c r="H23" s="1"/>
      <c r="I23" s="7" t="s">
        <v>39</v>
      </c>
      <c r="J23" s="8">
        <v>5883</v>
      </c>
      <c r="K23" s="1"/>
      <c r="L23" s="1"/>
      <c r="M23" s="7" t="s">
        <v>39</v>
      </c>
      <c r="N23" s="8">
        <v>1068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8" x14ac:dyDescent="0.25">
      <c r="A24" s="7" t="s">
        <v>35</v>
      </c>
      <c r="B24" s="8">
        <v>8160</v>
      </c>
      <c r="C24" s="1"/>
      <c r="D24" s="1"/>
      <c r="E24" s="7" t="s">
        <v>39</v>
      </c>
      <c r="F24" s="8">
        <v>3284</v>
      </c>
      <c r="G24" s="1"/>
      <c r="H24" s="1"/>
      <c r="I24" s="7" t="s">
        <v>37</v>
      </c>
      <c r="J24" s="8">
        <v>5500</v>
      </c>
      <c r="K24" s="1"/>
      <c r="L24" s="1"/>
      <c r="M24" s="7" t="s">
        <v>38</v>
      </c>
      <c r="N24" s="7">
        <v>986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8" x14ac:dyDescent="0.25">
      <c r="A25" s="7" t="s">
        <v>33</v>
      </c>
      <c r="B25" s="8">
        <v>6487</v>
      </c>
      <c r="C25" s="1"/>
      <c r="D25" s="1"/>
      <c r="E25" s="7" t="s">
        <v>40</v>
      </c>
      <c r="F25" s="8">
        <v>2154</v>
      </c>
      <c r="G25" s="1"/>
      <c r="H25" s="1"/>
      <c r="I25" s="7" t="s">
        <v>40</v>
      </c>
      <c r="J25" s="8">
        <v>4771</v>
      </c>
      <c r="K25" s="1"/>
      <c r="L25" s="1"/>
      <c r="M25" s="7" t="s">
        <v>40</v>
      </c>
      <c r="N25" s="7">
        <v>664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18" x14ac:dyDescent="0.25">
      <c r="A26" s="7" t="s">
        <v>36</v>
      </c>
      <c r="B26" s="8">
        <v>5122</v>
      </c>
      <c r="C26" s="1"/>
      <c r="D26" s="1"/>
      <c r="E26" s="7" t="s">
        <v>41</v>
      </c>
      <c r="F26" s="8">
        <v>1355</v>
      </c>
      <c r="G26" s="1"/>
      <c r="H26" s="1"/>
      <c r="I26" s="7" t="s">
        <v>41</v>
      </c>
      <c r="J26" s="8">
        <v>2371</v>
      </c>
      <c r="K26" s="1"/>
      <c r="L26" s="1"/>
      <c r="M26" s="7" t="s">
        <v>41</v>
      </c>
      <c r="N26" s="7">
        <v>422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8" x14ac:dyDescent="0.25">
      <c r="A27" s="7" t="s">
        <v>38</v>
      </c>
      <c r="B27" s="8">
        <v>4923</v>
      </c>
      <c r="C27" s="1"/>
      <c r="D27" s="1"/>
      <c r="E27" s="7" t="s">
        <v>42</v>
      </c>
      <c r="F27" s="8">
        <v>1218</v>
      </c>
      <c r="G27" s="1"/>
      <c r="H27" s="1"/>
      <c r="I27" s="7" t="s">
        <v>42</v>
      </c>
      <c r="J27" s="8">
        <v>2211</v>
      </c>
      <c r="K27" s="1"/>
      <c r="L27" s="1"/>
      <c r="M27" s="7" t="s">
        <v>42</v>
      </c>
      <c r="N27" s="7">
        <v>376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18" x14ac:dyDescent="0.25">
      <c r="A28" s="7" t="s">
        <v>39</v>
      </c>
      <c r="B28" s="8">
        <v>4692</v>
      </c>
      <c r="C28" s="1"/>
      <c r="D28" s="1"/>
      <c r="E28" s="7" t="s">
        <v>43</v>
      </c>
      <c r="F28" s="8">
        <v>1000</v>
      </c>
      <c r="G28" s="1"/>
      <c r="H28" s="1"/>
      <c r="I28" s="7" t="s">
        <v>43</v>
      </c>
      <c r="J28" s="8">
        <v>1885</v>
      </c>
      <c r="K28" s="1"/>
      <c r="L28" s="1"/>
      <c r="M28" s="7" t="s">
        <v>43</v>
      </c>
      <c r="N28" s="7">
        <v>343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8" x14ac:dyDescent="0.25">
      <c r="A29" s="7" t="s">
        <v>40</v>
      </c>
      <c r="B29" s="8">
        <v>3874</v>
      </c>
      <c r="C29" s="1"/>
      <c r="D29" s="1"/>
      <c r="E29" s="7" t="s">
        <v>44</v>
      </c>
      <c r="F29" s="7">
        <v>785</v>
      </c>
      <c r="G29" s="1"/>
      <c r="H29" s="1"/>
      <c r="I29" s="7" t="s">
        <v>44</v>
      </c>
      <c r="J29" s="8">
        <v>1302</v>
      </c>
      <c r="K29" s="1"/>
      <c r="L29" s="1"/>
      <c r="M29" s="7" t="s">
        <v>44</v>
      </c>
      <c r="N29" s="7">
        <v>236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18" x14ac:dyDescent="0.25">
      <c r="A30" s="7" t="s">
        <v>37</v>
      </c>
      <c r="B30" s="8">
        <v>2700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8" x14ac:dyDescent="0.25">
      <c r="A31" s="7" t="s">
        <v>42</v>
      </c>
      <c r="B31" s="8">
        <v>1739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18" x14ac:dyDescent="0.25">
      <c r="A32" s="7" t="s">
        <v>44</v>
      </c>
      <c r="B32" s="8">
        <v>1089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8" x14ac:dyDescent="0.25">
      <c r="A33" s="7" t="s">
        <v>41</v>
      </c>
      <c r="B33" s="8">
        <v>1035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18" x14ac:dyDescent="0.25">
      <c r="A34" s="7" t="s">
        <v>43</v>
      </c>
      <c r="B34" s="7">
        <v>756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18" x14ac:dyDescent="0.25">
      <c r="A38" s="4" t="s">
        <v>45</v>
      </c>
      <c r="B38" s="4" t="s">
        <v>46</v>
      </c>
      <c r="C38" s="4" t="s">
        <v>8</v>
      </c>
      <c r="D38" s="1"/>
      <c r="E38" s="4" t="s">
        <v>45</v>
      </c>
      <c r="F38" s="4" t="s">
        <v>46</v>
      </c>
      <c r="G38" s="4" t="s">
        <v>8</v>
      </c>
      <c r="H38" s="1"/>
      <c r="I38" s="4" t="s">
        <v>45</v>
      </c>
      <c r="J38" s="4" t="s">
        <v>46</v>
      </c>
      <c r="K38" s="4" t="s">
        <v>8</v>
      </c>
      <c r="L38" s="1"/>
      <c r="M38" s="4" t="s">
        <v>45</v>
      </c>
      <c r="N38" s="4" t="s">
        <v>46</v>
      </c>
      <c r="O38" s="4" t="s">
        <v>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8" x14ac:dyDescent="0.25">
      <c r="A39" s="5">
        <v>46023</v>
      </c>
      <c r="B39" s="6">
        <v>0</v>
      </c>
      <c r="C39" s="7">
        <v>0</v>
      </c>
      <c r="D39" s="1"/>
      <c r="E39" s="5">
        <v>46023</v>
      </c>
      <c r="F39" s="6">
        <v>0</v>
      </c>
      <c r="G39" s="7">
        <v>0</v>
      </c>
      <c r="H39" s="1"/>
      <c r="I39" s="5">
        <v>46023</v>
      </c>
      <c r="J39" s="6">
        <v>0</v>
      </c>
      <c r="K39" s="7">
        <v>0</v>
      </c>
      <c r="L39" s="1"/>
      <c r="M39" s="5">
        <v>46023</v>
      </c>
      <c r="N39" s="6">
        <v>0</v>
      </c>
      <c r="O39" s="7">
        <v>0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8" x14ac:dyDescent="0.25">
      <c r="A40" s="5">
        <v>46054</v>
      </c>
      <c r="B40" s="6">
        <v>674.45</v>
      </c>
      <c r="C40" s="8">
        <v>7768</v>
      </c>
      <c r="D40" s="1"/>
      <c r="E40" s="5">
        <v>46054</v>
      </c>
      <c r="F40" s="6">
        <v>195.71</v>
      </c>
      <c r="G40" s="8">
        <v>3118</v>
      </c>
      <c r="H40" s="1"/>
      <c r="I40" s="5">
        <v>46054</v>
      </c>
      <c r="J40" s="6">
        <v>382.31</v>
      </c>
      <c r="K40" s="8">
        <v>5879</v>
      </c>
      <c r="L40" s="1"/>
      <c r="M40" s="5">
        <v>46054</v>
      </c>
      <c r="N40" s="6">
        <v>51.72</v>
      </c>
      <c r="O40" s="8">
        <v>1022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8" x14ac:dyDescent="0.25">
      <c r="A41" s="5">
        <v>46082</v>
      </c>
      <c r="B41" s="6">
        <v>1471.7</v>
      </c>
      <c r="C41" s="8">
        <v>16989</v>
      </c>
      <c r="D41" s="1"/>
      <c r="E41" s="5">
        <v>46082</v>
      </c>
      <c r="F41" s="6">
        <v>450.21</v>
      </c>
      <c r="G41" s="8">
        <v>7012</v>
      </c>
      <c r="H41" s="1"/>
      <c r="I41" s="5">
        <v>46082</v>
      </c>
      <c r="J41" s="6">
        <v>743.73</v>
      </c>
      <c r="K41" s="8">
        <v>13094</v>
      </c>
      <c r="L41" s="1"/>
      <c r="M41" s="5">
        <v>46082</v>
      </c>
      <c r="N41" s="6">
        <v>217.43</v>
      </c>
      <c r="O41" s="8">
        <v>2354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8" x14ac:dyDescent="0.25">
      <c r="A42" s="5">
        <v>46113</v>
      </c>
      <c r="B42" s="6">
        <v>1526.94</v>
      </c>
      <c r="C42" s="8">
        <v>17997</v>
      </c>
      <c r="D42" s="1"/>
      <c r="E42" s="5">
        <v>46113</v>
      </c>
      <c r="F42" s="6">
        <v>448.58</v>
      </c>
      <c r="G42" s="8">
        <v>7079</v>
      </c>
      <c r="H42" s="1"/>
      <c r="I42" s="5">
        <v>46113</v>
      </c>
      <c r="J42" s="6">
        <v>741</v>
      </c>
      <c r="K42" s="8">
        <v>13337</v>
      </c>
      <c r="L42" s="1"/>
      <c r="M42" s="5">
        <v>46113</v>
      </c>
      <c r="N42" s="6">
        <v>216.21</v>
      </c>
      <c r="O42" s="8">
        <v>2372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8" x14ac:dyDescent="0.25">
      <c r="A43" s="5">
        <v>46143</v>
      </c>
      <c r="B43" s="6">
        <v>1280.53</v>
      </c>
      <c r="C43" s="8">
        <v>14739</v>
      </c>
      <c r="D43" s="1"/>
      <c r="E43" s="5">
        <v>46143</v>
      </c>
      <c r="F43" s="6">
        <v>451.47</v>
      </c>
      <c r="G43" s="8">
        <v>7206</v>
      </c>
      <c r="H43" s="1"/>
      <c r="I43" s="5">
        <v>46143</v>
      </c>
      <c r="J43" s="6">
        <v>745.53</v>
      </c>
      <c r="K43" s="8">
        <v>13452</v>
      </c>
      <c r="L43" s="1"/>
      <c r="M43" s="5">
        <v>46143</v>
      </c>
      <c r="N43" s="6">
        <v>216.32</v>
      </c>
      <c r="O43" s="8">
        <v>2375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8" x14ac:dyDescent="0.25">
      <c r="A44" s="5">
        <v>46174</v>
      </c>
      <c r="B44" s="6">
        <v>1197.8699999999999</v>
      </c>
      <c r="C44" s="8">
        <v>13505</v>
      </c>
      <c r="D44" s="1"/>
      <c r="E44" s="5">
        <v>46174</v>
      </c>
      <c r="F44" s="6">
        <v>415.85</v>
      </c>
      <c r="G44" s="8">
        <v>6912</v>
      </c>
      <c r="H44" s="1"/>
      <c r="I44" s="5">
        <v>46174</v>
      </c>
      <c r="J44" s="6">
        <v>737.08</v>
      </c>
      <c r="K44" s="8">
        <v>13521</v>
      </c>
      <c r="L44" s="1"/>
      <c r="M44" s="5">
        <v>46174</v>
      </c>
      <c r="N44" s="6">
        <v>214.9</v>
      </c>
      <c r="O44" s="8">
        <v>2298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8" x14ac:dyDescent="0.25">
      <c r="A45" s="5">
        <v>46204</v>
      </c>
      <c r="B45" s="6">
        <v>1025.43</v>
      </c>
      <c r="C45" s="8">
        <v>11434</v>
      </c>
      <c r="D45" s="1"/>
      <c r="E45" s="5">
        <v>46204</v>
      </c>
      <c r="F45" s="6">
        <v>278.41000000000003</v>
      </c>
      <c r="G45" s="8">
        <v>3962</v>
      </c>
      <c r="H45" s="1"/>
      <c r="I45" s="5">
        <v>46204</v>
      </c>
      <c r="J45" s="6">
        <v>527.29</v>
      </c>
      <c r="K45" s="8">
        <v>9391</v>
      </c>
      <c r="L45" s="1"/>
      <c r="M45" s="5">
        <v>46204</v>
      </c>
      <c r="N45" s="6">
        <v>69.489999999999995</v>
      </c>
      <c r="O45" s="8">
        <v>1396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8" x14ac:dyDescent="0.25">
      <c r="A46" s="5">
        <v>46235</v>
      </c>
      <c r="B46" s="6">
        <v>916.18</v>
      </c>
      <c r="C46" s="8">
        <v>10397</v>
      </c>
      <c r="D46" s="1"/>
      <c r="E46" s="5">
        <v>46235</v>
      </c>
      <c r="F46" s="6">
        <v>11.28</v>
      </c>
      <c r="G46" s="7">
        <v>227</v>
      </c>
      <c r="H46" s="1"/>
      <c r="I46" s="5">
        <v>46235</v>
      </c>
      <c r="J46" s="6">
        <v>332.51</v>
      </c>
      <c r="K46" s="8">
        <v>6127</v>
      </c>
      <c r="L46" s="1"/>
      <c r="M46" s="5">
        <v>46235</v>
      </c>
      <c r="N46" s="6">
        <v>14.96</v>
      </c>
      <c r="O46" s="7">
        <v>302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8" x14ac:dyDescent="0.25">
      <c r="A47" s="5">
        <v>46266</v>
      </c>
      <c r="B47" s="6">
        <v>597.83000000000004</v>
      </c>
      <c r="C47" s="8">
        <v>6322</v>
      </c>
      <c r="D47" s="1"/>
      <c r="E47" s="5">
        <v>46266</v>
      </c>
      <c r="F47" s="6">
        <v>27.11</v>
      </c>
      <c r="G47" s="7">
        <v>546</v>
      </c>
      <c r="H47" s="1"/>
      <c r="I47" s="5">
        <v>46266</v>
      </c>
      <c r="J47" s="6">
        <v>162.96</v>
      </c>
      <c r="K47" s="8">
        <v>1618</v>
      </c>
      <c r="L47" s="1"/>
      <c r="M47" s="5">
        <v>46266</v>
      </c>
      <c r="N47" s="6">
        <v>35.56</v>
      </c>
      <c r="O47" s="7">
        <v>717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8" x14ac:dyDescent="0.25">
      <c r="A48" s="5">
        <v>46296</v>
      </c>
      <c r="B48" s="6">
        <v>1068.04</v>
      </c>
      <c r="C48" s="8">
        <v>11926</v>
      </c>
      <c r="D48" s="1"/>
      <c r="E48" s="5">
        <v>46296</v>
      </c>
      <c r="F48" s="6">
        <v>257.83999999999997</v>
      </c>
      <c r="G48" s="8">
        <v>3739</v>
      </c>
      <c r="H48" s="1"/>
      <c r="I48" s="5">
        <v>46296</v>
      </c>
      <c r="J48" s="6">
        <v>446.08</v>
      </c>
      <c r="K48" s="8">
        <v>7627</v>
      </c>
      <c r="L48" s="1"/>
      <c r="M48" s="5">
        <v>46296</v>
      </c>
      <c r="N48" s="6">
        <v>212.78</v>
      </c>
      <c r="O48" s="8">
        <v>2243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8" x14ac:dyDescent="0.25">
      <c r="A49" s="5">
        <v>46327</v>
      </c>
      <c r="B49" s="6">
        <v>488.97</v>
      </c>
      <c r="C49" s="8">
        <v>5625</v>
      </c>
      <c r="D49" s="1"/>
      <c r="E49" s="5">
        <v>46327</v>
      </c>
      <c r="F49" s="6">
        <v>3.92</v>
      </c>
      <c r="G49" s="7">
        <v>79</v>
      </c>
      <c r="H49" s="1"/>
      <c r="I49" s="5">
        <v>46327</v>
      </c>
      <c r="J49" s="6">
        <v>191.59</v>
      </c>
      <c r="K49" s="8">
        <v>2489</v>
      </c>
      <c r="L49" s="1"/>
      <c r="M49" s="5">
        <v>46327</v>
      </c>
      <c r="N49" s="6">
        <v>4.82</v>
      </c>
      <c r="O49" s="7">
        <v>97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8" x14ac:dyDescent="0.25">
      <c r="A50" s="5">
        <v>46357</v>
      </c>
      <c r="B50" s="6">
        <v>278.17</v>
      </c>
      <c r="C50" s="8">
        <v>1089</v>
      </c>
      <c r="D50" s="1"/>
      <c r="E50" s="5">
        <v>46357</v>
      </c>
      <c r="F50" s="6">
        <v>1.8</v>
      </c>
      <c r="G50" s="7">
        <v>36</v>
      </c>
      <c r="H50" s="1"/>
      <c r="I50" s="5">
        <v>46357</v>
      </c>
      <c r="J50" s="6">
        <v>70.22</v>
      </c>
      <c r="K50" s="7">
        <v>284</v>
      </c>
      <c r="L50" s="1"/>
      <c r="M50" s="5">
        <v>46357</v>
      </c>
      <c r="N50" s="6">
        <v>1.85</v>
      </c>
      <c r="O50" s="7">
        <v>38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8" x14ac:dyDescent="0.25">
      <c r="A51" s="9" t="s">
        <v>47</v>
      </c>
      <c r="B51" s="6">
        <v>301.47000000000003</v>
      </c>
      <c r="C51" s="8">
        <v>1401</v>
      </c>
      <c r="D51" s="1"/>
      <c r="E51" s="9" t="s">
        <v>47</v>
      </c>
      <c r="F51" s="6">
        <v>2.89</v>
      </c>
      <c r="G51" s="7">
        <v>58</v>
      </c>
      <c r="H51" s="1"/>
      <c r="I51" s="9" t="s">
        <v>47</v>
      </c>
      <c r="J51" s="6">
        <v>47.74</v>
      </c>
      <c r="K51" s="7">
        <v>214</v>
      </c>
      <c r="L51" s="1"/>
      <c r="M51" s="9" t="s">
        <v>47</v>
      </c>
      <c r="N51" s="6">
        <v>6.72</v>
      </c>
      <c r="O51" s="7">
        <v>136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8" x14ac:dyDescent="0.25">
      <c r="A52" s="9" t="s">
        <v>48</v>
      </c>
      <c r="B52" s="6">
        <v>359.68</v>
      </c>
      <c r="C52" s="8">
        <v>2232</v>
      </c>
      <c r="D52" s="1"/>
      <c r="E52" s="9" t="s">
        <v>48</v>
      </c>
      <c r="F52" s="6">
        <v>3.19</v>
      </c>
      <c r="G52" s="7">
        <v>64</v>
      </c>
      <c r="H52" s="1"/>
      <c r="I52" s="9" t="s">
        <v>48</v>
      </c>
      <c r="J52" s="6">
        <v>70.19</v>
      </c>
      <c r="K52" s="7">
        <v>546</v>
      </c>
      <c r="L52" s="1"/>
      <c r="M52" s="9" t="s">
        <v>48</v>
      </c>
      <c r="N52" s="6">
        <v>6.42</v>
      </c>
      <c r="O52" s="7">
        <v>130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8" x14ac:dyDescent="0.25">
      <c r="A53" s="9" t="s">
        <v>49</v>
      </c>
      <c r="B53" s="6">
        <v>1279.97</v>
      </c>
      <c r="C53" s="8">
        <v>14306</v>
      </c>
      <c r="D53" s="1"/>
      <c r="E53" s="9" t="s">
        <v>49</v>
      </c>
      <c r="F53" s="6">
        <v>607</v>
      </c>
      <c r="G53" s="8">
        <v>9718</v>
      </c>
      <c r="H53" s="1"/>
      <c r="I53" s="9" t="s">
        <v>49</v>
      </c>
      <c r="J53" s="6">
        <v>868.8</v>
      </c>
      <c r="K53" s="8">
        <v>16450</v>
      </c>
      <c r="L53" s="1"/>
      <c r="M53" s="9" t="s">
        <v>49</v>
      </c>
      <c r="N53" s="6">
        <v>451.34</v>
      </c>
      <c r="O53" s="8">
        <v>5510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8" x14ac:dyDescent="0.25">
      <c r="A54" s="9" t="s">
        <v>50</v>
      </c>
      <c r="B54" s="6">
        <v>1585.41</v>
      </c>
      <c r="C54" s="8">
        <v>17127</v>
      </c>
      <c r="D54" s="1"/>
      <c r="E54" s="9" t="s">
        <v>50</v>
      </c>
      <c r="F54" s="6">
        <v>642.85</v>
      </c>
      <c r="G54" s="8">
        <v>10979</v>
      </c>
      <c r="H54" s="1"/>
      <c r="I54" s="9" t="s">
        <v>50</v>
      </c>
      <c r="J54" s="6">
        <v>1062.6500000000001</v>
      </c>
      <c r="K54" s="8">
        <v>20528</v>
      </c>
      <c r="L54" s="1"/>
      <c r="M54" s="9" t="s">
        <v>50</v>
      </c>
      <c r="N54" s="6">
        <v>175.25</v>
      </c>
      <c r="O54" s="8">
        <v>2472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8" x14ac:dyDescent="0.25">
      <c r="A55" s="9" t="s">
        <v>51</v>
      </c>
      <c r="B55" s="6">
        <v>1518.05</v>
      </c>
      <c r="C55" s="8">
        <v>17488</v>
      </c>
      <c r="D55" s="1"/>
      <c r="E55" s="9" t="s">
        <v>51</v>
      </c>
      <c r="F55" s="6">
        <v>645.85</v>
      </c>
      <c r="G55" s="8">
        <v>10980</v>
      </c>
      <c r="H55" s="1"/>
      <c r="I55" s="9" t="s">
        <v>51</v>
      </c>
      <c r="J55" s="6">
        <v>1051.8900000000001</v>
      </c>
      <c r="K55" s="8">
        <v>20299</v>
      </c>
      <c r="L55" s="1"/>
      <c r="M55" s="9" t="s">
        <v>51</v>
      </c>
      <c r="N55" s="6">
        <v>167.52</v>
      </c>
      <c r="O55" s="8">
        <v>2315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8" x14ac:dyDescent="0.25">
      <c r="A56" s="9" t="s">
        <v>52</v>
      </c>
      <c r="B56" s="6">
        <v>1533.98</v>
      </c>
      <c r="C56" s="8">
        <v>17750</v>
      </c>
      <c r="D56" s="1"/>
      <c r="E56" s="9" t="s">
        <v>52</v>
      </c>
      <c r="F56" s="6">
        <v>604.03</v>
      </c>
      <c r="G56" s="8">
        <v>10264</v>
      </c>
      <c r="H56" s="1"/>
      <c r="I56" s="9" t="s">
        <v>52</v>
      </c>
      <c r="J56" s="6">
        <v>1024.92</v>
      </c>
      <c r="K56" s="8">
        <v>19808</v>
      </c>
      <c r="L56" s="1"/>
      <c r="M56" s="9" t="s">
        <v>52</v>
      </c>
      <c r="N56" s="6">
        <v>160.99</v>
      </c>
      <c r="O56" s="8">
        <v>2345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8" x14ac:dyDescent="0.25">
      <c r="A57" s="9" t="s">
        <v>53</v>
      </c>
      <c r="B57" s="6">
        <v>2444.56</v>
      </c>
      <c r="C57" s="8">
        <v>28449</v>
      </c>
      <c r="D57" s="1"/>
      <c r="E57" s="9" t="s">
        <v>53</v>
      </c>
      <c r="F57" s="6">
        <v>649.58000000000004</v>
      </c>
      <c r="G57" s="8">
        <v>11042</v>
      </c>
      <c r="H57" s="1"/>
      <c r="I57" s="9" t="s">
        <v>53</v>
      </c>
      <c r="J57" s="6">
        <v>1094.1400000000001</v>
      </c>
      <c r="K57" s="8">
        <v>21203</v>
      </c>
      <c r="L57" s="1"/>
      <c r="M57" s="9" t="s">
        <v>53</v>
      </c>
      <c r="N57" s="6">
        <v>182.19</v>
      </c>
      <c r="O57" s="8">
        <v>2394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8" x14ac:dyDescent="0.25">
      <c r="A58" s="9" t="s">
        <v>54</v>
      </c>
      <c r="B58" s="6">
        <v>2863.78</v>
      </c>
      <c r="C58" s="8">
        <v>33963</v>
      </c>
      <c r="D58" s="1"/>
      <c r="E58" s="9" t="s">
        <v>54</v>
      </c>
      <c r="F58" s="6">
        <v>667.42</v>
      </c>
      <c r="G58" s="8">
        <v>11167</v>
      </c>
      <c r="H58" s="1"/>
      <c r="I58" s="9" t="s">
        <v>54</v>
      </c>
      <c r="J58" s="6">
        <v>1114.1099999999999</v>
      </c>
      <c r="K58" s="8">
        <v>21537</v>
      </c>
      <c r="L58" s="1"/>
      <c r="M58" s="9" t="s">
        <v>54</v>
      </c>
      <c r="N58" s="6">
        <v>211.76</v>
      </c>
      <c r="O58" s="8">
        <v>2425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8" x14ac:dyDescent="0.25">
      <c r="A59" s="9" t="s">
        <v>55</v>
      </c>
      <c r="B59" s="6">
        <v>1734.29</v>
      </c>
      <c r="C59" s="8">
        <v>19709</v>
      </c>
      <c r="D59" s="1"/>
      <c r="E59" s="9" t="s">
        <v>55</v>
      </c>
      <c r="F59" s="6">
        <v>636.41999999999996</v>
      </c>
      <c r="G59" s="8">
        <v>9979</v>
      </c>
      <c r="H59" s="1"/>
      <c r="I59" s="9" t="s">
        <v>55</v>
      </c>
      <c r="J59" s="6">
        <v>1010.89</v>
      </c>
      <c r="K59" s="8">
        <v>19316</v>
      </c>
      <c r="L59" s="1"/>
      <c r="M59" s="9" t="s">
        <v>55</v>
      </c>
      <c r="N59" s="6">
        <v>137.54</v>
      </c>
      <c r="O59" s="8">
        <v>1882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8" x14ac:dyDescent="0.25">
      <c r="A60" s="9" t="s">
        <v>56</v>
      </c>
      <c r="B60" s="6">
        <v>1948.02</v>
      </c>
      <c r="C60" s="8">
        <v>22775</v>
      </c>
      <c r="D60" s="1"/>
      <c r="E60" s="9" t="s">
        <v>56</v>
      </c>
      <c r="F60" s="6">
        <v>624.73</v>
      </c>
      <c r="G60" s="8">
        <v>9811</v>
      </c>
      <c r="H60" s="1"/>
      <c r="I60" s="9" t="s">
        <v>56</v>
      </c>
      <c r="J60" s="6">
        <v>1056.33</v>
      </c>
      <c r="K60" s="8">
        <v>20282</v>
      </c>
      <c r="L60" s="1"/>
      <c r="M60" s="9" t="s">
        <v>56</v>
      </c>
      <c r="N60" s="6">
        <v>170.46</v>
      </c>
      <c r="O60" s="8">
        <v>2068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8" x14ac:dyDescent="0.25">
      <c r="A61" s="9" t="s">
        <v>57</v>
      </c>
      <c r="B61" s="6">
        <v>1817.4</v>
      </c>
      <c r="C61" s="8">
        <v>21935</v>
      </c>
      <c r="D61" s="1"/>
      <c r="E61" s="9" t="s">
        <v>57</v>
      </c>
      <c r="F61" s="6">
        <v>490.48</v>
      </c>
      <c r="G61" s="8">
        <v>7898</v>
      </c>
      <c r="H61" s="1"/>
      <c r="I61" s="9" t="s">
        <v>57</v>
      </c>
      <c r="J61" s="6">
        <v>841.74</v>
      </c>
      <c r="K61" s="8">
        <v>15584</v>
      </c>
      <c r="L61" s="1"/>
      <c r="M61" s="9" t="s">
        <v>57</v>
      </c>
      <c r="N61" s="6">
        <v>86.66</v>
      </c>
      <c r="O61" s="8">
        <v>1698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8" x14ac:dyDescent="0.25">
      <c r="A62" s="9" t="s">
        <v>58</v>
      </c>
      <c r="B62" s="6">
        <v>2900.57</v>
      </c>
      <c r="C62" s="8">
        <v>35818</v>
      </c>
      <c r="D62" s="1"/>
      <c r="E62" s="9" t="s">
        <v>58</v>
      </c>
      <c r="F62" s="6">
        <v>685.92</v>
      </c>
      <c r="G62" s="8">
        <v>12282</v>
      </c>
      <c r="H62" s="1"/>
      <c r="I62" s="9" t="s">
        <v>58</v>
      </c>
      <c r="J62" s="6">
        <v>1140.07</v>
      </c>
      <c r="K62" s="8">
        <v>21837</v>
      </c>
      <c r="L62" s="1"/>
      <c r="M62" s="9" t="s">
        <v>58</v>
      </c>
      <c r="N62" s="6">
        <v>171.9</v>
      </c>
      <c r="O62" s="8">
        <v>3559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8" x14ac:dyDescent="0.25">
      <c r="A63" s="9" t="s">
        <v>59</v>
      </c>
      <c r="B63" s="6">
        <v>2440.5100000000002</v>
      </c>
      <c r="C63" s="8">
        <v>31333</v>
      </c>
      <c r="D63" s="1"/>
      <c r="E63" s="9" t="s">
        <v>59</v>
      </c>
      <c r="F63" s="6">
        <v>575.26</v>
      </c>
      <c r="G63" s="8">
        <v>10035</v>
      </c>
      <c r="H63" s="1"/>
      <c r="I63" s="9" t="s">
        <v>59</v>
      </c>
      <c r="J63" s="6">
        <v>967.93</v>
      </c>
      <c r="K63" s="8">
        <v>18281</v>
      </c>
      <c r="L63" s="1"/>
      <c r="M63" s="9" t="s">
        <v>59</v>
      </c>
      <c r="N63" s="6">
        <v>134.71</v>
      </c>
      <c r="O63" s="8">
        <v>2837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8" x14ac:dyDescent="0.25">
      <c r="A64" s="9" t="s">
        <v>60</v>
      </c>
      <c r="B64" s="6">
        <v>1513.58</v>
      </c>
      <c r="C64" s="8">
        <v>21540</v>
      </c>
      <c r="D64" s="1"/>
      <c r="E64" s="9" t="s">
        <v>60</v>
      </c>
      <c r="F64" s="6">
        <v>605.5</v>
      </c>
      <c r="G64" s="8">
        <v>10646</v>
      </c>
      <c r="H64" s="1"/>
      <c r="I64" s="9" t="s">
        <v>60</v>
      </c>
      <c r="J64" s="6">
        <v>1008.57</v>
      </c>
      <c r="K64" s="8">
        <v>19124</v>
      </c>
      <c r="L64" s="1"/>
      <c r="M64" s="9" t="s">
        <v>60</v>
      </c>
      <c r="N64" s="6">
        <v>110.25</v>
      </c>
      <c r="O64" s="8">
        <v>2214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8" x14ac:dyDescent="0.25">
      <c r="A65" s="9" t="s">
        <v>61</v>
      </c>
      <c r="B65" s="6">
        <v>1339.71</v>
      </c>
      <c r="C65" s="8">
        <v>18836</v>
      </c>
      <c r="D65" s="1"/>
      <c r="E65" s="9" t="s">
        <v>61</v>
      </c>
      <c r="F65" s="6">
        <v>508.95</v>
      </c>
      <c r="G65" s="8">
        <v>8402</v>
      </c>
      <c r="H65" s="1"/>
      <c r="I65" s="9" t="s">
        <v>61</v>
      </c>
      <c r="J65" s="6">
        <v>364.96</v>
      </c>
      <c r="K65" s="8">
        <v>5314</v>
      </c>
      <c r="L65" s="1"/>
      <c r="M65" s="9" t="s">
        <v>61</v>
      </c>
      <c r="N65" s="6">
        <v>22.04</v>
      </c>
      <c r="O65" s="7">
        <v>439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8" x14ac:dyDescent="0.25">
      <c r="A66" s="9" t="s">
        <v>62</v>
      </c>
      <c r="B66" s="6">
        <v>1051.43</v>
      </c>
      <c r="C66" s="8">
        <v>14886</v>
      </c>
      <c r="D66" s="1"/>
      <c r="E66" s="9" t="s">
        <v>62</v>
      </c>
      <c r="F66" s="6">
        <v>86.44</v>
      </c>
      <c r="G66" s="8">
        <v>1739</v>
      </c>
      <c r="H66" s="1"/>
      <c r="I66" s="9" t="s">
        <v>62</v>
      </c>
      <c r="J66" s="6">
        <v>0</v>
      </c>
      <c r="K66" s="7">
        <v>0</v>
      </c>
      <c r="L66" s="1"/>
      <c r="M66" s="9" t="s">
        <v>62</v>
      </c>
      <c r="N66" s="6">
        <v>0</v>
      </c>
      <c r="O66" s="7">
        <v>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8" x14ac:dyDescent="0.25">
      <c r="A67" s="9" t="s">
        <v>63</v>
      </c>
      <c r="B67" s="6">
        <v>2632.77</v>
      </c>
      <c r="C67" s="8">
        <v>36574</v>
      </c>
      <c r="D67" s="1"/>
      <c r="E67" s="9" t="s">
        <v>63</v>
      </c>
      <c r="F67" s="6">
        <v>476.12</v>
      </c>
      <c r="G67" s="8">
        <v>7950</v>
      </c>
      <c r="H67" s="1"/>
      <c r="I67" s="9" t="s">
        <v>63</v>
      </c>
      <c r="J67" s="6">
        <v>948.21</v>
      </c>
      <c r="K67" s="8">
        <v>17975</v>
      </c>
      <c r="L67" s="1"/>
      <c r="M67" s="9" t="s">
        <v>63</v>
      </c>
      <c r="N67" s="6">
        <v>137.81</v>
      </c>
      <c r="O67" s="8">
        <v>2925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8" x14ac:dyDescent="0.25">
      <c r="A68" s="9" t="s">
        <v>64</v>
      </c>
      <c r="B68" s="6">
        <v>3191.33</v>
      </c>
      <c r="C68" s="8">
        <v>43597</v>
      </c>
      <c r="D68" s="1"/>
      <c r="E68" s="9" t="s">
        <v>64</v>
      </c>
      <c r="F68" s="6">
        <v>654.62</v>
      </c>
      <c r="G68" s="8">
        <v>11713</v>
      </c>
      <c r="H68" s="1"/>
      <c r="I68" s="9" t="s">
        <v>64</v>
      </c>
      <c r="J68" s="6">
        <v>1282.06</v>
      </c>
      <c r="K68" s="8">
        <v>27019</v>
      </c>
      <c r="L68" s="1"/>
      <c r="M68" s="9" t="s">
        <v>64</v>
      </c>
      <c r="N68" s="6">
        <v>306.20999999999998</v>
      </c>
      <c r="O68" s="8">
        <v>4364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8" x14ac:dyDescent="0.25">
      <c r="A69" s="9" t="s">
        <v>65</v>
      </c>
      <c r="B69" s="6">
        <v>2917.34</v>
      </c>
      <c r="C69" s="8">
        <v>39695</v>
      </c>
      <c r="D69" s="1"/>
      <c r="E69" s="9" t="s">
        <v>65</v>
      </c>
      <c r="F69" s="6">
        <v>650.32000000000005</v>
      </c>
      <c r="G69" s="8">
        <v>11713</v>
      </c>
      <c r="H69" s="1"/>
      <c r="I69" s="9" t="s">
        <v>65</v>
      </c>
      <c r="J69" s="6">
        <v>1264.03</v>
      </c>
      <c r="K69" s="8">
        <v>26723</v>
      </c>
      <c r="L69" s="1"/>
      <c r="M69" s="9" t="s">
        <v>65</v>
      </c>
      <c r="N69" s="6">
        <v>304.17</v>
      </c>
      <c r="O69" s="8">
        <v>4335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8" x14ac:dyDescent="0.25">
      <c r="A70" s="10" t="s">
        <v>66</v>
      </c>
      <c r="B70" s="11">
        <f>SUM(B39:B69)</f>
        <v>45899.960000000006</v>
      </c>
      <c r="C70" s="12">
        <v>557205</v>
      </c>
      <c r="D70" s="1"/>
      <c r="E70" s="10" t="s">
        <v>66</v>
      </c>
      <c r="F70" s="11">
        <f>SUM(F39:F69)</f>
        <v>12359.750000000004</v>
      </c>
      <c r="G70" s="12">
        <v>206356</v>
      </c>
      <c r="H70" s="1"/>
      <c r="I70" s="4" t="s">
        <v>66</v>
      </c>
      <c r="J70" s="11">
        <f>SUM(J39:J69)</f>
        <v>21299.53</v>
      </c>
      <c r="K70" s="12">
        <v>398859</v>
      </c>
      <c r="L70" s="1"/>
      <c r="M70" s="4" t="s">
        <v>66</v>
      </c>
      <c r="N70" s="11">
        <f>SUM(N39:N69)</f>
        <v>4199.9799999999996</v>
      </c>
      <c r="O70" s="12">
        <v>59262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Zammit</dc:creator>
  <cp:lastModifiedBy>P M</cp:lastModifiedBy>
  <dcterms:created xsi:type="dcterms:W3CDTF">2026-02-16T15:13:49Z</dcterms:created>
  <dcterms:modified xsi:type="dcterms:W3CDTF">2026-02-16T20:03:23Z</dcterms:modified>
</cp:coreProperties>
</file>