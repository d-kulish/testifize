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\Desktop\"/>
    </mc:Choice>
  </mc:AlternateContent>
  <xr:revisionPtr revIDLastSave="0" documentId="13_ncr:1_{BE3ACAD9-1261-4668-A397-2733529D9F5B}" xr6:coauthVersionLast="47" xr6:coauthVersionMax="47" xr10:uidLastSave="{00000000-0000-0000-0000-000000000000}"/>
  <bookViews>
    <workbookView xWindow="-96" yWindow="-96" windowWidth="20928" windowHeight="12432" xr2:uid="{6D0D2EB5-732A-0441-9057-4D726E21B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J4" i="1"/>
  <c r="F4" i="1"/>
  <c r="F3" i="1"/>
  <c r="F5" i="1" s="1"/>
  <c r="B5" i="1"/>
  <c r="B4" i="1"/>
  <c r="J70" i="1"/>
  <c r="J3" i="1" s="1"/>
  <c r="J5" i="1" s="1"/>
  <c r="F70" i="1"/>
  <c r="B70" i="1"/>
  <c r="B3" i="1"/>
</calcChain>
</file>

<file path=xl/sharedStrings.xml><?xml version="1.0" encoding="utf-8"?>
<sst xmlns="http://schemas.openxmlformats.org/spreadsheetml/2006/main" count="161" uniqueCount="47">
  <si>
    <t>BOL</t>
  </si>
  <si>
    <t>Wild Casino</t>
  </si>
  <si>
    <t>Sportsbetting</t>
  </si>
  <si>
    <t>Superslots</t>
  </si>
  <si>
    <t>Cost</t>
  </si>
  <si>
    <t>Views</t>
  </si>
  <si>
    <t>CPV</t>
  </si>
  <si>
    <t>Views by State</t>
  </si>
  <si>
    <t>Video Plays</t>
  </si>
  <si>
    <t>BetOnline</t>
  </si>
  <si>
    <t>SportsBetting</t>
  </si>
  <si>
    <t>SuperSlots</t>
  </si>
  <si>
    <t>Texas</t>
  </si>
  <si>
    <t>California</t>
  </si>
  <si>
    <t>App</t>
  </si>
  <si>
    <t>VTR (%)</t>
  </si>
  <si>
    <t>Georgia</t>
  </si>
  <si>
    <t>ESPN</t>
  </si>
  <si>
    <t>Florida</t>
  </si>
  <si>
    <t>NFL</t>
  </si>
  <si>
    <t>Virginia</t>
  </si>
  <si>
    <t>Missouri</t>
  </si>
  <si>
    <t>NBA</t>
  </si>
  <si>
    <t>Illinois</t>
  </si>
  <si>
    <t>Washington</t>
  </si>
  <si>
    <t>Watch TNT</t>
  </si>
  <si>
    <t>North Carolina</t>
  </si>
  <si>
    <t>Alabama</t>
  </si>
  <si>
    <t>South Carolina</t>
  </si>
  <si>
    <t>Oklahoma</t>
  </si>
  <si>
    <t>Minnesota</t>
  </si>
  <si>
    <t>Arizona</t>
  </si>
  <si>
    <t>Mississippi</t>
  </si>
  <si>
    <t>Wisconsin</t>
  </si>
  <si>
    <t>Utah</t>
  </si>
  <si>
    <t>Delaware</t>
  </si>
  <si>
    <t>New Mexico</t>
  </si>
  <si>
    <t>Idaho</t>
  </si>
  <si>
    <t>District of Columbia</t>
  </si>
  <si>
    <t>Hawaii</t>
  </si>
  <si>
    <t>Montana</t>
  </si>
  <si>
    <t>North Dakota</t>
  </si>
  <si>
    <t>South Dakota</t>
  </si>
  <si>
    <t>Alaska</t>
  </si>
  <si>
    <t>Day</t>
  </si>
  <si>
    <t>Spend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</si>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</sst>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_);[Red]\(&quot;€&quot;#,##0\)"/>
    <numFmt numFmtId="165" formatCode="&quot;€&quot;#,##0.00_);[Red]\(&quot;€&quot;#,##0.00\)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974B-F5D2-5F46-8CE6-6582433B19EF}">
  <dimension ref="A1:AE115"/>
  <sheetViews>
    <sheetView tabSelected="1" topLeftCell="E1" workbookViewId="0">
      <selection activeCell="L49" sqref="L49"/>
    </sheetView>
  </sheetViews>
  <sheetFormatPr defaultColWidth="10.796875" defaultRowHeight="15.6" x14ac:dyDescent="0.6"/>
  <cols>
    <col min="1" max="1" width="22" bestFit="1" customWidth="1"/>
    <col min="2" max="2" width="17.5" customWidth="1"/>
    <col min="3" max="3" width="14.5" bestFit="1" customWidth="1"/>
    <col min="5" max="5" width="22" bestFit="1" customWidth="1"/>
    <col min="6" max="6" width="14.5" bestFit="1" customWidth="1"/>
    <col min="7" max="7" width="16.1484375" customWidth="1"/>
    <col min="9" max="9" width="22" bestFit="1" customWidth="1"/>
    <col min="10" max="11" width="14.5" bestFit="1" customWidth="1"/>
    <col min="13" max="13" width="22" bestFit="1" customWidth="1"/>
    <col min="14" max="15" width="14.5" bestFit="1" customWidth="1"/>
    <col min="16" max="16" width="15.5" customWidth="1"/>
    <col min="17" max="17" width="14.5" bestFit="1" customWidth="1"/>
    <col min="18" max="18" width="10.1484375" bestFit="1" customWidth="1"/>
    <col min="20" max="20" width="18.34765625" customWidth="1"/>
    <col min="21" max="21" width="17.1484375" customWidth="1"/>
    <col min="22" max="22" width="11.34765625" customWidth="1"/>
    <col min="24" max="24" width="17.1484375" bestFit="1" customWidth="1"/>
    <col min="25" max="25" width="14.5" style="3" bestFit="1" customWidth="1"/>
    <col min="26" max="26" width="10.1484375" style="3" bestFit="1" customWidth="1"/>
    <col min="28" max="28" width="17.1484375" customWidth="1"/>
    <col min="29" max="29" width="18.34765625" customWidth="1"/>
    <col min="30" max="30" width="14" customWidth="1"/>
  </cols>
  <sheetData>
    <row r="1" spans="1:31" ht="17.7" x14ac:dyDescent="0.6">
      <c r="A1" s="4">
        <v>45992</v>
      </c>
      <c r="B1" s="5"/>
      <c r="C1" s="1"/>
      <c r="D1" s="1"/>
      <c r="E1" s="5"/>
      <c r="F1" s="5"/>
      <c r="G1" s="1"/>
      <c r="H1" s="1"/>
      <c r="I1" s="5"/>
      <c r="J1" s="5"/>
      <c r="K1" s="1"/>
      <c r="L1" s="1"/>
      <c r="M1" s="5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1"/>
      <c r="AB1" s="1"/>
      <c r="AC1" s="1"/>
      <c r="AD1" s="1"/>
      <c r="AE1" s="1"/>
    </row>
    <row r="2" spans="1:31" ht="17.7" x14ac:dyDescent="0.6">
      <c r="A2" s="6" t="s">
        <v>0</v>
      </c>
      <c r="B2" s="5"/>
      <c r="C2" s="1"/>
      <c r="D2" s="1"/>
      <c r="E2" s="6" t="s">
        <v>1</v>
      </c>
      <c r="F2" s="5"/>
      <c r="G2" s="1"/>
      <c r="H2" s="1"/>
      <c r="I2" s="6" t="s">
        <v>2</v>
      </c>
      <c r="J2" s="5"/>
      <c r="K2" s="1"/>
      <c r="L2" s="1"/>
      <c r="M2" s="6" t="s">
        <v>3</v>
      </c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1"/>
      <c r="AB2" s="1"/>
      <c r="AC2" s="1"/>
      <c r="AD2" s="1"/>
      <c r="AE2" s="1"/>
    </row>
    <row r="3" spans="1:31" ht="17.7" x14ac:dyDescent="0.6">
      <c r="A3" s="6" t="s">
        <v>4</v>
      </c>
      <c r="B3" s="7">
        <f>B70</f>
        <v>17300.259999999998</v>
      </c>
      <c r="C3" s="1"/>
      <c r="D3" s="1"/>
      <c r="E3" s="6" t="s">
        <v>4</v>
      </c>
      <c r="F3" s="7">
        <f>F70</f>
        <v>7968.0300000000007</v>
      </c>
      <c r="G3" s="1"/>
      <c r="H3" s="1"/>
      <c r="I3" s="6" t="s">
        <v>4</v>
      </c>
      <c r="J3" s="7">
        <f>J70</f>
        <v>7992.9899999999989</v>
      </c>
      <c r="K3" s="1"/>
      <c r="L3" s="1"/>
      <c r="M3" s="6" t="s">
        <v>4</v>
      </c>
      <c r="N3" s="7">
        <f>N70</f>
        <v>4301</v>
      </c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1"/>
      <c r="AB3" s="1"/>
      <c r="AC3" s="1"/>
      <c r="AD3" s="1"/>
      <c r="AE3" s="1"/>
    </row>
    <row r="4" spans="1:31" ht="17.7" x14ac:dyDescent="0.6">
      <c r="A4" s="6" t="s">
        <v>5</v>
      </c>
      <c r="B4" s="8">
        <f>C70</f>
        <v>349191</v>
      </c>
      <c r="C4" s="1"/>
      <c r="D4" s="1"/>
      <c r="E4" s="6" t="s">
        <v>5</v>
      </c>
      <c r="F4" s="8">
        <f>G70</f>
        <v>132046</v>
      </c>
      <c r="G4" s="1"/>
      <c r="H4" s="1"/>
      <c r="I4" s="6" t="s">
        <v>5</v>
      </c>
      <c r="J4" s="8">
        <f>K70</f>
        <v>134460</v>
      </c>
      <c r="K4" s="1"/>
      <c r="L4" s="1"/>
      <c r="M4" s="6" t="s">
        <v>5</v>
      </c>
      <c r="N4" s="8">
        <f>O70</f>
        <v>87281</v>
      </c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2"/>
      <c r="AA4" s="1"/>
      <c r="AB4" s="1"/>
      <c r="AC4" s="1"/>
      <c r="AD4" s="1"/>
      <c r="AE4" s="1"/>
    </row>
    <row r="5" spans="1:31" ht="17.7" x14ac:dyDescent="0.6">
      <c r="A5" s="6" t="s">
        <v>6</v>
      </c>
      <c r="B5" s="9">
        <f>B3/B4</f>
        <v>4.9543831312949066E-2</v>
      </c>
      <c r="C5" s="1"/>
      <c r="D5" s="1"/>
      <c r="E5" s="6" t="s">
        <v>6</v>
      </c>
      <c r="F5" s="9">
        <f>F3/F4</f>
        <v>6.0342835072626208E-2</v>
      </c>
      <c r="G5" s="1"/>
      <c r="H5" s="1"/>
      <c r="I5" s="6" t="s">
        <v>6</v>
      </c>
      <c r="J5" s="9">
        <f>J3/J4</f>
        <v>5.9445113788487276E-2</v>
      </c>
      <c r="K5" s="1"/>
      <c r="L5" s="1"/>
      <c r="M5" s="6" t="s">
        <v>6</v>
      </c>
      <c r="N5" s="9">
        <f>N3/N4</f>
        <v>4.9277620558884523E-2</v>
      </c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2"/>
      <c r="AA5" s="1"/>
      <c r="AB5" s="1"/>
      <c r="AC5" s="1"/>
      <c r="AD5" s="1"/>
      <c r="AE5" s="1"/>
    </row>
    <row r="6" spans="1:31" x14ac:dyDescent="0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  <c r="AA6" s="1"/>
      <c r="AB6" s="1"/>
      <c r="AC6" s="1"/>
      <c r="AD6" s="1"/>
      <c r="AE6" s="1"/>
    </row>
    <row r="7" spans="1:3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2"/>
      <c r="AA7" s="1"/>
      <c r="AB7" s="1"/>
      <c r="AC7" s="1"/>
      <c r="AD7" s="1"/>
      <c r="AE7" s="1"/>
    </row>
    <row r="8" spans="1:31" ht="17.7" x14ac:dyDescent="0.6">
      <c r="A8" s="6" t="s">
        <v>7</v>
      </c>
      <c r="B8" s="6" t="s">
        <v>8</v>
      </c>
      <c r="C8" s="1"/>
      <c r="D8" s="1"/>
      <c r="E8" s="6" t="s">
        <v>7</v>
      </c>
      <c r="F8" s="6" t="s">
        <v>8</v>
      </c>
      <c r="G8" s="1"/>
      <c r="H8" s="1"/>
      <c r="I8" s="6" t="s">
        <v>7</v>
      </c>
      <c r="J8" s="6" t="s">
        <v>8</v>
      </c>
      <c r="K8" s="1"/>
      <c r="L8" s="1"/>
      <c r="M8" s="6" t="s">
        <v>7</v>
      </c>
      <c r="N8" s="6" t="s">
        <v>8</v>
      </c>
      <c r="O8" s="1"/>
      <c r="P8" s="6" t="s">
        <v>9</v>
      </c>
      <c r="Q8" s="5"/>
      <c r="R8" s="5"/>
      <c r="S8" s="1"/>
      <c r="T8" s="6" t="s">
        <v>1</v>
      </c>
      <c r="U8" s="5"/>
      <c r="V8" s="5"/>
      <c r="W8" s="1"/>
      <c r="X8" s="6" t="s">
        <v>10</v>
      </c>
      <c r="Y8" s="12"/>
      <c r="Z8" s="12"/>
      <c r="AA8" s="1"/>
      <c r="AB8" s="6" t="s">
        <v>11</v>
      </c>
      <c r="AC8" s="5"/>
      <c r="AD8" s="5"/>
      <c r="AE8" s="1"/>
    </row>
    <row r="9" spans="1:31" ht="17.7" x14ac:dyDescent="0.6">
      <c r="A9" s="10" t="s">
        <v>12</v>
      </c>
      <c r="B9" s="8">
        <v>70471</v>
      </c>
      <c r="C9" s="1"/>
      <c r="D9" s="1"/>
      <c r="E9" s="10" t="s">
        <v>13</v>
      </c>
      <c r="F9" s="8">
        <v>33303</v>
      </c>
      <c r="G9" s="1"/>
      <c r="H9" s="1"/>
      <c r="I9" s="10" t="s">
        <v>13</v>
      </c>
      <c r="J9" s="8">
        <v>30813</v>
      </c>
      <c r="K9" s="1"/>
      <c r="L9" s="1"/>
      <c r="M9" s="10" t="s">
        <v>13</v>
      </c>
      <c r="N9" s="8">
        <v>22028</v>
      </c>
      <c r="O9" s="1"/>
      <c r="P9" s="6" t="s">
        <v>14</v>
      </c>
      <c r="Q9" s="6" t="s">
        <v>8</v>
      </c>
      <c r="R9" s="6" t="s">
        <v>15</v>
      </c>
      <c r="S9" s="1"/>
      <c r="T9" s="6" t="s">
        <v>14</v>
      </c>
      <c r="U9" s="6" t="s">
        <v>8</v>
      </c>
      <c r="V9" s="6" t="s">
        <v>15</v>
      </c>
      <c r="W9" s="1"/>
      <c r="X9" s="6" t="s">
        <v>14</v>
      </c>
      <c r="Y9" s="13" t="s">
        <v>8</v>
      </c>
      <c r="Z9" s="13" t="s">
        <v>15</v>
      </c>
      <c r="AA9" s="1"/>
      <c r="AB9" s="6" t="s">
        <v>14</v>
      </c>
      <c r="AC9" s="6" t="s">
        <v>8</v>
      </c>
      <c r="AD9" s="6" t="s">
        <v>15</v>
      </c>
      <c r="AE9" s="1"/>
    </row>
    <row r="10" spans="1:31" ht="17.7" x14ac:dyDescent="0.6">
      <c r="A10" s="10" t="s">
        <v>13</v>
      </c>
      <c r="B10" s="8">
        <v>42796</v>
      </c>
      <c r="C10" s="1"/>
      <c r="D10" s="1"/>
      <c r="E10" s="10" t="s">
        <v>16</v>
      </c>
      <c r="F10" s="8">
        <v>20209</v>
      </c>
      <c r="G10" s="1"/>
      <c r="H10" s="1"/>
      <c r="I10" s="10" t="s">
        <v>16</v>
      </c>
      <c r="J10" s="8">
        <v>19016</v>
      </c>
      <c r="K10" s="1"/>
      <c r="L10" s="1"/>
      <c r="M10" s="10" t="s">
        <v>16</v>
      </c>
      <c r="N10" s="8">
        <v>13430</v>
      </c>
      <c r="O10" s="1"/>
      <c r="P10" s="10" t="s">
        <v>17</v>
      </c>
      <c r="Q10" s="8">
        <v>202031</v>
      </c>
      <c r="R10" s="11">
        <v>0.85209999999999997</v>
      </c>
      <c r="S10" s="1"/>
      <c r="T10" s="10" t="s">
        <v>17</v>
      </c>
      <c r="U10" s="8">
        <v>71038</v>
      </c>
      <c r="V10" s="11">
        <v>0.83530000000000004</v>
      </c>
      <c r="W10" s="1"/>
      <c r="X10" s="10" t="s">
        <v>17</v>
      </c>
      <c r="Y10" s="14">
        <v>77497</v>
      </c>
      <c r="Z10" s="15">
        <v>0.84789999999999999</v>
      </c>
      <c r="AA10" s="1"/>
      <c r="AB10" s="10" t="s">
        <v>17</v>
      </c>
      <c r="AC10" s="8">
        <v>47272</v>
      </c>
      <c r="AD10" s="11">
        <v>0.83760000000000001</v>
      </c>
      <c r="AE10" s="1"/>
    </row>
    <row r="11" spans="1:31" ht="17.7" x14ac:dyDescent="0.6">
      <c r="A11" s="10" t="s">
        <v>16</v>
      </c>
      <c r="B11" s="8">
        <v>31955</v>
      </c>
      <c r="C11" s="1"/>
      <c r="D11" s="1"/>
      <c r="E11" s="10" t="s">
        <v>18</v>
      </c>
      <c r="F11" s="8">
        <v>9626</v>
      </c>
      <c r="G11" s="1"/>
      <c r="H11" s="1"/>
      <c r="I11" s="10" t="s">
        <v>18</v>
      </c>
      <c r="J11" s="8">
        <v>14589</v>
      </c>
      <c r="K11" s="1"/>
      <c r="L11" s="1"/>
      <c r="M11" s="10" t="s">
        <v>18</v>
      </c>
      <c r="N11" s="8">
        <v>6380</v>
      </c>
      <c r="O11" s="1"/>
      <c r="P11" s="10" t="s">
        <v>19</v>
      </c>
      <c r="Q11" s="8">
        <v>70032</v>
      </c>
      <c r="R11" s="11">
        <v>0.9798</v>
      </c>
      <c r="S11" s="1"/>
      <c r="T11" s="10" t="s">
        <v>19</v>
      </c>
      <c r="U11" s="8">
        <v>29360</v>
      </c>
      <c r="V11" s="11">
        <v>0.97409999999999997</v>
      </c>
      <c r="W11" s="1"/>
      <c r="X11" s="10" t="s">
        <v>19</v>
      </c>
      <c r="Y11" s="14">
        <v>26597</v>
      </c>
      <c r="Z11" s="15">
        <v>0.9748</v>
      </c>
      <c r="AA11" s="1"/>
      <c r="AB11" s="10" t="s">
        <v>19</v>
      </c>
      <c r="AC11" s="8">
        <v>19015</v>
      </c>
      <c r="AD11" s="11">
        <v>0.97499999999999998</v>
      </c>
      <c r="AE11" s="1"/>
    </row>
    <row r="12" spans="1:31" ht="17.7" x14ac:dyDescent="0.6">
      <c r="A12" s="10" t="s">
        <v>20</v>
      </c>
      <c r="B12" s="8">
        <v>25858</v>
      </c>
      <c r="C12" s="1"/>
      <c r="D12" s="1"/>
      <c r="E12" s="10" t="s">
        <v>21</v>
      </c>
      <c r="F12" s="8">
        <v>8891</v>
      </c>
      <c r="G12" s="1"/>
      <c r="H12" s="1"/>
      <c r="I12" s="10" t="s">
        <v>21</v>
      </c>
      <c r="J12" s="8">
        <v>12872</v>
      </c>
      <c r="K12" s="1"/>
      <c r="L12" s="1"/>
      <c r="M12" s="10" t="s">
        <v>21</v>
      </c>
      <c r="N12" s="8">
        <v>5814</v>
      </c>
      <c r="O12" s="1"/>
      <c r="P12" s="10" t="s">
        <v>22</v>
      </c>
      <c r="Q12" s="8">
        <v>49707</v>
      </c>
      <c r="R12" s="11">
        <v>0.92090000000000005</v>
      </c>
      <c r="S12" s="1"/>
      <c r="T12" s="10" t="s">
        <v>22</v>
      </c>
      <c r="U12" s="8">
        <v>20719</v>
      </c>
      <c r="V12" s="11">
        <v>0.90710000000000002</v>
      </c>
      <c r="W12" s="1"/>
      <c r="X12" s="10" t="s">
        <v>22</v>
      </c>
      <c r="Y12" s="14">
        <v>20172</v>
      </c>
      <c r="Z12" s="15">
        <v>0.91359999999999997</v>
      </c>
      <c r="AA12" s="1"/>
      <c r="AB12" s="10" t="s">
        <v>22</v>
      </c>
      <c r="AC12" s="8">
        <v>14077</v>
      </c>
      <c r="AD12" s="11">
        <v>0.90839999999999999</v>
      </c>
      <c r="AE12" s="1"/>
    </row>
    <row r="13" spans="1:31" ht="17.7" x14ac:dyDescent="0.6">
      <c r="A13" s="10" t="s">
        <v>23</v>
      </c>
      <c r="B13" s="8">
        <v>24035</v>
      </c>
      <c r="C13" s="1"/>
      <c r="D13" s="1"/>
      <c r="E13" s="10" t="s">
        <v>24</v>
      </c>
      <c r="F13" s="8">
        <v>8390</v>
      </c>
      <c r="G13" s="1"/>
      <c r="H13" s="1"/>
      <c r="I13" s="10" t="s">
        <v>24</v>
      </c>
      <c r="J13" s="8">
        <v>7838</v>
      </c>
      <c r="K13" s="1"/>
      <c r="L13" s="1"/>
      <c r="M13" s="10" t="s">
        <v>24</v>
      </c>
      <c r="N13" s="8">
        <v>5549</v>
      </c>
      <c r="O13" s="1"/>
      <c r="P13" s="10" t="s">
        <v>25</v>
      </c>
      <c r="Q13" s="8">
        <v>27421</v>
      </c>
      <c r="R13" s="11">
        <v>0.84230000000000005</v>
      </c>
      <c r="S13" s="1"/>
      <c r="T13" s="10" t="s">
        <v>25</v>
      </c>
      <c r="U13" s="8">
        <v>10929</v>
      </c>
      <c r="V13" s="11">
        <v>0.83479999999999999</v>
      </c>
      <c r="W13" s="1"/>
      <c r="X13" s="10" t="s">
        <v>25</v>
      </c>
      <c r="Y13" s="14">
        <v>10194</v>
      </c>
      <c r="Z13" s="15">
        <v>0.82279999999999998</v>
      </c>
      <c r="AA13" s="1"/>
      <c r="AB13" s="10" t="s">
        <v>25</v>
      </c>
      <c r="AC13" s="8">
        <v>6917</v>
      </c>
      <c r="AD13" s="11">
        <v>0.84360000000000002</v>
      </c>
      <c r="AE13" s="1"/>
    </row>
    <row r="14" spans="1:31" ht="17.7" x14ac:dyDescent="0.6">
      <c r="A14" s="10" t="s">
        <v>26</v>
      </c>
      <c r="B14" s="8">
        <v>22919</v>
      </c>
      <c r="C14" s="1"/>
      <c r="D14" s="1"/>
      <c r="E14" s="10" t="s">
        <v>27</v>
      </c>
      <c r="F14" s="8">
        <v>8062</v>
      </c>
      <c r="G14" s="1"/>
      <c r="H14" s="1"/>
      <c r="I14" s="10" t="s">
        <v>27</v>
      </c>
      <c r="J14" s="8">
        <v>7590</v>
      </c>
      <c r="K14" s="1"/>
      <c r="L14" s="1"/>
      <c r="M14" s="10" t="s">
        <v>27</v>
      </c>
      <c r="N14" s="8">
        <v>5336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2"/>
      <c r="AA14" s="1"/>
      <c r="AB14" s="1"/>
      <c r="AC14" s="1"/>
      <c r="AD14" s="1"/>
      <c r="AE14" s="1"/>
    </row>
    <row r="15" spans="1:31" ht="17.7" x14ac:dyDescent="0.6">
      <c r="A15" s="10" t="s">
        <v>18</v>
      </c>
      <c r="B15" s="8">
        <v>21004</v>
      </c>
      <c r="C15" s="1"/>
      <c r="D15" s="1"/>
      <c r="E15" s="10" t="s">
        <v>28</v>
      </c>
      <c r="F15" s="8">
        <v>7418</v>
      </c>
      <c r="G15" s="1"/>
      <c r="H15" s="1"/>
      <c r="I15" s="10" t="s">
        <v>28</v>
      </c>
      <c r="J15" s="8">
        <v>7062</v>
      </c>
      <c r="K15" s="1"/>
      <c r="L15" s="1"/>
      <c r="M15" s="10" t="s">
        <v>28</v>
      </c>
      <c r="N15" s="8">
        <v>4779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2"/>
      <c r="AA15" s="1"/>
      <c r="AB15" s="1"/>
      <c r="AC15" s="1"/>
      <c r="AD15" s="1"/>
      <c r="AE15" s="1"/>
    </row>
    <row r="16" spans="1:31" ht="17.7" x14ac:dyDescent="0.6">
      <c r="A16" s="10" t="s">
        <v>21</v>
      </c>
      <c r="B16" s="8">
        <v>20967</v>
      </c>
      <c r="C16" s="1"/>
      <c r="D16" s="1"/>
      <c r="E16" s="10" t="s">
        <v>29</v>
      </c>
      <c r="F16" s="8">
        <v>5863</v>
      </c>
      <c r="G16" s="1"/>
      <c r="H16" s="1"/>
      <c r="I16" s="10" t="s">
        <v>29</v>
      </c>
      <c r="J16" s="8">
        <v>5701</v>
      </c>
      <c r="K16" s="1"/>
      <c r="L16" s="1"/>
      <c r="M16" s="10" t="s">
        <v>30</v>
      </c>
      <c r="N16" s="8">
        <v>3862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  <c r="Z16" s="2"/>
      <c r="AA16" s="1"/>
      <c r="AB16" s="1"/>
      <c r="AC16" s="1"/>
      <c r="AD16" s="1"/>
      <c r="AE16" s="1"/>
    </row>
    <row r="17" spans="1:31" ht="17.7" x14ac:dyDescent="0.6">
      <c r="A17" s="10" t="s">
        <v>31</v>
      </c>
      <c r="B17" s="8">
        <v>14935</v>
      </c>
      <c r="C17" s="1"/>
      <c r="D17" s="1"/>
      <c r="E17" s="10" t="s">
        <v>30</v>
      </c>
      <c r="F17" s="8">
        <v>5737</v>
      </c>
      <c r="G17" s="1"/>
      <c r="H17" s="1"/>
      <c r="I17" s="10" t="s">
        <v>30</v>
      </c>
      <c r="J17" s="8">
        <v>5276</v>
      </c>
      <c r="K17" s="1"/>
      <c r="L17" s="1"/>
      <c r="M17" s="10" t="s">
        <v>29</v>
      </c>
      <c r="N17" s="8">
        <v>3798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  <c r="AA17" s="1"/>
      <c r="AB17" s="1"/>
      <c r="AC17" s="1"/>
      <c r="AD17" s="1"/>
      <c r="AE17" s="1"/>
    </row>
    <row r="18" spans="1:31" ht="17.7" x14ac:dyDescent="0.6">
      <c r="A18" s="10" t="s">
        <v>28</v>
      </c>
      <c r="B18" s="8">
        <v>11563</v>
      </c>
      <c r="C18" s="1"/>
      <c r="D18" s="1"/>
      <c r="E18" s="10" t="s">
        <v>32</v>
      </c>
      <c r="F18" s="8">
        <v>5115</v>
      </c>
      <c r="G18" s="1"/>
      <c r="H18" s="1"/>
      <c r="I18" s="10" t="s">
        <v>32</v>
      </c>
      <c r="J18" s="8">
        <v>4941</v>
      </c>
      <c r="K18" s="1"/>
      <c r="L18" s="1"/>
      <c r="M18" s="10" t="s">
        <v>32</v>
      </c>
      <c r="N18" s="8">
        <v>3385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  <c r="AA18" s="1"/>
      <c r="AB18" s="1"/>
      <c r="AC18" s="1"/>
      <c r="AD18" s="1"/>
      <c r="AE18" s="1"/>
    </row>
    <row r="19" spans="1:31" ht="17.7" x14ac:dyDescent="0.6">
      <c r="A19" s="10" t="s">
        <v>32</v>
      </c>
      <c r="B19" s="8">
        <v>8436</v>
      </c>
      <c r="C19" s="1"/>
      <c r="D19" s="1"/>
      <c r="E19" s="10" t="s">
        <v>33</v>
      </c>
      <c r="F19" s="8">
        <v>5017</v>
      </c>
      <c r="G19" s="1"/>
      <c r="H19" s="1"/>
      <c r="I19" s="10" t="s">
        <v>33</v>
      </c>
      <c r="J19" s="8">
        <v>4702</v>
      </c>
      <c r="K19" s="1"/>
      <c r="L19" s="1"/>
      <c r="M19" s="10" t="s">
        <v>33</v>
      </c>
      <c r="N19" s="8">
        <v>3313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2"/>
      <c r="AA19" s="1"/>
      <c r="AB19" s="1"/>
      <c r="AC19" s="1"/>
      <c r="AD19" s="1"/>
      <c r="AE19" s="1"/>
    </row>
    <row r="20" spans="1:31" ht="17.7" x14ac:dyDescent="0.6">
      <c r="A20" s="10" t="s">
        <v>33</v>
      </c>
      <c r="B20" s="8">
        <v>8153</v>
      </c>
      <c r="C20" s="1"/>
      <c r="D20" s="1"/>
      <c r="E20" s="10" t="s">
        <v>34</v>
      </c>
      <c r="F20" s="8">
        <v>2676</v>
      </c>
      <c r="G20" s="1"/>
      <c r="H20" s="1"/>
      <c r="I20" s="10" t="s">
        <v>34</v>
      </c>
      <c r="J20" s="8">
        <v>2542</v>
      </c>
      <c r="K20" s="1"/>
      <c r="L20" s="1"/>
      <c r="M20" s="10" t="s">
        <v>34</v>
      </c>
      <c r="N20" s="8">
        <v>1738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  <c r="AA20" s="1"/>
      <c r="AB20" s="1"/>
      <c r="AC20" s="1"/>
      <c r="AD20" s="1"/>
      <c r="AE20" s="1"/>
    </row>
    <row r="21" spans="1:31" ht="17.7" x14ac:dyDescent="0.6">
      <c r="A21" s="10" t="s">
        <v>27</v>
      </c>
      <c r="B21" s="8">
        <v>7490</v>
      </c>
      <c r="C21" s="1"/>
      <c r="D21" s="1"/>
      <c r="E21" s="10" t="s">
        <v>35</v>
      </c>
      <c r="F21" s="8">
        <v>2549</v>
      </c>
      <c r="G21" s="1"/>
      <c r="H21" s="1"/>
      <c r="I21" s="10" t="s">
        <v>35</v>
      </c>
      <c r="J21" s="8">
        <v>2170</v>
      </c>
      <c r="K21" s="1"/>
      <c r="L21" s="1"/>
      <c r="M21" s="10" t="s">
        <v>35</v>
      </c>
      <c r="N21" s="8">
        <v>1725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  <c r="Z21" s="2"/>
      <c r="AA21" s="1"/>
      <c r="AB21" s="1"/>
      <c r="AC21" s="1"/>
      <c r="AD21" s="1"/>
      <c r="AE21" s="1"/>
    </row>
    <row r="22" spans="1:31" ht="17.7" x14ac:dyDescent="0.6">
      <c r="A22" s="10" t="s">
        <v>24</v>
      </c>
      <c r="B22" s="8">
        <v>6904</v>
      </c>
      <c r="C22" s="1"/>
      <c r="D22" s="1"/>
      <c r="E22" s="10" t="s">
        <v>36</v>
      </c>
      <c r="F22" s="8">
        <v>2069</v>
      </c>
      <c r="G22" s="1"/>
      <c r="H22" s="1"/>
      <c r="I22" s="10" t="s">
        <v>36</v>
      </c>
      <c r="J22" s="8">
        <v>1998</v>
      </c>
      <c r="K22" s="1"/>
      <c r="L22" s="1"/>
      <c r="M22" s="10" t="s">
        <v>36</v>
      </c>
      <c r="N22" s="8">
        <v>1379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  <c r="Z22" s="2"/>
      <c r="AA22" s="1"/>
      <c r="AB22" s="1"/>
      <c r="AC22" s="1"/>
      <c r="AD22" s="1"/>
      <c r="AE22" s="1"/>
    </row>
    <row r="23" spans="1:31" ht="17.7" x14ac:dyDescent="0.6">
      <c r="A23" s="10" t="s">
        <v>29</v>
      </c>
      <c r="B23" s="8">
        <v>5495</v>
      </c>
      <c r="C23" s="1"/>
      <c r="D23" s="1"/>
      <c r="E23" s="10" t="s">
        <v>37</v>
      </c>
      <c r="F23" s="8">
        <v>1902</v>
      </c>
      <c r="G23" s="1"/>
      <c r="H23" s="1"/>
      <c r="I23" s="10" t="s">
        <v>37</v>
      </c>
      <c r="J23" s="8">
        <v>1691</v>
      </c>
      <c r="K23" s="1"/>
      <c r="L23" s="1"/>
      <c r="M23" s="10" t="s">
        <v>37</v>
      </c>
      <c r="N23" s="8">
        <v>1239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  <c r="Z23" s="2"/>
      <c r="AA23" s="1"/>
      <c r="AB23" s="1"/>
      <c r="AC23" s="1"/>
      <c r="AD23" s="1"/>
      <c r="AE23" s="1"/>
    </row>
    <row r="24" spans="1:31" ht="17.7" x14ac:dyDescent="0.6">
      <c r="A24" s="10" t="s">
        <v>30</v>
      </c>
      <c r="B24" s="8">
        <v>5162</v>
      </c>
      <c r="C24" s="1"/>
      <c r="D24" s="1"/>
      <c r="E24" s="10" t="s">
        <v>38</v>
      </c>
      <c r="F24" s="8">
        <v>1449</v>
      </c>
      <c r="G24" s="1"/>
      <c r="H24" s="1"/>
      <c r="I24" s="10" t="s">
        <v>38</v>
      </c>
      <c r="J24" s="8">
        <v>1586</v>
      </c>
      <c r="K24" s="1"/>
      <c r="L24" s="1"/>
      <c r="M24" s="10" t="s">
        <v>38</v>
      </c>
      <c r="N24" s="10">
        <v>967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  <c r="AA24" s="1"/>
      <c r="AB24" s="1"/>
      <c r="AC24" s="1"/>
      <c r="AD24" s="1"/>
      <c r="AE24" s="1"/>
    </row>
    <row r="25" spans="1:31" ht="17.7" x14ac:dyDescent="0.6">
      <c r="A25" s="10" t="s">
        <v>34</v>
      </c>
      <c r="B25" s="8">
        <v>4430</v>
      </c>
      <c r="C25" s="1"/>
      <c r="D25" s="1"/>
      <c r="E25" s="10" t="s">
        <v>39</v>
      </c>
      <c r="F25" s="10">
        <v>863</v>
      </c>
      <c r="G25" s="1"/>
      <c r="H25" s="1"/>
      <c r="I25" s="10" t="s">
        <v>40</v>
      </c>
      <c r="J25" s="8">
        <v>1354</v>
      </c>
      <c r="K25" s="1"/>
      <c r="L25" s="1"/>
      <c r="M25" s="10" t="s">
        <v>40</v>
      </c>
      <c r="N25" s="10">
        <v>569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1"/>
      <c r="AB25" s="1"/>
      <c r="AC25" s="1"/>
      <c r="AD25" s="1"/>
      <c r="AE25" s="1"/>
    </row>
    <row r="26" spans="1:31" ht="17.7" x14ac:dyDescent="0.6">
      <c r="A26" s="10" t="s">
        <v>36</v>
      </c>
      <c r="B26" s="8">
        <v>3364</v>
      </c>
      <c r="C26" s="1"/>
      <c r="D26" s="1"/>
      <c r="E26" s="10" t="s">
        <v>40</v>
      </c>
      <c r="F26" s="10">
        <v>838</v>
      </c>
      <c r="G26" s="1"/>
      <c r="H26" s="1"/>
      <c r="I26" s="10" t="s">
        <v>39</v>
      </c>
      <c r="J26" s="10">
        <v>791</v>
      </c>
      <c r="K26" s="1"/>
      <c r="L26" s="1"/>
      <c r="M26" s="10" t="s">
        <v>39</v>
      </c>
      <c r="N26" s="10">
        <v>558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1"/>
      <c r="AB26" s="1"/>
      <c r="AC26" s="1"/>
      <c r="AD26" s="1"/>
      <c r="AE26" s="1"/>
    </row>
    <row r="27" spans="1:31" ht="17.7" x14ac:dyDescent="0.6">
      <c r="A27" s="10" t="s">
        <v>37</v>
      </c>
      <c r="B27" s="8">
        <v>2957</v>
      </c>
      <c r="C27" s="1"/>
      <c r="D27" s="1"/>
      <c r="E27" s="10" t="s">
        <v>41</v>
      </c>
      <c r="F27" s="10">
        <v>748</v>
      </c>
      <c r="G27" s="1"/>
      <c r="H27" s="1"/>
      <c r="I27" s="10" t="s">
        <v>41</v>
      </c>
      <c r="J27" s="10">
        <v>703</v>
      </c>
      <c r="K27" s="1"/>
      <c r="L27" s="1"/>
      <c r="M27" s="10" t="s">
        <v>41</v>
      </c>
      <c r="N27" s="10">
        <v>557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  <c r="Z27" s="2"/>
      <c r="AA27" s="1"/>
      <c r="AB27" s="1"/>
      <c r="AC27" s="1"/>
      <c r="AD27" s="1"/>
      <c r="AE27" s="1"/>
    </row>
    <row r="28" spans="1:31" ht="17.7" x14ac:dyDescent="0.6">
      <c r="A28" s="10" t="s">
        <v>38</v>
      </c>
      <c r="B28" s="8">
        <v>2588</v>
      </c>
      <c r="C28" s="1"/>
      <c r="D28" s="1"/>
      <c r="E28" s="10" t="s">
        <v>42</v>
      </c>
      <c r="F28" s="10">
        <v>716</v>
      </c>
      <c r="G28" s="1"/>
      <c r="H28" s="1"/>
      <c r="I28" s="10" t="s">
        <v>42</v>
      </c>
      <c r="J28" s="10">
        <v>654</v>
      </c>
      <c r="K28" s="1"/>
      <c r="L28" s="1"/>
      <c r="M28" s="10" t="s">
        <v>42</v>
      </c>
      <c r="N28" s="10">
        <v>463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  <c r="Z28" s="2"/>
      <c r="AA28" s="1"/>
      <c r="AB28" s="1"/>
      <c r="AC28" s="1"/>
      <c r="AD28" s="1"/>
      <c r="AE28" s="1"/>
    </row>
    <row r="29" spans="1:31" ht="17.7" x14ac:dyDescent="0.6">
      <c r="A29" s="10" t="s">
        <v>40</v>
      </c>
      <c r="B29" s="8">
        <v>2166</v>
      </c>
      <c r="C29" s="1"/>
      <c r="D29" s="1"/>
      <c r="E29" s="10" t="s">
        <v>43</v>
      </c>
      <c r="F29" s="10">
        <v>605</v>
      </c>
      <c r="G29" s="1"/>
      <c r="H29" s="1"/>
      <c r="I29" s="10" t="s">
        <v>43</v>
      </c>
      <c r="J29" s="10">
        <v>571</v>
      </c>
      <c r="K29" s="1"/>
      <c r="L29" s="1"/>
      <c r="M29" s="10" t="s">
        <v>43</v>
      </c>
      <c r="N29" s="10">
        <v>412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  <c r="AA29" s="1"/>
      <c r="AB29" s="1"/>
      <c r="AC29" s="1"/>
      <c r="AD29" s="1"/>
      <c r="AE29" s="1"/>
    </row>
    <row r="30" spans="1:31" ht="17.7" x14ac:dyDescent="0.6">
      <c r="A30" s="10" t="s">
        <v>35</v>
      </c>
      <c r="B30" s="8">
        <v>2028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  <c r="Z30" s="2"/>
      <c r="AA30" s="1"/>
      <c r="AB30" s="1"/>
      <c r="AC30" s="1"/>
      <c r="AD30" s="1"/>
      <c r="AE30" s="1"/>
    </row>
    <row r="31" spans="1:31" ht="17.7" x14ac:dyDescent="0.6">
      <c r="A31" s="10" t="s">
        <v>42</v>
      </c>
      <c r="B31" s="8">
        <v>1186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"/>
      <c r="Z31" s="2"/>
      <c r="AA31" s="1"/>
      <c r="AB31" s="1"/>
      <c r="AC31" s="1"/>
      <c r="AD31" s="1"/>
      <c r="AE31" s="1"/>
    </row>
    <row r="32" spans="1:31" ht="17.7" x14ac:dyDescent="0.6">
      <c r="A32" s="10" t="s">
        <v>43</v>
      </c>
      <c r="B32" s="10">
        <v>967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2"/>
      <c r="AA32" s="1"/>
      <c r="AB32" s="1"/>
      <c r="AC32" s="1"/>
      <c r="AD32" s="1"/>
      <c r="AE32" s="1"/>
    </row>
    <row r="33" spans="1:31" ht="17.7" x14ac:dyDescent="0.6">
      <c r="A33" s="10" t="s">
        <v>39</v>
      </c>
      <c r="B33" s="10">
        <v>705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"/>
      <c r="Z33" s="2"/>
      <c r="AA33" s="1"/>
      <c r="AB33" s="1"/>
      <c r="AC33" s="1"/>
      <c r="AD33" s="1"/>
      <c r="AE33" s="1"/>
    </row>
    <row r="34" spans="1:31" ht="17.7" x14ac:dyDescent="0.6">
      <c r="A34" s="10" t="s">
        <v>41</v>
      </c>
      <c r="B34" s="10">
        <v>657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2"/>
      <c r="AA34" s="1"/>
      <c r="AB34" s="1"/>
      <c r="AC34" s="1"/>
      <c r="AD34" s="1"/>
      <c r="AE34" s="1"/>
    </row>
    <row r="35" spans="1:31" x14ac:dyDescent="0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/>
      <c r="Z35" s="2"/>
      <c r="AA35" s="1"/>
      <c r="AB35" s="1"/>
      <c r="AC35" s="1"/>
      <c r="AD35" s="1"/>
      <c r="AE35" s="1"/>
    </row>
    <row r="36" spans="1:31" x14ac:dyDescent="0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"/>
      <c r="Z36" s="2"/>
      <c r="AA36" s="1"/>
      <c r="AB36" s="1"/>
      <c r="AC36" s="1"/>
      <c r="AD36" s="1"/>
      <c r="AE36" s="1"/>
    </row>
    <row r="37" spans="1:31" x14ac:dyDescent="0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  <c r="Z37" s="2"/>
      <c r="AA37" s="1"/>
      <c r="AB37" s="1"/>
      <c r="AC37" s="1"/>
      <c r="AD37" s="1"/>
      <c r="AE37" s="1"/>
    </row>
    <row r="38" spans="1:31" ht="17.7" x14ac:dyDescent="0.6">
      <c r="A38" s="6" t="s">
        <v>44</v>
      </c>
      <c r="B38" s="6" t="s">
        <v>45</v>
      </c>
      <c r="C38" s="6" t="s">
        <v>8</v>
      </c>
      <c r="D38" s="1"/>
      <c r="E38" s="6" t="s">
        <v>44</v>
      </c>
      <c r="F38" s="6" t="s">
        <v>45</v>
      </c>
      <c r="G38" s="6" t="s">
        <v>8</v>
      </c>
      <c r="H38" s="1"/>
      <c r="I38" s="6" t="s">
        <v>44</v>
      </c>
      <c r="J38" s="6" t="s">
        <v>45</v>
      </c>
      <c r="K38" s="6" t="s">
        <v>8</v>
      </c>
      <c r="L38" s="1"/>
      <c r="M38" s="6" t="s">
        <v>44</v>
      </c>
      <c r="N38" s="6" t="s">
        <v>45</v>
      </c>
      <c r="O38" s="6" t="s">
        <v>8</v>
      </c>
      <c r="P38" s="1"/>
      <c r="Q38" s="1"/>
      <c r="R38" s="1"/>
      <c r="S38" s="1"/>
      <c r="T38" s="1"/>
      <c r="U38" s="1"/>
      <c r="V38" s="1"/>
      <c r="W38" s="1"/>
      <c r="X38" s="1"/>
      <c r="Y38" s="2"/>
      <c r="Z38" s="2"/>
      <c r="AA38" s="1"/>
      <c r="AB38" s="1"/>
      <c r="AC38" s="1"/>
      <c r="AD38" s="1"/>
      <c r="AE38" s="1"/>
    </row>
    <row r="39" spans="1:31" ht="17.7" x14ac:dyDescent="0.6">
      <c r="A39" s="16">
        <v>45992</v>
      </c>
      <c r="B39" s="17">
        <v>0</v>
      </c>
      <c r="C39" s="18">
        <v>0</v>
      </c>
      <c r="D39" s="1"/>
      <c r="E39" s="16">
        <v>45992</v>
      </c>
      <c r="F39" s="17">
        <v>0</v>
      </c>
      <c r="G39" s="18">
        <v>0</v>
      </c>
      <c r="H39" s="1"/>
      <c r="I39" s="16">
        <v>45992</v>
      </c>
      <c r="J39" s="17">
        <v>0</v>
      </c>
      <c r="K39" s="18">
        <v>0</v>
      </c>
      <c r="L39" s="1"/>
      <c r="M39" s="16">
        <v>45992</v>
      </c>
      <c r="N39" s="17">
        <v>0</v>
      </c>
      <c r="O39" s="18">
        <v>0</v>
      </c>
      <c r="P39" s="1"/>
      <c r="Q39" s="1"/>
      <c r="R39" s="1"/>
      <c r="S39" s="1"/>
      <c r="T39" s="1"/>
      <c r="U39" s="1"/>
      <c r="V39" s="1"/>
      <c r="W39" s="1"/>
      <c r="X39" s="1"/>
      <c r="Y39" s="2"/>
      <c r="Z39" s="2"/>
      <c r="AA39" s="1"/>
      <c r="AB39" s="1"/>
      <c r="AC39" s="1"/>
      <c r="AD39" s="1"/>
      <c r="AE39" s="1"/>
    </row>
    <row r="40" spans="1:31" ht="17.7" x14ac:dyDescent="0.6">
      <c r="A40" s="16">
        <v>45993</v>
      </c>
      <c r="B40" s="17">
        <v>0</v>
      </c>
      <c r="C40" s="18">
        <v>0</v>
      </c>
      <c r="D40" s="1"/>
      <c r="E40" s="16">
        <v>45993</v>
      </c>
      <c r="F40" s="17">
        <v>0</v>
      </c>
      <c r="G40" s="18">
        <v>0</v>
      </c>
      <c r="H40" s="1"/>
      <c r="I40" s="16">
        <v>45993</v>
      </c>
      <c r="J40" s="17">
        <v>0</v>
      </c>
      <c r="K40" s="18">
        <v>0</v>
      </c>
      <c r="L40" s="1"/>
      <c r="M40" s="16">
        <v>45993</v>
      </c>
      <c r="N40" s="17">
        <v>0</v>
      </c>
      <c r="O40" s="18">
        <v>0</v>
      </c>
      <c r="P40" s="1"/>
      <c r="Q40" s="1"/>
      <c r="R40" s="1"/>
      <c r="S40" s="1"/>
      <c r="T40" s="1"/>
      <c r="U40" s="1"/>
      <c r="V40" s="1"/>
      <c r="W40" s="1"/>
      <c r="X40" s="1"/>
      <c r="Y40" s="2"/>
      <c r="Z40" s="2"/>
      <c r="AA40" s="1"/>
      <c r="AB40" s="1"/>
      <c r="AC40" s="1"/>
      <c r="AD40" s="1"/>
      <c r="AE40" s="1"/>
    </row>
    <row r="41" spans="1:31" ht="17.7" x14ac:dyDescent="0.6">
      <c r="A41" s="16">
        <v>45994</v>
      </c>
      <c r="B41" s="17">
        <v>252.01</v>
      </c>
      <c r="C41" s="19">
        <v>5105</v>
      </c>
      <c r="D41" s="1"/>
      <c r="E41" s="16">
        <v>45994</v>
      </c>
      <c r="F41" s="17">
        <v>159.28</v>
      </c>
      <c r="G41" s="19">
        <v>2275</v>
      </c>
      <c r="H41" s="1"/>
      <c r="I41" s="16">
        <v>45994</v>
      </c>
      <c r="J41" s="17">
        <v>169.33</v>
      </c>
      <c r="K41" s="19">
        <v>2541</v>
      </c>
      <c r="L41" s="1"/>
      <c r="M41" s="16">
        <v>45994</v>
      </c>
      <c r="N41" s="17">
        <v>80.209999999999994</v>
      </c>
      <c r="O41" s="19">
        <v>1617</v>
      </c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1"/>
      <c r="AB41" s="1"/>
      <c r="AC41" s="1"/>
      <c r="AD41" s="1"/>
      <c r="AE41" s="1"/>
    </row>
    <row r="42" spans="1:31" ht="17.7" x14ac:dyDescent="0.6">
      <c r="A42" s="16">
        <v>45995</v>
      </c>
      <c r="B42" s="17">
        <v>465.08</v>
      </c>
      <c r="C42" s="19">
        <v>9470</v>
      </c>
      <c r="D42" s="1"/>
      <c r="E42" s="16">
        <v>45995</v>
      </c>
      <c r="F42" s="17">
        <v>261.33999999999997</v>
      </c>
      <c r="G42" s="19">
        <v>3316</v>
      </c>
      <c r="H42" s="1"/>
      <c r="I42" s="16">
        <v>45995</v>
      </c>
      <c r="J42" s="17">
        <v>225.76</v>
      </c>
      <c r="K42" s="19">
        <v>3642</v>
      </c>
      <c r="L42" s="1"/>
      <c r="M42" s="16">
        <v>45995</v>
      </c>
      <c r="N42" s="17">
        <v>131.5</v>
      </c>
      <c r="O42" s="19">
        <v>2677</v>
      </c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1"/>
      <c r="AB42" s="1"/>
      <c r="AC42" s="1"/>
      <c r="AD42" s="1"/>
      <c r="AE42" s="1"/>
    </row>
    <row r="43" spans="1:31" ht="17.7" x14ac:dyDescent="0.6">
      <c r="A43" s="16">
        <v>45996</v>
      </c>
      <c r="B43" s="17">
        <v>559.84</v>
      </c>
      <c r="C43" s="19">
        <v>10789</v>
      </c>
      <c r="D43" s="1"/>
      <c r="E43" s="16">
        <v>45996</v>
      </c>
      <c r="F43" s="17">
        <v>247.32</v>
      </c>
      <c r="G43" s="19">
        <v>4136</v>
      </c>
      <c r="H43" s="1"/>
      <c r="I43" s="16">
        <v>45996</v>
      </c>
      <c r="J43" s="17">
        <v>256.58</v>
      </c>
      <c r="K43" s="19">
        <v>4184</v>
      </c>
      <c r="L43" s="1"/>
      <c r="M43" s="16">
        <v>45996</v>
      </c>
      <c r="N43" s="17">
        <v>161.52000000000001</v>
      </c>
      <c r="O43" s="19">
        <v>3185</v>
      </c>
      <c r="P43" s="1"/>
      <c r="Q43" s="1"/>
      <c r="R43" s="1"/>
      <c r="S43" s="1"/>
      <c r="T43" s="1"/>
      <c r="U43" s="1"/>
      <c r="V43" s="1"/>
      <c r="W43" s="1"/>
      <c r="X43" s="1"/>
      <c r="Y43" s="2"/>
      <c r="Z43" s="2"/>
      <c r="AA43" s="1"/>
      <c r="AB43" s="1"/>
      <c r="AC43" s="1"/>
      <c r="AD43" s="1"/>
      <c r="AE43" s="1"/>
    </row>
    <row r="44" spans="1:31" ht="17.7" x14ac:dyDescent="0.6">
      <c r="A44" s="16">
        <v>45997</v>
      </c>
      <c r="B44" s="17">
        <v>774.94</v>
      </c>
      <c r="C44" s="19">
        <v>16067</v>
      </c>
      <c r="D44" s="1"/>
      <c r="E44" s="16">
        <v>45997</v>
      </c>
      <c r="F44" s="17">
        <v>314.91000000000003</v>
      </c>
      <c r="G44" s="19">
        <v>5567</v>
      </c>
      <c r="H44" s="1"/>
      <c r="I44" s="16">
        <v>45997</v>
      </c>
      <c r="J44" s="17">
        <v>356.64</v>
      </c>
      <c r="K44" s="19">
        <v>5619</v>
      </c>
      <c r="L44" s="1"/>
      <c r="M44" s="16">
        <v>45997</v>
      </c>
      <c r="N44" s="17">
        <v>167.36</v>
      </c>
      <c r="O44" s="19">
        <v>3495</v>
      </c>
      <c r="P44" s="1"/>
      <c r="Q44" s="1"/>
      <c r="R44" s="1"/>
      <c r="S44" s="1"/>
      <c r="T44" s="1"/>
      <c r="U44" s="1"/>
      <c r="V44" s="1"/>
      <c r="W44" s="1"/>
      <c r="X44" s="1"/>
      <c r="Y44" s="2"/>
      <c r="Z44" s="2"/>
      <c r="AA44" s="1"/>
      <c r="AB44" s="1"/>
      <c r="AC44" s="1"/>
      <c r="AD44" s="1"/>
      <c r="AE44" s="1"/>
    </row>
    <row r="45" spans="1:31" ht="17.7" x14ac:dyDescent="0.6">
      <c r="A45" s="16">
        <v>45998</v>
      </c>
      <c r="B45" s="17">
        <v>778.18</v>
      </c>
      <c r="C45" s="19">
        <v>15673</v>
      </c>
      <c r="D45" s="1"/>
      <c r="E45" s="16">
        <v>45998</v>
      </c>
      <c r="F45" s="17">
        <v>277.57</v>
      </c>
      <c r="G45" s="19">
        <v>4672</v>
      </c>
      <c r="H45" s="1"/>
      <c r="I45" s="16">
        <v>45998</v>
      </c>
      <c r="J45" s="17">
        <v>285.37</v>
      </c>
      <c r="K45" s="19">
        <v>4934</v>
      </c>
      <c r="L45" s="1"/>
      <c r="M45" s="16">
        <v>45998</v>
      </c>
      <c r="N45" s="17">
        <v>153.26</v>
      </c>
      <c r="O45" s="19">
        <v>3008</v>
      </c>
      <c r="P45" s="1"/>
      <c r="Q45" s="1"/>
      <c r="R45" s="1"/>
      <c r="S45" s="1"/>
      <c r="T45" s="1"/>
      <c r="U45" s="1"/>
      <c r="V45" s="1"/>
      <c r="W45" s="1"/>
      <c r="X45" s="1"/>
      <c r="Y45" s="2"/>
      <c r="Z45" s="2"/>
      <c r="AA45" s="1"/>
      <c r="AB45" s="1"/>
      <c r="AC45" s="1"/>
      <c r="AD45" s="1"/>
      <c r="AE45" s="1"/>
    </row>
    <row r="46" spans="1:31" ht="17.7" x14ac:dyDescent="0.6">
      <c r="A46" s="16">
        <v>45999</v>
      </c>
      <c r="B46" s="17">
        <v>566.87</v>
      </c>
      <c r="C46" s="19">
        <v>10834</v>
      </c>
      <c r="D46" s="1"/>
      <c r="E46" s="16">
        <v>45999</v>
      </c>
      <c r="F46" s="17">
        <v>272.22000000000003</v>
      </c>
      <c r="G46" s="19">
        <v>4634</v>
      </c>
      <c r="H46" s="1"/>
      <c r="I46" s="16">
        <v>45999</v>
      </c>
      <c r="J46" s="17">
        <v>292.11</v>
      </c>
      <c r="K46" s="19">
        <v>4715</v>
      </c>
      <c r="L46" s="1"/>
      <c r="M46" s="16">
        <v>45999</v>
      </c>
      <c r="N46" s="17">
        <v>152.79</v>
      </c>
      <c r="O46" s="19">
        <v>2942</v>
      </c>
      <c r="P46" s="1"/>
      <c r="Q46" s="1"/>
      <c r="R46" s="1"/>
      <c r="S46" s="1"/>
      <c r="T46" s="1"/>
      <c r="U46" s="1"/>
      <c r="V46" s="1"/>
      <c r="W46" s="1"/>
      <c r="X46" s="1"/>
      <c r="Y46" s="2"/>
      <c r="Z46" s="2"/>
      <c r="AA46" s="1"/>
      <c r="AB46" s="1"/>
      <c r="AC46" s="1"/>
      <c r="AD46" s="1"/>
      <c r="AE46" s="1"/>
    </row>
    <row r="47" spans="1:31" ht="17.7" x14ac:dyDescent="0.6">
      <c r="A47" s="16">
        <v>46000</v>
      </c>
      <c r="B47" s="17">
        <v>566.79</v>
      </c>
      <c r="C47" s="19">
        <v>11041</v>
      </c>
      <c r="D47" s="1"/>
      <c r="E47" s="16">
        <v>46000</v>
      </c>
      <c r="F47" s="17">
        <v>317.22000000000003</v>
      </c>
      <c r="G47" s="19">
        <v>5208</v>
      </c>
      <c r="H47" s="1"/>
      <c r="I47" s="16">
        <v>46000</v>
      </c>
      <c r="J47" s="17">
        <v>303.95</v>
      </c>
      <c r="K47" s="19">
        <v>5201</v>
      </c>
      <c r="L47" s="1"/>
      <c r="M47" s="16">
        <v>46000</v>
      </c>
      <c r="N47" s="17">
        <v>152.26</v>
      </c>
      <c r="O47" s="19">
        <v>2965</v>
      </c>
      <c r="P47" s="1"/>
      <c r="Q47" s="1"/>
      <c r="R47" s="1"/>
      <c r="S47" s="1"/>
      <c r="T47" s="1"/>
      <c r="U47" s="1"/>
      <c r="V47" s="1"/>
      <c r="W47" s="1"/>
      <c r="X47" s="1"/>
      <c r="Y47" s="2"/>
      <c r="Z47" s="2"/>
      <c r="AA47" s="1"/>
      <c r="AB47" s="1"/>
      <c r="AC47" s="1"/>
      <c r="AD47" s="1"/>
      <c r="AE47" s="1"/>
    </row>
    <row r="48" spans="1:31" ht="17.7" x14ac:dyDescent="0.6">
      <c r="A48" s="16">
        <v>46001</v>
      </c>
      <c r="B48" s="17">
        <v>550.49</v>
      </c>
      <c r="C48" s="19">
        <v>10720</v>
      </c>
      <c r="D48" s="1"/>
      <c r="E48" s="16">
        <v>46001</v>
      </c>
      <c r="F48" s="17">
        <v>287.27999999999997</v>
      </c>
      <c r="G48" s="19">
        <v>4823</v>
      </c>
      <c r="H48" s="1"/>
      <c r="I48" s="16">
        <v>46001</v>
      </c>
      <c r="J48" s="17">
        <v>298.22000000000003</v>
      </c>
      <c r="K48" s="19">
        <v>4921</v>
      </c>
      <c r="L48" s="1"/>
      <c r="M48" s="16">
        <v>46001</v>
      </c>
      <c r="N48" s="17">
        <v>159.74</v>
      </c>
      <c r="O48" s="19">
        <v>3103</v>
      </c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  <c r="AA48" s="1"/>
      <c r="AB48" s="1"/>
      <c r="AC48" s="1"/>
      <c r="AD48" s="1"/>
      <c r="AE48" s="1"/>
    </row>
    <row r="49" spans="1:31" ht="17.7" x14ac:dyDescent="0.6">
      <c r="A49" s="16">
        <v>46002</v>
      </c>
      <c r="B49" s="17">
        <v>784.58</v>
      </c>
      <c r="C49" s="19">
        <v>15960</v>
      </c>
      <c r="D49" s="1"/>
      <c r="E49" s="16">
        <v>46002</v>
      </c>
      <c r="F49" s="17">
        <v>298.22000000000003</v>
      </c>
      <c r="G49" s="19">
        <v>5082</v>
      </c>
      <c r="H49" s="1"/>
      <c r="I49" s="16">
        <v>46002</v>
      </c>
      <c r="J49" s="17">
        <v>244.32</v>
      </c>
      <c r="K49" s="19">
        <v>4984</v>
      </c>
      <c r="L49" s="1"/>
      <c r="M49" s="16">
        <v>46002</v>
      </c>
      <c r="N49" s="17">
        <v>157.94</v>
      </c>
      <c r="O49" s="19">
        <v>3216</v>
      </c>
      <c r="P49" s="1"/>
      <c r="Q49" s="1"/>
      <c r="R49" s="1"/>
      <c r="S49" s="1"/>
      <c r="T49" s="1"/>
      <c r="U49" s="1"/>
      <c r="V49" s="1"/>
      <c r="W49" s="1"/>
      <c r="X49" s="1"/>
      <c r="Y49" s="2"/>
      <c r="Z49" s="2"/>
      <c r="AA49" s="1"/>
      <c r="AB49" s="1"/>
      <c r="AC49" s="1"/>
      <c r="AD49" s="1"/>
      <c r="AE49" s="1"/>
    </row>
    <row r="50" spans="1:31" ht="17.7" x14ac:dyDescent="0.6">
      <c r="A50" s="16">
        <v>46003</v>
      </c>
      <c r="B50" s="17">
        <v>696.23</v>
      </c>
      <c r="C50" s="19">
        <v>14167</v>
      </c>
      <c r="D50" s="1"/>
      <c r="E50" s="16">
        <v>46003</v>
      </c>
      <c r="F50" s="17">
        <v>282.98</v>
      </c>
      <c r="G50" s="19">
        <v>4805</v>
      </c>
      <c r="H50" s="1"/>
      <c r="I50" s="16">
        <v>46003</v>
      </c>
      <c r="J50" s="17">
        <v>282.76</v>
      </c>
      <c r="K50" s="19">
        <v>4884</v>
      </c>
      <c r="L50" s="1"/>
      <c r="M50" s="16">
        <v>46003</v>
      </c>
      <c r="N50" s="17">
        <v>154.22999999999999</v>
      </c>
      <c r="O50" s="19">
        <v>3162</v>
      </c>
      <c r="P50" s="1"/>
      <c r="Q50" s="1"/>
      <c r="R50" s="1"/>
      <c r="S50" s="1"/>
      <c r="T50" s="1"/>
      <c r="U50" s="1"/>
      <c r="V50" s="1"/>
      <c r="W50" s="1"/>
      <c r="X50" s="1"/>
      <c r="Y50" s="2"/>
      <c r="Z50" s="2"/>
      <c r="AA50" s="1"/>
      <c r="AB50" s="1"/>
      <c r="AC50" s="1"/>
      <c r="AD50" s="1"/>
      <c r="AE50" s="1"/>
    </row>
    <row r="51" spans="1:31" ht="17.7" x14ac:dyDescent="0.6">
      <c r="A51" s="16">
        <v>46004</v>
      </c>
      <c r="B51" s="17">
        <v>691.36</v>
      </c>
      <c r="C51" s="19">
        <v>13661</v>
      </c>
      <c r="D51" s="1"/>
      <c r="E51" s="16">
        <v>46004</v>
      </c>
      <c r="F51" s="17">
        <v>260.7</v>
      </c>
      <c r="G51" s="19">
        <v>4582</v>
      </c>
      <c r="H51" s="1"/>
      <c r="I51" s="16">
        <v>46004</v>
      </c>
      <c r="J51" s="17">
        <v>260.74</v>
      </c>
      <c r="K51" s="19">
        <v>4641</v>
      </c>
      <c r="L51" s="1"/>
      <c r="M51" s="16">
        <v>46004</v>
      </c>
      <c r="N51" s="17">
        <v>152.56</v>
      </c>
      <c r="O51" s="19">
        <v>3027</v>
      </c>
      <c r="P51" s="1"/>
      <c r="Q51" s="1"/>
      <c r="R51" s="1"/>
      <c r="S51" s="1"/>
      <c r="T51" s="1"/>
      <c r="U51" s="1"/>
      <c r="V51" s="1"/>
      <c r="W51" s="1"/>
      <c r="X51" s="1"/>
      <c r="Y51" s="2"/>
      <c r="Z51" s="2"/>
      <c r="AA51" s="1"/>
      <c r="AB51" s="1"/>
      <c r="AC51" s="1"/>
      <c r="AD51" s="1"/>
      <c r="AE51" s="1"/>
    </row>
    <row r="52" spans="1:31" ht="17.7" x14ac:dyDescent="0.6">
      <c r="A52" s="16">
        <v>46005</v>
      </c>
      <c r="B52" s="17">
        <v>695.7</v>
      </c>
      <c r="C52" s="19">
        <v>13935</v>
      </c>
      <c r="D52" s="1"/>
      <c r="E52" s="16">
        <v>46005</v>
      </c>
      <c r="F52" s="17">
        <v>272.18</v>
      </c>
      <c r="G52" s="19">
        <v>4716</v>
      </c>
      <c r="H52" s="1"/>
      <c r="I52" s="16">
        <v>46005</v>
      </c>
      <c r="J52" s="17">
        <v>282.51</v>
      </c>
      <c r="K52" s="19">
        <v>4724</v>
      </c>
      <c r="L52" s="1"/>
      <c r="M52" s="16">
        <v>46005</v>
      </c>
      <c r="N52" s="17">
        <v>153.74</v>
      </c>
      <c r="O52" s="19">
        <v>3102</v>
      </c>
      <c r="P52" s="1"/>
      <c r="Q52" s="1"/>
      <c r="R52" s="1"/>
      <c r="S52" s="1"/>
      <c r="T52" s="1"/>
      <c r="U52" s="1"/>
      <c r="V52" s="1"/>
      <c r="W52" s="1"/>
      <c r="X52" s="1"/>
      <c r="Y52" s="2"/>
      <c r="Z52" s="2"/>
      <c r="AA52" s="1"/>
      <c r="AB52" s="1"/>
      <c r="AC52" s="1"/>
      <c r="AD52" s="1"/>
      <c r="AE52" s="1"/>
    </row>
    <row r="53" spans="1:31" ht="17.7" x14ac:dyDescent="0.6">
      <c r="A53" s="16">
        <v>46006</v>
      </c>
      <c r="B53" s="17">
        <v>564.51</v>
      </c>
      <c r="C53" s="19">
        <v>11740</v>
      </c>
      <c r="D53" s="1"/>
      <c r="E53" s="16">
        <v>46006</v>
      </c>
      <c r="F53" s="17">
        <v>298.10000000000002</v>
      </c>
      <c r="G53" s="19">
        <v>5034</v>
      </c>
      <c r="H53" s="1"/>
      <c r="I53" s="16">
        <v>46006</v>
      </c>
      <c r="J53" s="17">
        <v>285.56</v>
      </c>
      <c r="K53" s="19">
        <v>5058</v>
      </c>
      <c r="L53" s="1"/>
      <c r="M53" s="16">
        <v>46006</v>
      </c>
      <c r="N53" s="17">
        <v>155.19</v>
      </c>
      <c r="O53" s="19">
        <v>3319</v>
      </c>
      <c r="P53" s="1"/>
      <c r="Q53" s="1"/>
      <c r="R53" s="1"/>
      <c r="S53" s="1"/>
      <c r="T53" s="1"/>
      <c r="U53" s="1"/>
      <c r="V53" s="1"/>
      <c r="W53" s="1"/>
      <c r="X53" s="1"/>
      <c r="Y53" s="2"/>
      <c r="Z53" s="2"/>
      <c r="AA53" s="1"/>
      <c r="AB53" s="1"/>
      <c r="AC53" s="1"/>
      <c r="AD53" s="1"/>
      <c r="AE53" s="1"/>
    </row>
    <row r="54" spans="1:31" ht="17.7" x14ac:dyDescent="0.6">
      <c r="A54" s="16">
        <v>46007</v>
      </c>
      <c r="B54" s="17">
        <v>221.93</v>
      </c>
      <c r="C54" s="19">
        <v>4618</v>
      </c>
      <c r="D54" s="1"/>
      <c r="E54" s="16">
        <v>46007</v>
      </c>
      <c r="F54" s="17">
        <v>254.45</v>
      </c>
      <c r="G54" s="19">
        <v>3221</v>
      </c>
      <c r="H54" s="1"/>
      <c r="I54" s="16">
        <v>46007</v>
      </c>
      <c r="J54" s="17">
        <v>18.63</v>
      </c>
      <c r="K54" s="18">
        <v>181</v>
      </c>
      <c r="L54" s="1"/>
      <c r="M54" s="16">
        <v>46007</v>
      </c>
      <c r="N54" s="17">
        <v>153.24</v>
      </c>
      <c r="O54" s="19">
        <v>3115</v>
      </c>
      <c r="P54" s="1"/>
      <c r="Q54" s="1"/>
      <c r="R54" s="1"/>
      <c r="S54" s="1"/>
      <c r="T54" s="1"/>
      <c r="U54" s="1"/>
      <c r="V54" s="1"/>
      <c r="W54" s="1"/>
      <c r="X54" s="1"/>
      <c r="Y54" s="2"/>
      <c r="Z54" s="2"/>
      <c r="AA54" s="1"/>
      <c r="AB54" s="1"/>
      <c r="AC54" s="1"/>
      <c r="AD54" s="1"/>
      <c r="AE54" s="1"/>
    </row>
    <row r="55" spans="1:31" ht="17.7" x14ac:dyDescent="0.6">
      <c r="A55" s="16">
        <v>46008</v>
      </c>
      <c r="B55" s="17">
        <v>408.83</v>
      </c>
      <c r="C55" s="19">
        <v>8200</v>
      </c>
      <c r="D55" s="1"/>
      <c r="E55" s="16">
        <v>46008</v>
      </c>
      <c r="F55" s="17">
        <v>245.43</v>
      </c>
      <c r="G55" s="19">
        <v>4157</v>
      </c>
      <c r="H55" s="1"/>
      <c r="I55" s="16">
        <v>46008</v>
      </c>
      <c r="J55" s="17">
        <v>199.16</v>
      </c>
      <c r="K55" s="19">
        <v>3090</v>
      </c>
      <c r="L55" s="1"/>
      <c r="M55" s="16">
        <v>46008</v>
      </c>
      <c r="N55" s="17">
        <v>151.52000000000001</v>
      </c>
      <c r="O55" s="19">
        <v>3093</v>
      </c>
      <c r="P55" s="1"/>
      <c r="Q55" s="1"/>
      <c r="R55" s="1"/>
      <c r="S55" s="1"/>
      <c r="T55" s="1"/>
      <c r="U55" s="1"/>
      <c r="V55" s="1"/>
      <c r="W55" s="1"/>
      <c r="X55" s="1"/>
      <c r="Y55" s="2"/>
      <c r="Z55" s="2"/>
      <c r="AA55" s="1"/>
      <c r="AB55" s="1"/>
      <c r="AC55" s="1"/>
      <c r="AD55" s="1"/>
      <c r="AE55" s="1"/>
    </row>
    <row r="56" spans="1:31" ht="17.7" x14ac:dyDescent="0.6">
      <c r="A56" s="16">
        <v>46009</v>
      </c>
      <c r="B56" s="17">
        <v>678.2</v>
      </c>
      <c r="C56" s="19">
        <v>13935</v>
      </c>
      <c r="D56" s="1"/>
      <c r="E56" s="16">
        <v>46009</v>
      </c>
      <c r="F56" s="17">
        <v>285.94</v>
      </c>
      <c r="G56" s="19">
        <v>4828</v>
      </c>
      <c r="H56" s="1"/>
      <c r="I56" s="16">
        <v>46009</v>
      </c>
      <c r="J56" s="17">
        <v>302.20999999999998</v>
      </c>
      <c r="K56" s="19">
        <v>5224</v>
      </c>
      <c r="L56" s="1"/>
      <c r="M56" s="16">
        <v>46009</v>
      </c>
      <c r="N56" s="17">
        <v>150.19999999999999</v>
      </c>
      <c r="O56" s="19">
        <v>3105</v>
      </c>
      <c r="P56" s="1"/>
      <c r="Q56" s="1"/>
      <c r="R56" s="1"/>
      <c r="S56" s="1"/>
      <c r="T56" s="1"/>
      <c r="U56" s="1"/>
      <c r="V56" s="1"/>
      <c r="W56" s="1"/>
      <c r="X56" s="1"/>
      <c r="Y56" s="2"/>
      <c r="Z56" s="2"/>
      <c r="AA56" s="1"/>
      <c r="AB56" s="1"/>
      <c r="AC56" s="1"/>
      <c r="AD56" s="1"/>
      <c r="AE56" s="1"/>
    </row>
    <row r="57" spans="1:31" ht="17.7" x14ac:dyDescent="0.6">
      <c r="A57" s="16">
        <v>46010</v>
      </c>
      <c r="B57" s="17">
        <v>711.83</v>
      </c>
      <c r="C57" s="19">
        <v>14717</v>
      </c>
      <c r="D57" s="1"/>
      <c r="E57" s="16">
        <v>46010</v>
      </c>
      <c r="F57" s="17">
        <v>293.75</v>
      </c>
      <c r="G57" s="19">
        <v>4943</v>
      </c>
      <c r="H57" s="1"/>
      <c r="I57" s="16">
        <v>46010</v>
      </c>
      <c r="J57" s="17">
        <v>307.77</v>
      </c>
      <c r="K57" s="19">
        <v>5269</v>
      </c>
      <c r="L57" s="1"/>
      <c r="M57" s="16">
        <v>46010</v>
      </c>
      <c r="N57" s="17">
        <v>150.69999999999999</v>
      </c>
      <c r="O57" s="19">
        <v>3182</v>
      </c>
      <c r="P57" s="1"/>
      <c r="Q57" s="1"/>
      <c r="R57" s="1"/>
      <c r="S57" s="1"/>
      <c r="T57" s="1"/>
      <c r="U57" s="1"/>
      <c r="V57" s="1"/>
      <c r="W57" s="1"/>
      <c r="X57" s="1"/>
      <c r="Y57" s="2"/>
      <c r="Z57" s="2"/>
      <c r="AA57" s="1"/>
      <c r="AB57" s="1"/>
      <c r="AC57" s="1"/>
      <c r="AD57" s="1"/>
      <c r="AE57" s="1"/>
    </row>
    <row r="58" spans="1:31" ht="17.7" x14ac:dyDescent="0.6">
      <c r="A58" s="16">
        <v>46011</v>
      </c>
      <c r="B58" s="17">
        <v>713.56</v>
      </c>
      <c r="C58" s="19">
        <v>14757</v>
      </c>
      <c r="D58" s="1"/>
      <c r="E58" s="16">
        <v>46011</v>
      </c>
      <c r="F58" s="17">
        <v>296.56</v>
      </c>
      <c r="G58" s="19">
        <v>4992</v>
      </c>
      <c r="H58" s="1"/>
      <c r="I58" s="16">
        <v>46011</v>
      </c>
      <c r="J58" s="17">
        <v>328.87</v>
      </c>
      <c r="K58" s="19">
        <v>5342</v>
      </c>
      <c r="L58" s="1"/>
      <c r="M58" s="16">
        <v>46011</v>
      </c>
      <c r="N58" s="17">
        <v>153.11000000000001</v>
      </c>
      <c r="O58" s="19">
        <v>3207</v>
      </c>
      <c r="P58" s="1"/>
      <c r="Q58" s="1"/>
      <c r="R58" s="1"/>
      <c r="S58" s="1"/>
      <c r="T58" s="1"/>
      <c r="U58" s="1"/>
      <c r="V58" s="1"/>
      <c r="W58" s="1"/>
      <c r="X58" s="1"/>
      <c r="Y58" s="2"/>
      <c r="Z58" s="2"/>
      <c r="AA58" s="1"/>
      <c r="AB58" s="1"/>
      <c r="AC58" s="1"/>
      <c r="AD58" s="1"/>
      <c r="AE58" s="1"/>
    </row>
    <row r="59" spans="1:31" ht="17.7" x14ac:dyDescent="0.6">
      <c r="A59" s="16">
        <v>46012</v>
      </c>
      <c r="B59" s="17">
        <v>721.88</v>
      </c>
      <c r="C59" s="19">
        <v>14714</v>
      </c>
      <c r="D59" s="1"/>
      <c r="E59" s="16">
        <v>46012</v>
      </c>
      <c r="F59" s="17">
        <v>298.51</v>
      </c>
      <c r="G59" s="19">
        <v>4906</v>
      </c>
      <c r="H59" s="1"/>
      <c r="I59" s="16">
        <v>46012</v>
      </c>
      <c r="J59" s="17">
        <v>299.64999999999998</v>
      </c>
      <c r="K59" s="19">
        <v>5192</v>
      </c>
      <c r="L59" s="1"/>
      <c r="M59" s="16">
        <v>46012</v>
      </c>
      <c r="N59" s="17">
        <v>154.38999999999999</v>
      </c>
      <c r="O59" s="19">
        <v>3183</v>
      </c>
      <c r="P59" s="1"/>
      <c r="Q59" s="1"/>
      <c r="R59" s="1"/>
      <c r="S59" s="1"/>
      <c r="T59" s="1"/>
      <c r="U59" s="1"/>
      <c r="V59" s="1"/>
      <c r="W59" s="1"/>
      <c r="X59" s="1"/>
      <c r="Y59" s="2"/>
      <c r="Z59" s="2"/>
      <c r="AA59" s="1"/>
      <c r="AB59" s="1"/>
      <c r="AC59" s="1"/>
      <c r="AD59" s="1"/>
      <c r="AE59" s="1"/>
    </row>
    <row r="60" spans="1:31" ht="17.7" x14ac:dyDescent="0.6">
      <c r="A60" s="16">
        <v>46013</v>
      </c>
      <c r="B60" s="17">
        <v>595.72</v>
      </c>
      <c r="C60" s="19">
        <v>12133</v>
      </c>
      <c r="D60" s="1"/>
      <c r="E60" s="16">
        <v>46013</v>
      </c>
      <c r="F60" s="17">
        <v>301.32</v>
      </c>
      <c r="G60" s="19">
        <v>5156</v>
      </c>
      <c r="H60" s="1"/>
      <c r="I60" s="16">
        <v>46013</v>
      </c>
      <c r="J60" s="17">
        <v>341.36</v>
      </c>
      <c r="K60" s="19">
        <v>5523</v>
      </c>
      <c r="L60" s="1"/>
      <c r="M60" s="16">
        <v>46013</v>
      </c>
      <c r="N60" s="17">
        <v>164.75</v>
      </c>
      <c r="O60" s="19">
        <v>3390</v>
      </c>
      <c r="P60" s="1"/>
      <c r="Q60" s="1"/>
      <c r="R60" s="1"/>
      <c r="S60" s="1"/>
      <c r="T60" s="1"/>
      <c r="U60" s="1"/>
      <c r="V60" s="1"/>
      <c r="W60" s="1"/>
      <c r="X60" s="1"/>
      <c r="Y60" s="2"/>
      <c r="Z60" s="2"/>
      <c r="AA60" s="1"/>
      <c r="AB60" s="1"/>
      <c r="AC60" s="1"/>
      <c r="AD60" s="1"/>
      <c r="AE60" s="1"/>
    </row>
    <row r="61" spans="1:31" ht="17.7" x14ac:dyDescent="0.6">
      <c r="A61" s="16">
        <v>46014</v>
      </c>
      <c r="B61" s="17">
        <v>557.97</v>
      </c>
      <c r="C61" s="19">
        <v>11432</v>
      </c>
      <c r="D61" s="1"/>
      <c r="E61" s="16">
        <v>46014</v>
      </c>
      <c r="F61" s="17">
        <v>315.88</v>
      </c>
      <c r="G61" s="19">
        <v>5233</v>
      </c>
      <c r="H61" s="1"/>
      <c r="I61" s="16">
        <v>46014</v>
      </c>
      <c r="J61" s="17">
        <v>336.02</v>
      </c>
      <c r="K61" s="19">
        <v>5484</v>
      </c>
      <c r="L61" s="1"/>
      <c r="M61" s="16">
        <v>46014</v>
      </c>
      <c r="N61" s="17">
        <v>161.72</v>
      </c>
      <c r="O61" s="19">
        <v>3381</v>
      </c>
      <c r="P61" s="1"/>
      <c r="Q61" s="1"/>
      <c r="R61" s="1"/>
      <c r="S61" s="1"/>
      <c r="T61" s="1"/>
      <c r="U61" s="1"/>
      <c r="V61" s="1"/>
      <c r="W61" s="1"/>
      <c r="X61" s="1"/>
      <c r="Y61" s="2"/>
      <c r="Z61" s="2"/>
      <c r="AA61" s="1"/>
      <c r="AB61" s="1"/>
      <c r="AC61" s="1"/>
      <c r="AD61" s="1"/>
      <c r="AE61" s="1"/>
    </row>
    <row r="62" spans="1:31" ht="17.7" x14ac:dyDescent="0.6">
      <c r="A62" s="16">
        <v>46015</v>
      </c>
      <c r="B62" s="17">
        <v>533.91</v>
      </c>
      <c r="C62" s="19">
        <v>10843</v>
      </c>
      <c r="D62" s="1"/>
      <c r="E62" s="16">
        <v>46015</v>
      </c>
      <c r="F62" s="17">
        <v>279.93</v>
      </c>
      <c r="G62" s="19">
        <v>4737</v>
      </c>
      <c r="H62" s="1"/>
      <c r="I62" s="16">
        <v>46015</v>
      </c>
      <c r="J62" s="17">
        <v>314.95999999999998</v>
      </c>
      <c r="K62" s="19">
        <v>5142</v>
      </c>
      <c r="L62" s="1"/>
      <c r="M62" s="16">
        <v>46015</v>
      </c>
      <c r="N62" s="17">
        <v>148.18</v>
      </c>
      <c r="O62" s="19">
        <v>3039</v>
      </c>
      <c r="P62" s="1"/>
      <c r="Q62" s="1"/>
      <c r="R62" s="1"/>
      <c r="S62" s="1"/>
      <c r="T62" s="1"/>
      <c r="U62" s="1"/>
      <c r="V62" s="1"/>
      <c r="W62" s="1"/>
      <c r="X62" s="1"/>
      <c r="Y62" s="2"/>
      <c r="Z62" s="2"/>
      <c r="AA62" s="1"/>
      <c r="AB62" s="1"/>
      <c r="AC62" s="1"/>
      <c r="AD62" s="1"/>
      <c r="AE62" s="1"/>
    </row>
    <row r="63" spans="1:31" ht="17.7" x14ac:dyDescent="0.6">
      <c r="A63" s="16">
        <v>46016</v>
      </c>
      <c r="B63" s="17">
        <v>672.64</v>
      </c>
      <c r="C63" s="19">
        <v>13634</v>
      </c>
      <c r="D63" s="1"/>
      <c r="E63" s="16">
        <v>46016</v>
      </c>
      <c r="F63" s="17">
        <v>280.19</v>
      </c>
      <c r="G63" s="19">
        <v>4895</v>
      </c>
      <c r="H63" s="1"/>
      <c r="I63" s="16">
        <v>46016</v>
      </c>
      <c r="J63" s="17">
        <v>302.42</v>
      </c>
      <c r="K63" s="19">
        <v>5188</v>
      </c>
      <c r="L63" s="1"/>
      <c r="M63" s="16">
        <v>46016</v>
      </c>
      <c r="N63" s="17">
        <v>154.84</v>
      </c>
      <c r="O63" s="19">
        <v>3138</v>
      </c>
      <c r="P63" s="1"/>
      <c r="Q63" s="1"/>
      <c r="R63" s="1"/>
      <c r="S63" s="1"/>
      <c r="T63" s="1"/>
      <c r="U63" s="1"/>
      <c r="V63" s="1"/>
      <c r="W63" s="1"/>
      <c r="X63" s="1"/>
      <c r="Y63" s="2"/>
      <c r="Z63" s="2"/>
      <c r="AA63" s="1"/>
      <c r="AB63" s="1"/>
      <c r="AC63" s="1"/>
      <c r="AD63" s="1"/>
      <c r="AE63" s="1"/>
    </row>
    <row r="64" spans="1:31" ht="17.7" x14ac:dyDescent="0.6">
      <c r="A64" s="16">
        <v>46017</v>
      </c>
      <c r="B64" s="17">
        <v>665.87</v>
      </c>
      <c r="C64" s="19">
        <v>13413</v>
      </c>
      <c r="D64" s="1"/>
      <c r="E64" s="16">
        <v>46017</v>
      </c>
      <c r="F64" s="17">
        <v>278</v>
      </c>
      <c r="G64" s="19">
        <v>4718</v>
      </c>
      <c r="H64" s="1"/>
      <c r="I64" s="16">
        <v>46017</v>
      </c>
      <c r="J64" s="17">
        <v>297.13</v>
      </c>
      <c r="K64" s="19">
        <v>5047</v>
      </c>
      <c r="L64" s="1"/>
      <c r="M64" s="16">
        <v>46017</v>
      </c>
      <c r="N64" s="17">
        <v>151.33000000000001</v>
      </c>
      <c r="O64" s="19">
        <v>3052</v>
      </c>
      <c r="P64" s="1"/>
      <c r="Q64" s="1"/>
      <c r="R64" s="1"/>
      <c r="S64" s="1"/>
      <c r="T64" s="1"/>
      <c r="U64" s="1"/>
      <c r="V64" s="1"/>
      <c r="W64" s="1"/>
      <c r="X64" s="1"/>
      <c r="Y64" s="2"/>
      <c r="Z64" s="2"/>
      <c r="AA64" s="1"/>
      <c r="AB64" s="1"/>
      <c r="AC64" s="1"/>
      <c r="AD64" s="1"/>
      <c r="AE64" s="1"/>
    </row>
    <row r="65" spans="1:31" ht="17.7" x14ac:dyDescent="0.6">
      <c r="A65" s="16">
        <v>46018</v>
      </c>
      <c r="B65" s="17">
        <v>674.51</v>
      </c>
      <c r="C65" s="19">
        <v>13498</v>
      </c>
      <c r="D65" s="1"/>
      <c r="E65" s="16">
        <v>46018</v>
      </c>
      <c r="F65" s="17">
        <v>279.93</v>
      </c>
      <c r="G65" s="19">
        <v>4795</v>
      </c>
      <c r="H65" s="1"/>
      <c r="I65" s="16">
        <v>46018</v>
      </c>
      <c r="J65" s="17">
        <v>300.58</v>
      </c>
      <c r="K65" s="19">
        <v>5029</v>
      </c>
      <c r="L65" s="1"/>
      <c r="M65" s="16">
        <v>46018</v>
      </c>
      <c r="N65" s="17">
        <v>153.61000000000001</v>
      </c>
      <c r="O65" s="19">
        <v>3101</v>
      </c>
      <c r="P65" s="1"/>
      <c r="Q65" s="1"/>
      <c r="R65" s="1"/>
      <c r="S65" s="1"/>
      <c r="T65" s="1"/>
      <c r="U65" s="1"/>
      <c r="V65" s="1"/>
      <c r="W65" s="1"/>
      <c r="X65" s="1"/>
      <c r="Y65" s="2"/>
      <c r="Z65" s="2"/>
      <c r="AA65" s="1"/>
      <c r="AB65" s="1"/>
      <c r="AC65" s="1"/>
      <c r="AD65" s="1"/>
      <c r="AE65" s="1"/>
    </row>
    <row r="66" spans="1:31" ht="17.7" x14ac:dyDescent="0.6">
      <c r="A66" s="16">
        <v>46019</v>
      </c>
      <c r="B66" s="17">
        <v>677.18</v>
      </c>
      <c r="C66" s="19">
        <v>13455</v>
      </c>
      <c r="D66" s="1"/>
      <c r="E66" s="16">
        <v>46019</v>
      </c>
      <c r="F66" s="17">
        <v>265.35000000000002</v>
      </c>
      <c r="G66" s="19">
        <v>4690</v>
      </c>
      <c r="H66" s="1"/>
      <c r="I66" s="16">
        <v>46019</v>
      </c>
      <c r="J66" s="17">
        <v>298.74</v>
      </c>
      <c r="K66" s="19">
        <v>4963</v>
      </c>
      <c r="L66" s="1"/>
      <c r="M66" s="16">
        <v>46019</v>
      </c>
      <c r="N66" s="17">
        <v>152.11000000000001</v>
      </c>
      <c r="O66" s="19">
        <v>3043</v>
      </c>
      <c r="P66" s="1"/>
      <c r="Q66" s="1"/>
      <c r="R66" s="1"/>
      <c r="S66" s="1"/>
      <c r="T66" s="1"/>
      <c r="U66" s="1"/>
      <c r="V66" s="1"/>
      <c r="W66" s="1"/>
      <c r="X66" s="1"/>
      <c r="Y66" s="2"/>
      <c r="Z66" s="2"/>
      <c r="AA66" s="1"/>
      <c r="AB66" s="1"/>
      <c r="AC66" s="1"/>
      <c r="AD66" s="1"/>
      <c r="AE66" s="1"/>
    </row>
    <row r="67" spans="1:31" ht="17.7" x14ac:dyDescent="0.6">
      <c r="A67" s="16">
        <v>46020</v>
      </c>
      <c r="B67" s="17">
        <v>622.07000000000005</v>
      </c>
      <c r="C67" s="19">
        <v>12461</v>
      </c>
      <c r="D67" s="1"/>
      <c r="E67" s="16">
        <v>46020</v>
      </c>
      <c r="F67" s="17">
        <v>275.79000000000002</v>
      </c>
      <c r="G67" s="19">
        <v>4759</v>
      </c>
      <c r="H67" s="1"/>
      <c r="I67" s="16">
        <v>46020</v>
      </c>
      <c r="J67" s="17">
        <v>298.51</v>
      </c>
      <c r="K67" s="19">
        <v>4998</v>
      </c>
      <c r="L67" s="1"/>
      <c r="M67" s="16">
        <v>46020</v>
      </c>
      <c r="N67" s="17">
        <v>152.47999999999999</v>
      </c>
      <c r="O67" s="19">
        <v>3059</v>
      </c>
      <c r="P67" s="1"/>
      <c r="Q67" s="1"/>
      <c r="R67" s="1"/>
      <c r="S67" s="1"/>
      <c r="T67" s="1"/>
      <c r="U67" s="1"/>
      <c r="V67" s="1"/>
      <c r="W67" s="1"/>
      <c r="X67" s="1"/>
      <c r="Y67" s="2"/>
      <c r="Z67" s="2"/>
      <c r="AA67" s="1"/>
      <c r="AB67" s="1"/>
      <c r="AC67" s="1"/>
      <c r="AD67" s="1"/>
      <c r="AE67" s="1"/>
    </row>
    <row r="68" spans="1:31" ht="17.7" x14ac:dyDescent="0.6">
      <c r="A68" s="16">
        <v>46021</v>
      </c>
      <c r="B68" s="17">
        <v>522.91999999999996</v>
      </c>
      <c r="C68" s="19">
        <v>10615</v>
      </c>
      <c r="D68" s="1"/>
      <c r="E68" s="16">
        <v>46021</v>
      </c>
      <c r="F68" s="17">
        <v>265.39</v>
      </c>
      <c r="G68" s="19">
        <v>4562</v>
      </c>
      <c r="H68" s="1"/>
      <c r="I68" s="16">
        <v>46021</v>
      </c>
      <c r="J68" s="17">
        <v>299.3</v>
      </c>
      <c r="K68" s="19">
        <v>5080</v>
      </c>
      <c r="L68" s="1"/>
      <c r="M68" s="16">
        <v>46021</v>
      </c>
      <c r="N68" s="17">
        <v>145.29</v>
      </c>
      <c r="O68" s="19">
        <v>2936</v>
      </c>
      <c r="P68" s="1"/>
      <c r="Q68" s="1"/>
      <c r="R68" s="1"/>
      <c r="S68" s="1"/>
      <c r="T68" s="1"/>
      <c r="U68" s="1"/>
      <c r="V68" s="1"/>
      <c r="W68" s="1"/>
      <c r="X68" s="1"/>
      <c r="Y68" s="2"/>
      <c r="Z68" s="2"/>
      <c r="AA68" s="1"/>
      <c r="AB68" s="1"/>
      <c r="AC68" s="1"/>
      <c r="AD68" s="1"/>
      <c r="AE68" s="1"/>
    </row>
    <row r="69" spans="1:31" ht="17.7" x14ac:dyDescent="0.6">
      <c r="A69" s="16">
        <v>46022</v>
      </c>
      <c r="B69" s="17">
        <v>374.66</v>
      </c>
      <c r="C69" s="19">
        <v>7604</v>
      </c>
      <c r="D69" s="1"/>
      <c r="E69" s="16">
        <v>46022</v>
      </c>
      <c r="F69" s="17">
        <v>202.29</v>
      </c>
      <c r="G69" s="19">
        <v>2604</v>
      </c>
      <c r="H69" s="1"/>
      <c r="I69" s="16">
        <v>46022</v>
      </c>
      <c r="J69" s="17">
        <v>203.83</v>
      </c>
      <c r="K69" s="19">
        <v>3660</v>
      </c>
      <c r="L69" s="1"/>
      <c r="M69" s="16">
        <v>46022</v>
      </c>
      <c r="N69" s="17">
        <v>71.22</v>
      </c>
      <c r="O69" s="19">
        <v>1439</v>
      </c>
      <c r="P69" s="1"/>
      <c r="Q69" s="1"/>
      <c r="R69" s="1"/>
      <c r="S69" s="1"/>
      <c r="T69" s="1"/>
      <c r="U69" s="1"/>
      <c r="V69" s="1"/>
      <c r="W69" s="1"/>
      <c r="X69" s="1"/>
      <c r="Y69" s="2"/>
      <c r="Z69" s="2"/>
      <c r="AA69" s="1"/>
      <c r="AB69" s="1"/>
      <c r="AC69" s="1"/>
      <c r="AD69" s="1"/>
      <c r="AE69" s="1"/>
    </row>
    <row r="70" spans="1:31" ht="17.7" x14ac:dyDescent="0.6">
      <c r="A70" s="6" t="s">
        <v>46</v>
      </c>
      <c r="B70" s="20">
        <f>SUM(B39:B69)</f>
        <v>17300.259999999998</v>
      </c>
      <c r="C70" s="21">
        <v>349191</v>
      </c>
      <c r="D70" s="1"/>
      <c r="E70" s="22" t="s">
        <v>46</v>
      </c>
      <c r="F70" s="20">
        <f>SUM(F39:F69)</f>
        <v>7968.0300000000007</v>
      </c>
      <c r="G70" s="21">
        <v>132046</v>
      </c>
      <c r="H70" s="1"/>
      <c r="I70" s="22" t="s">
        <v>46</v>
      </c>
      <c r="J70" s="20">
        <f>SUM(J39:J69)</f>
        <v>7992.9899999999989</v>
      </c>
      <c r="K70" s="21">
        <v>134460</v>
      </c>
      <c r="L70" s="1"/>
      <c r="M70" s="22" t="s">
        <v>46</v>
      </c>
      <c r="N70" s="20">
        <v>4301</v>
      </c>
      <c r="O70" s="21">
        <v>87281</v>
      </c>
      <c r="P70" s="1"/>
      <c r="Q70" s="1"/>
      <c r="R70" s="1"/>
      <c r="S70" s="1"/>
      <c r="T70" s="1"/>
      <c r="U70" s="1"/>
      <c r="V70" s="1"/>
      <c r="W70" s="1"/>
      <c r="X70" s="1"/>
      <c r="Y70" s="2"/>
      <c r="Z70" s="2"/>
      <c r="AA70" s="1"/>
      <c r="AB70" s="1"/>
      <c r="AC70" s="1"/>
      <c r="AD70" s="1"/>
      <c r="AE70" s="1"/>
    </row>
    <row r="71" spans="1:31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2"/>
      <c r="AA71" s="1"/>
      <c r="AB71" s="1"/>
      <c r="AC71" s="1"/>
      <c r="AD71" s="1"/>
      <c r="AE71" s="1"/>
    </row>
    <row r="72" spans="1:31" x14ac:dyDescent="0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2"/>
      <c r="AA72" s="1"/>
      <c r="AB72" s="1"/>
      <c r="AC72" s="1"/>
      <c r="AD72" s="1"/>
      <c r="AE72" s="1"/>
    </row>
    <row r="73" spans="1:31" x14ac:dyDescent="0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2"/>
      <c r="AA73" s="1"/>
      <c r="AB73" s="1"/>
      <c r="AC73" s="1"/>
      <c r="AD73" s="1"/>
      <c r="AE73" s="1"/>
    </row>
    <row r="74" spans="1:31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2"/>
      <c r="AA74" s="1"/>
      <c r="AB74" s="1"/>
      <c r="AC74" s="1"/>
      <c r="AD74" s="1"/>
      <c r="AE74" s="1"/>
    </row>
    <row r="75" spans="1:31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2"/>
      <c r="AA75" s="1"/>
      <c r="AB75" s="1"/>
      <c r="AC75" s="1"/>
      <c r="AD75" s="1"/>
      <c r="AE75" s="1"/>
    </row>
    <row r="76" spans="1:31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2"/>
      <c r="AA76" s="1"/>
      <c r="AB76" s="1"/>
      <c r="AC76" s="1"/>
      <c r="AD76" s="1"/>
      <c r="AE76" s="1"/>
    </row>
    <row r="77" spans="1:31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2"/>
      <c r="AA77" s="1"/>
      <c r="AB77" s="1"/>
      <c r="AC77" s="1"/>
      <c r="AD77" s="1"/>
      <c r="AE77" s="1"/>
    </row>
    <row r="78" spans="1:31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1"/>
      <c r="AB78" s="1"/>
      <c r="AC78" s="1"/>
      <c r="AD78" s="1"/>
      <c r="AE78" s="1"/>
    </row>
    <row r="79" spans="1:31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  <c r="AA79" s="1"/>
      <c r="AB79" s="1"/>
      <c r="AC79" s="1"/>
      <c r="AD79" s="1"/>
      <c r="AE79" s="1"/>
    </row>
    <row r="80" spans="1:31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1"/>
      <c r="AB80" s="1"/>
      <c r="AC80" s="1"/>
      <c r="AD80" s="1"/>
      <c r="AE80" s="1"/>
    </row>
    <row r="81" spans="1:31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1"/>
      <c r="AB81" s="1"/>
      <c r="AC81" s="1"/>
      <c r="AD81" s="1"/>
      <c r="AE81" s="1"/>
    </row>
    <row r="82" spans="1:31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1"/>
      <c r="AB82" s="1"/>
      <c r="AC82" s="1"/>
      <c r="AD82" s="1"/>
      <c r="AE82" s="1"/>
    </row>
    <row r="83" spans="1:31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1"/>
      <c r="AB83" s="1"/>
      <c r="AC83" s="1"/>
      <c r="AD83" s="1"/>
      <c r="AE83" s="1"/>
    </row>
    <row r="84" spans="1:31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1"/>
      <c r="AB84" s="1"/>
      <c r="AC84" s="1"/>
      <c r="AD84" s="1"/>
      <c r="AE84" s="1"/>
    </row>
    <row r="85" spans="1:31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1"/>
      <c r="AB85" s="1"/>
      <c r="AC85" s="1"/>
      <c r="AD85" s="1"/>
      <c r="AE85" s="1"/>
    </row>
    <row r="86" spans="1:31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1"/>
      <c r="AB86" s="1"/>
      <c r="AC86" s="1"/>
      <c r="AD86" s="1"/>
      <c r="AE86" s="1"/>
    </row>
    <row r="87" spans="1:31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1"/>
      <c r="AB87" s="1"/>
      <c r="AC87" s="1"/>
      <c r="AD87" s="1"/>
      <c r="AE87" s="1"/>
    </row>
    <row r="88" spans="1:31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1"/>
      <c r="AB88" s="1"/>
      <c r="AC88" s="1"/>
      <c r="AD88" s="1"/>
      <c r="AE88" s="1"/>
    </row>
    <row r="89" spans="1:31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1"/>
      <c r="AB89" s="1"/>
      <c r="AC89" s="1"/>
      <c r="AD89" s="1"/>
      <c r="AE89" s="1"/>
    </row>
    <row r="90" spans="1:31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1"/>
      <c r="AB90" s="1"/>
      <c r="AC90" s="1"/>
      <c r="AD90" s="1"/>
      <c r="AE90" s="1"/>
    </row>
    <row r="91" spans="1:31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1"/>
      <c r="AB91" s="1"/>
      <c r="AC91" s="1"/>
      <c r="AD91" s="1"/>
      <c r="AE91" s="1"/>
    </row>
    <row r="92" spans="1:31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1"/>
      <c r="AB92" s="1"/>
      <c r="AC92" s="1"/>
      <c r="AD92" s="1"/>
      <c r="AE92" s="1"/>
    </row>
    <row r="93" spans="1:31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1"/>
      <c r="AB93" s="1"/>
      <c r="AC93" s="1"/>
      <c r="AD93" s="1"/>
      <c r="AE93" s="1"/>
    </row>
    <row r="94" spans="1:31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1"/>
      <c r="AB94" s="1"/>
      <c r="AC94" s="1"/>
      <c r="AD94" s="1"/>
      <c r="AE94" s="1"/>
    </row>
    <row r="95" spans="1:31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1"/>
      <c r="AB95" s="1"/>
      <c r="AC95" s="1"/>
      <c r="AD95" s="1"/>
      <c r="AE95" s="1"/>
    </row>
    <row r="96" spans="1:31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1"/>
      <c r="AB96" s="1"/>
      <c r="AC96" s="1"/>
      <c r="AD96" s="1"/>
      <c r="AE96" s="1"/>
    </row>
    <row r="97" spans="1:31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1"/>
      <c r="AB97" s="1"/>
      <c r="AC97" s="1"/>
      <c r="AD97" s="1"/>
      <c r="AE97" s="1"/>
    </row>
    <row r="98" spans="1:31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1"/>
      <c r="AB98" s="1"/>
      <c r="AC98" s="1"/>
      <c r="AD98" s="1"/>
      <c r="AE98" s="1"/>
    </row>
    <row r="99" spans="1:31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</row>
    <row r="100" spans="1:31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</row>
    <row r="101" spans="1:31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</row>
    <row r="102" spans="1:31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</row>
    <row r="103" spans="1:31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</row>
    <row r="104" spans="1:31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</row>
    <row r="105" spans="1:31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</row>
    <row r="106" spans="1:31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</row>
    <row r="107" spans="1:31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</row>
    <row r="108" spans="1:31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</row>
    <row r="109" spans="1:31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</row>
    <row r="110" spans="1:31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</row>
    <row r="111" spans="1:31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</row>
    <row r="112" spans="1:31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</row>
    <row r="113" spans="1:31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</row>
    <row r="114" spans="1:31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</row>
    <row r="115" spans="1:31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Zammit</dc:creator>
  <cp:lastModifiedBy>P M</cp:lastModifiedBy>
  <dcterms:created xsi:type="dcterms:W3CDTF">2026-01-16T19:03:22Z</dcterms:created>
  <dcterms:modified xsi:type="dcterms:W3CDTF">2026-01-17T00:52:36Z</dcterms:modified>
</cp:coreProperties>
</file>