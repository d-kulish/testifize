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O:\Marketing Team\Marketing\MarketingMediaData\Media Reports - August - 25\"/>
    </mc:Choice>
  </mc:AlternateContent>
  <xr:revisionPtr revIDLastSave="0" documentId="8_{1831678B-6B77-4D65-9FD0-02A7A00C401F}" xr6:coauthVersionLast="47" xr6:coauthVersionMax="47" xr10:uidLastSave="{00000000-0000-0000-0000-000000000000}"/>
  <bookViews>
    <workbookView xWindow="-120" yWindow="-120" windowWidth="21840" windowHeight="11190" xr2:uid="{5CE0257D-4904-49C4-A16F-74793FCC5D23}"/>
  </bookViews>
  <sheets>
    <sheet name="AdTaxi - Augu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2" i="1" l="1"/>
  <c r="F2" i="1"/>
  <c r="D2" i="1"/>
  <c r="C2" i="1"/>
  <c r="B2" i="1"/>
  <c r="G2" i="1" s="1"/>
</calcChain>
</file>

<file path=xl/sharedStrings.xml><?xml version="1.0" encoding="utf-8"?>
<sst xmlns="http://schemas.openxmlformats.org/spreadsheetml/2006/main" count="9" uniqueCount="9">
  <si>
    <t>Month / Day</t>
  </si>
  <si>
    <t>Ad Spend</t>
  </si>
  <si>
    <t>Impressions</t>
  </si>
  <si>
    <t>Clicks</t>
  </si>
  <si>
    <t>CTR</t>
  </si>
  <si>
    <t>Sign Ups</t>
  </si>
  <si>
    <t>Cost Per Sign Up</t>
  </si>
  <si>
    <t>Engaged Site Visits</t>
  </si>
  <si>
    <t>August 28-Sept 1,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</si>
</sst>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"/>
    <numFmt numFmtId="165" formatCode="mm/dd/yyyy"/>
  </numFmts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b/>
      <sz val="10"/>
      <color theme="1"/>
      <name val="Calibri"/>
    </font>
    <font>
      <sz val="10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C4587"/>
        <bgColor rgb="FF1C4587"/>
      </patternFill>
    </fill>
    <fill>
      <patternFill patternType="solid">
        <fgColor rgb="FFEFEFEF"/>
        <bgColor rgb="FFEFEFEF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/>
    </xf>
    <xf numFmtId="164" fontId="1" fillId="2" borderId="0" xfId="0" applyNumberFormat="1" applyFont="1" applyFill="1" applyAlignment="1">
      <alignment horizontal="right"/>
    </xf>
    <xf numFmtId="3" fontId="1" fillId="2" borderId="0" xfId="0" applyNumberFormat="1" applyFont="1" applyFill="1" applyAlignment="1">
      <alignment horizontal="right"/>
    </xf>
    <xf numFmtId="10" fontId="1" fillId="2" borderId="0" xfId="0" applyNumberFormat="1" applyFont="1" applyFill="1" applyAlignment="1">
      <alignment horizontal="right"/>
    </xf>
    <xf numFmtId="0" fontId="1" fillId="2" borderId="0" xfId="0" applyFont="1" applyFill="1" applyAlignment="1">
      <alignment horizontal="right"/>
    </xf>
    <xf numFmtId="0" fontId="2" fillId="3" borderId="1" xfId="0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right"/>
    </xf>
    <xf numFmtId="3" fontId="2" fillId="3" borderId="1" xfId="0" applyNumberFormat="1" applyFont="1" applyFill="1" applyBorder="1" applyAlignment="1">
      <alignment horizontal="right"/>
    </xf>
    <xf numFmtId="10" fontId="2" fillId="3" borderId="1" xfId="0" applyNumberFormat="1" applyFont="1" applyFill="1" applyBorder="1" applyAlignment="1">
      <alignment horizontal="right"/>
    </xf>
    <xf numFmtId="165" fontId="3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right"/>
    </xf>
    <xf numFmtId="3" fontId="3" fillId="0" borderId="0" xfId="0" applyNumberFormat="1" applyFont="1" applyAlignment="1">
      <alignment horizontal="right"/>
    </xf>
    <xf numFmtId="10" fontId="3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5FB9F-3AE2-44B4-BBD9-9888393BCF0A}">
  <dimension ref="A1:H7"/>
  <sheetViews>
    <sheetView tabSelected="1" workbookViewId="0">
      <selection activeCell="B12" sqref="B12"/>
    </sheetView>
  </sheetViews>
  <sheetFormatPr defaultColWidth="12.5703125" defaultRowHeight="15.75" customHeight="1" x14ac:dyDescent="0.25"/>
  <cols>
    <col min="1" max="1" width="21.42578125" customWidth="1"/>
    <col min="7" max="8" width="17.7109375" customWidth="1"/>
  </cols>
  <sheetData>
    <row r="1" spans="1:8" ht="15" x14ac:dyDescent="0.25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5" t="s">
        <v>6</v>
      </c>
      <c r="H1" s="3" t="s">
        <v>7</v>
      </c>
    </row>
    <row r="2" spans="1:8" ht="15" x14ac:dyDescent="0.25">
      <c r="A2" s="6" t="s">
        <v>8</v>
      </c>
      <c r="B2" s="7">
        <f t="shared" ref="B2:D2" si="0">SUM(B3:B7)</f>
        <v>4999.92</v>
      </c>
      <c r="C2" s="8">
        <f t="shared" si="0"/>
        <v>714214</v>
      </c>
      <c r="D2" s="8">
        <f t="shared" si="0"/>
        <v>268</v>
      </c>
      <c r="E2" s="9">
        <v>3.8000000000000002E-4</v>
      </c>
      <c r="F2" s="8">
        <f>SUM(F3:F7)</f>
        <v>76</v>
      </c>
      <c r="G2" s="7">
        <f>B2/F2</f>
        <v>65.788421052631577</v>
      </c>
      <c r="H2" s="8">
        <f>SUM(H3:H7)</f>
        <v>32515</v>
      </c>
    </row>
    <row r="3" spans="1:8" ht="15" x14ac:dyDescent="0.25">
      <c r="A3" s="10">
        <v>45901</v>
      </c>
      <c r="B3" s="11">
        <v>5.3</v>
      </c>
      <c r="C3" s="12">
        <v>1201</v>
      </c>
      <c r="D3" s="12">
        <v>0</v>
      </c>
      <c r="E3" s="13">
        <v>0</v>
      </c>
      <c r="F3" s="12">
        <v>17</v>
      </c>
      <c r="G3" s="11">
        <v>17</v>
      </c>
      <c r="H3" s="12">
        <v>5636</v>
      </c>
    </row>
    <row r="4" spans="1:8" ht="15" x14ac:dyDescent="0.25">
      <c r="A4" s="10">
        <v>45900</v>
      </c>
      <c r="B4" s="11">
        <v>828.25</v>
      </c>
      <c r="C4" s="12">
        <v>135527</v>
      </c>
      <c r="D4" s="12">
        <v>52</v>
      </c>
      <c r="E4" s="13">
        <v>3.8000000000000002E-4</v>
      </c>
      <c r="F4" s="12">
        <v>6</v>
      </c>
      <c r="G4" s="11">
        <v>6</v>
      </c>
      <c r="H4" s="12">
        <v>6975</v>
      </c>
    </row>
    <row r="5" spans="1:8" ht="15" x14ac:dyDescent="0.25">
      <c r="A5" s="10">
        <v>45899</v>
      </c>
      <c r="B5" s="11">
        <v>1200.71</v>
      </c>
      <c r="C5" s="12">
        <v>186381</v>
      </c>
      <c r="D5" s="12">
        <v>62</v>
      </c>
      <c r="E5" s="13">
        <v>3.3E-4</v>
      </c>
      <c r="F5" s="12">
        <v>19</v>
      </c>
      <c r="G5" s="11">
        <v>19</v>
      </c>
      <c r="H5" s="12">
        <v>9362</v>
      </c>
    </row>
    <row r="6" spans="1:8" ht="15" x14ac:dyDescent="0.25">
      <c r="A6" s="10">
        <v>45898</v>
      </c>
      <c r="B6" s="11">
        <v>1385.45</v>
      </c>
      <c r="C6" s="12">
        <v>216128</v>
      </c>
      <c r="D6" s="12">
        <v>73</v>
      </c>
      <c r="E6" s="13">
        <v>3.4000000000000002E-4</v>
      </c>
      <c r="F6" s="12">
        <v>18</v>
      </c>
      <c r="G6" s="11">
        <v>18</v>
      </c>
      <c r="H6" s="12">
        <v>5697</v>
      </c>
    </row>
    <row r="7" spans="1:8" ht="15" x14ac:dyDescent="0.25">
      <c r="A7" s="10">
        <v>45897</v>
      </c>
      <c r="B7" s="11">
        <v>1580.21</v>
      </c>
      <c r="C7" s="12">
        <v>174977</v>
      </c>
      <c r="D7" s="12">
        <v>81</v>
      </c>
      <c r="E7" s="13">
        <v>4.6000000000000001E-4</v>
      </c>
      <c r="F7" s="12">
        <v>16</v>
      </c>
      <c r="G7" s="11">
        <v>16</v>
      </c>
      <c r="H7" s="12">
        <v>4845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AdTaxi - August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tim.anderson@commissionkings.ag</dc:creator>
  <cp:lastModifiedBy>tim.anderson@commissionkings.ag</cp:lastModifiedBy>
  <dcterms:created xsi:type="dcterms:W3CDTF">2025-09-11T18:38:35Z</dcterms:created>
  <dcterms:modified xsi:type="dcterms:W3CDTF">2025-09-11T18:39:37Z</dcterms:modified>
</cp:coreProperties>
</file>