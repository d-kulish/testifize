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Media Reports_Stats\Media Reports - April - 25\Media Reports - June - 25\"/>
    </mc:Choice>
  </mc:AlternateContent>
  <xr:revisionPtr revIDLastSave="0" documentId="8_{F7BBAEB2-46DD-476D-AB5C-C57E0D40B300}" xr6:coauthVersionLast="47" xr6:coauthVersionMax="47" xr10:uidLastSave="{00000000-0000-0000-0000-000000000000}"/>
  <bookViews>
    <workbookView xWindow="-120" yWindow="-120" windowWidth="21780" windowHeight="11190" xr2:uid="{00000000-000D-0000-FFFF-FFFF00000000}"/>
  </bookViews>
  <sheets>
    <sheet name="June 2025" sheetId="1" r:id="rId1"/>
    <sheet name="May 20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2" l="1"/>
  <c r="I40" i="2"/>
  <c r="G40" i="2"/>
  <c r="K39" i="2"/>
  <c r="I39" i="2"/>
  <c r="G39" i="2"/>
  <c r="K38" i="2"/>
  <c r="I38" i="2"/>
  <c r="G38" i="2"/>
  <c r="K37" i="2"/>
  <c r="I37" i="2"/>
  <c r="G37" i="2"/>
  <c r="K33" i="2"/>
  <c r="I33" i="2"/>
  <c r="G33" i="2"/>
  <c r="K32" i="2"/>
  <c r="I32" i="2"/>
  <c r="G32" i="2"/>
  <c r="K31" i="2"/>
  <c r="I31" i="2"/>
  <c r="G31" i="2"/>
  <c r="K30" i="2"/>
  <c r="I30" i="2"/>
  <c r="G30" i="2"/>
  <c r="K29" i="2"/>
  <c r="I29" i="2"/>
  <c r="K28" i="2"/>
  <c r="I28" i="2"/>
  <c r="G28" i="2"/>
  <c r="K27" i="2"/>
  <c r="I27" i="2"/>
  <c r="G27" i="2"/>
  <c r="K26" i="2"/>
  <c r="I26" i="2"/>
  <c r="G26" i="2"/>
  <c r="K25" i="2"/>
  <c r="I25" i="2"/>
  <c r="G25" i="2"/>
  <c r="K24" i="2"/>
  <c r="I24" i="2"/>
  <c r="G24" i="2"/>
  <c r="K23" i="2"/>
  <c r="I23" i="2"/>
  <c r="G23" i="2"/>
  <c r="K22" i="2"/>
  <c r="I22" i="2"/>
  <c r="G22" i="2"/>
  <c r="K21" i="2"/>
  <c r="I21" i="2"/>
  <c r="G21" i="2"/>
  <c r="K20" i="2"/>
  <c r="I20" i="2"/>
  <c r="G20" i="2"/>
  <c r="K19" i="2"/>
  <c r="I19" i="2"/>
  <c r="G19" i="2"/>
  <c r="K18" i="2"/>
  <c r="I18" i="2"/>
  <c r="G18" i="2"/>
  <c r="K17" i="2"/>
  <c r="I17" i="2"/>
  <c r="G17" i="2"/>
  <c r="K16" i="2"/>
  <c r="I16" i="2"/>
  <c r="G16" i="2"/>
  <c r="K15" i="2"/>
  <c r="I15" i="2"/>
  <c r="G15" i="2"/>
  <c r="K14" i="2"/>
  <c r="I14" i="2"/>
  <c r="G14" i="2"/>
  <c r="K13" i="2"/>
  <c r="I13" i="2"/>
  <c r="G13" i="2"/>
  <c r="K12" i="2"/>
  <c r="I12" i="2"/>
  <c r="G12" i="2"/>
  <c r="K11" i="2"/>
  <c r="I11" i="2"/>
  <c r="K10" i="2"/>
  <c r="I10" i="2"/>
  <c r="G10" i="2"/>
  <c r="K9" i="2"/>
  <c r="I9" i="2"/>
  <c r="G9" i="2"/>
  <c r="K8" i="2"/>
  <c r="I8" i="2"/>
  <c r="G8" i="2"/>
  <c r="K7" i="2"/>
  <c r="I7" i="2"/>
  <c r="G7" i="2"/>
  <c r="K6" i="2"/>
  <c r="I6" i="2"/>
  <c r="G6" i="2"/>
  <c r="K5" i="2"/>
  <c r="I5" i="2"/>
  <c r="G5" i="2"/>
  <c r="K4" i="2"/>
  <c r="I4" i="2"/>
  <c r="G4" i="2"/>
  <c r="K3" i="2"/>
  <c r="I3" i="2"/>
  <c r="G3" i="2"/>
  <c r="K2" i="2"/>
  <c r="I2" i="2"/>
  <c r="G2" i="2"/>
  <c r="K40" i="1"/>
  <c r="I40" i="1"/>
  <c r="G40" i="1"/>
  <c r="K39" i="1"/>
  <c r="I39" i="1"/>
  <c r="G39" i="1"/>
  <c r="K38" i="1"/>
  <c r="I38" i="1"/>
  <c r="G38" i="1"/>
  <c r="K37" i="1"/>
  <c r="I37" i="1"/>
  <c r="G37" i="1"/>
  <c r="K36" i="1"/>
  <c r="I36" i="1"/>
  <c r="G36" i="1"/>
  <c r="K35" i="1"/>
  <c r="I35" i="1"/>
  <c r="G35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22" i="1"/>
  <c r="I22" i="1"/>
  <c r="G22" i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  <c r="K7" i="1"/>
  <c r="I7" i="1"/>
  <c r="G7" i="1"/>
  <c r="K6" i="1"/>
  <c r="I6" i="1"/>
  <c r="G6" i="1"/>
  <c r="K5" i="1"/>
  <c r="I5" i="1"/>
  <c r="G5" i="1"/>
  <c r="K4" i="1"/>
  <c r="I4" i="1"/>
  <c r="G4" i="1"/>
  <c r="K3" i="1"/>
  <c r="I3" i="1"/>
  <c r="G3" i="1"/>
  <c r="K2" i="1"/>
  <c r="I2" i="1"/>
  <c r="G2" i="1"/>
</calcChain>
</file>

<file path=xl/sharedStrings.xml><?xml version="1.0" encoding="utf-8"?>
<sst xmlns="http://schemas.openxmlformats.org/spreadsheetml/2006/main" count="54" uniqueCount="20">
  <si>
    <t>Month / Day</t>
  </si>
  <si>
    <t>Ad Spend</t>
  </si>
  <si>
    <t>Impressions</t>
  </si>
  <si>
    <t>Clicks</t>
  </si>
  <si>
    <t>CTR</t>
  </si>
  <si>
    <t>Sign Ups</t>
  </si>
  <si>
    <t>Cost Per Sign Up</t>
  </si>
  <si>
    <t>Engaged Site Visits</t>
  </si>
  <si>
    <t>Cost Per Engaged Visit</t>
  </si>
  <si>
    <t>Site Visits</t>
  </si>
  <si>
    <t>Cost Per Site Visit</t>
  </si>
  <si>
    <t>Audience</t>
  </si>
  <si>
    <t>BT - Sports Betting/Casinos</t>
  </si>
  <si>
    <t>BT - NBA</t>
  </si>
  <si>
    <t>Predictive</t>
  </si>
  <si>
    <t>RT - All</t>
  </si>
  <si>
    <t>RT - Join Begin</t>
  </si>
  <si>
    <t>--</t>
  </si>
  <si>
    <t>Behavioral</t>
  </si>
  <si>
    <t>Retargeting 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</si>
</sst>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&quot;$&quot;#,##0.00"/>
    <numFmt numFmtId="166" formatCode="mmmm\ yyyy"/>
    <numFmt numFmtId="167" formatCode="&quot;$&quot;#,##0.000"/>
    <numFmt numFmtId="168" formatCode="mm/dd/yyyy"/>
  </numFmts>
  <fonts count="6" x14ac:knownFonts="1">
    <font>
      <sz val="10"/>
      <color rgb="FF000000"/>
      <name val="Arial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3" fontId="1" fillId="2" borderId="0" xfId="0" applyNumberFormat="1" applyFont="1" applyFill="1" applyAlignment="1">
      <alignment horizontal="right"/>
    </xf>
    <xf numFmtId="10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6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7" fontId="2" fillId="3" borderId="1" xfId="0" applyNumberFormat="1" applyFont="1" applyFill="1" applyBorder="1" applyAlignment="1">
      <alignment horizontal="right"/>
    </xf>
    <xf numFmtId="168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0" xfId="0" applyNumberFormat="1" applyFont="1"/>
    <xf numFmtId="166" fontId="2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4" fillId="0" borderId="0" xfId="0" applyFont="1" applyAlignment="1"/>
    <xf numFmtId="10" fontId="4" fillId="0" borderId="0" xfId="0" applyNumberFormat="1" applyFont="1" applyAlignme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 applyAlignment="1"/>
    <xf numFmtId="16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1"/>
  <sheetViews>
    <sheetView tabSelected="1" workbookViewId="0"/>
  </sheetViews>
  <sheetFormatPr defaultColWidth="12.5703125" defaultRowHeight="15.75" customHeight="1" x14ac:dyDescent="0.2"/>
  <cols>
    <col min="1" max="1" width="25.7109375" customWidth="1"/>
    <col min="2" max="8" width="17.28515625" customWidth="1"/>
    <col min="9" max="9" width="21.42578125" customWidth="1"/>
    <col min="10" max="12" width="17.2851562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spans="1:11" x14ac:dyDescent="0.2">
      <c r="A2" s="7">
        <v>45809</v>
      </c>
      <c r="B2" s="8">
        <v>9997.15</v>
      </c>
      <c r="C2" s="9">
        <v>1873189</v>
      </c>
      <c r="D2" s="9">
        <v>1087</v>
      </c>
      <c r="E2" s="10">
        <v>5.8E-4</v>
      </c>
      <c r="F2" s="9">
        <v>637</v>
      </c>
      <c r="G2" s="8">
        <f t="shared" ref="G2:G32" si="0">B2/F2</f>
        <v>15.694113029827315</v>
      </c>
      <c r="H2" s="9">
        <v>242208</v>
      </c>
      <c r="I2" s="11">
        <f t="shared" ref="I2:I32" si="1">B2/H2</f>
        <v>4.1275061104505219E-2</v>
      </c>
      <c r="J2" s="9">
        <v>636384</v>
      </c>
      <c r="K2" s="12">
        <f t="shared" ref="K2:K32" si="2">D2/J2</f>
        <v>1.7080881983205108E-3</v>
      </c>
    </row>
    <row r="3" spans="1:11" x14ac:dyDescent="0.2">
      <c r="A3" s="13">
        <v>45838</v>
      </c>
      <c r="B3" s="14">
        <v>213.54</v>
      </c>
      <c r="C3" s="15">
        <v>52037</v>
      </c>
      <c r="D3" s="15">
        <v>55</v>
      </c>
      <c r="E3" s="16">
        <v>1.06E-3</v>
      </c>
      <c r="F3" s="15">
        <v>14</v>
      </c>
      <c r="G3" s="14">
        <f t="shared" si="0"/>
        <v>15.252857142857142</v>
      </c>
      <c r="H3" s="15">
        <v>5926</v>
      </c>
      <c r="I3" s="17">
        <f t="shared" si="1"/>
        <v>3.6034424569692879E-2</v>
      </c>
      <c r="J3" s="15">
        <v>15432</v>
      </c>
      <c r="K3" s="18">
        <f t="shared" si="2"/>
        <v>3.5640228097459825E-3</v>
      </c>
    </row>
    <row r="4" spans="1:11" x14ac:dyDescent="0.2">
      <c r="A4" s="13">
        <v>45837</v>
      </c>
      <c r="B4" s="14">
        <v>285.95999999999998</v>
      </c>
      <c r="C4" s="15">
        <v>51199</v>
      </c>
      <c r="D4" s="15">
        <v>63</v>
      </c>
      <c r="E4" s="16">
        <v>1.23E-3</v>
      </c>
      <c r="F4" s="15">
        <v>12</v>
      </c>
      <c r="G4" s="14">
        <f t="shared" si="0"/>
        <v>23.83</v>
      </c>
      <c r="H4" s="15">
        <v>7206</v>
      </c>
      <c r="I4" s="17">
        <f t="shared" si="1"/>
        <v>3.9683597002497913E-2</v>
      </c>
      <c r="J4" s="15">
        <v>21839</v>
      </c>
      <c r="K4" s="18">
        <f t="shared" si="2"/>
        <v>2.8847474701222584E-3</v>
      </c>
    </row>
    <row r="5" spans="1:11" x14ac:dyDescent="0.2">
      <c r="A5" s="13">
        <v>45836</v>
      </c>
      <c r="B5" s="14">
        <v>303.99</v>
      </c>
      <c r="C5" s="15">
        <v>44278</v>
      </c>
      <c r="D5" s="15">
        <v>57</v>
      </c>
      <c r="E5" s="16">
        <v>1.2899999999999999E-3</v>
      </c>
      <c r="F5" s="15">
        <v>16</v>
      </c>
      <c r="G5" s="14">
        <f t="shared" si="0"/>
        <v>18.999375000000001</v>
      </c>
      <c r="H5" s="15">
        <v>11355</v>
      </c>
      <c r="I5" s="17">
        <f t="shared" si="1"/>
        <v>2.6771466314398945E-2</v>
      </c>
      <c r="J5" s="15">
        <v>37405</v>
      </c>
      <c r="K5" s="18">
        <f t="shared" si="2"/>
        <v>1.5238604464643765E-3</v>
      </c>
    </row>
    <row r="6" spans="1:11" x14ac:dyDescent="0.2">
      <c r="A6" s="13">
        <v>45835</v>
      </c>
      <c r="B6" s="14">
        <v>369.12</v>
      </c>
      <c r="C6" s="15">
        <v>60726</v>
      </c>
      <c r="D6" s="15">
        <v>83</v>
      </c>
      <c r="E6" s="16">
        <v>1.3699999999999999E-3</v>
      </c>
      <c r="F6" s="15">
        <v>12</v>
      </c>
      <c r="G6" s="14">
        <f t="shared" si="0"/>
        <v>30.76</v>
      </c>
      <c r="H6" s="15">
        <v>6775</v>
      </c>
      <c r="I6" s="17">
        <f t="shared" si="1"/>
        <v>5.448265682656827E-2</v>
      </c>
      <c r="J6" s="15">
        <v>18346</v>
      </c>
      <c r="K6" s="18">
        <f t="shared" si="2"/>
        <v>4.5241469530142809E-3</v>
      </c>
    </row>
    <row r="7" spans="1:11" x14ac:dyDescent="0.2">
      <c r="A7" s="13">
        <v>45834</v>
      </c>
      <c r="B7" s="14">
        <v>351.84</v>
      </c>
      <c r="C7" s="15">
        <v>61081</v>
      </c>
      <c r="D7" s="15">
        <v>77</v>
      </c>
      <c r="E7" s="16">
        <v>1.2600000000000001E-3</v>
      </c>
      <c r="F7" s="15">
        <v>12</v>
      </c>
      <c r="G7" s="14">
        <f t="shared" si="0"/>
        <v>29.319999999999997</v>
      </c>
      <c r="H7" s="15">
        <v>6197</v>
      </c>
      <c r="I7" s="17">
        <f t="shared" si="1"/>
        <v>5.6775859286751648E-2</v>
      </c>
      <c r="J7" s="15">
        <v>15554</v>
      </c>
      <c r="K7" s="18">
        <f t="shared" si="2"/>
        <v>4.9504950495049506E-3</v>
      </c>
    </row>
    <row r="8" spans="1:11" x14ac:dyDescent="0.2">
      <c r="A8" s="13">
        <v>45833</v>
      </c>
      <c r="B8" s="14">
        <v>369.9</v>
      </c>
      <c r="C8" s="15">
        <v>61000</v>
      </c>
      <c r="D8" s="15">
        <v>68</v>
      </c>
      <c r="E8" s="16">
        <v>1.1100000000000001E-3</v>
      </c>
      <c r="F8" s="15">
        <v>13</v>
      </c>
      <c r="G8" s="14">
        <f t="shared" si="0"/>
        <v>28.45384615384615</v>
      </c>
      <c r="H8" s="15">
        <v>6558</v>
      </c>
      <c r="I8" s="17">
        <f t="shared" si="1"/>
        <v>5.6404391582799633E-2</v>
      </c>
      <c r="J8" s="15">
        <v>19569</v>
      </c>
      <c r="K8" s="18">
        <f t="shared" si="2"/>
        <v>3.4748837446982473E-3</v>
      </c>
    </row>
    <row r="9" spans="1:11" x14ac:dyDescent="0.2">
      <c r="A9" s="13">
        <v>45832</v>
      </c>
      <c r="B9" s="14">
        <v>400.63</v>
      </c>
      <c r="C9" s="15">
        <v>68376</v>
      </c>
      <c r="D9" s="15">
        <v>73</v>
      </c>
      <c r="E9" s="16">
        <v>1.07E-3</v>
      </c>
      <c r="F9" s="15">
        <v>16</v>
      </c>
      <c r="G9" s="14">
        <f t="shared" si="0"/>
        <v>25.039375</v>
      </c>
      <c r="H9" s="15">
        <v>6352</v>
      </c>
      <c r="I9" s="17">
        <f t="shared" si="1"/>
        <v>6.307147355163728E-2</v>
      </c>
      <c r="J9" s="15">
        <v>17929</v>
      </c>
      <c r="K9" s="18">
        <f t="shared" si="2"/>
        <v>4.071615817948575E-3</v>
      </c>
    </row>
    <row r="10" spans="1:11" x14ac:dyDescent="0.2">
      <c r="A10" s="13">
        <v>45831</v>
      </c>
      <c r="B10" s="14">
        <v>370.03</v>
      </c>
      <c r="C10" s="15">
        <v>70578</v>
      </c>
      <c r="D10" s="15">
        <v>36</v>
      </c>
      <c r="E10" s="16">
        <v>5.1000000000000004E-4</v>
      </c>
      <c r="F10" s="15">
        <v>20</v>
      </c>
      <c r="G10" s="14">
        <f t="shared" si="0"/>
        <v>18.5015</v>
      </c>
      <c r="H10" s="15">
        <v>6179</v>
      </c>
      <c r="I10" s="17">
        <f t="shared" si="1"/>
        <v>5.9885094675513832E-2</v>
      </c>
      <c r="J10" s="15">
        <v>16919</v>
      </c>
      <c r="K10" s="18">
        <f t="shared" si="2"/>
        <v>2.127785330102252E-3</v>
      </c>
    </row>
    <row r="11" spans="1:11" x14ac:dyDescent="0.2">
      <c r="A11" s="13">
        <v>45830</v>
      </c>
      <c r="B11" s="14">
        <v>401.97</v>
      </c>
      <c r="C11" s="15">
        <v>78718</v>
      </c>
      <c r="D11" s="15">
        <v>31</v>
      </c>
      <c r="E11" s="16">
        <v>3.8999999999999999E-4</v>
      </c>
      <c r="F11" s="15">
        <v>22</v>
      </c>
      <c r="G11" s="14">
        <f t="shared" si="0"/>
        <v>18.271363636363638</v>
      </c>
      <c r="H11" s="15">
        <v>8964</v>
      </c>
      <c r="I11" s="17">
        <f t="shared" si="1"/>
        <v>4.484270414993307E-2</v>
      </c>
      <c r="J11" s="15">
        <v>32477</v>
      </c>
      <c r="K11" s="18">
        <f t="shared" si="2"/>
        <v>9.5452166148351136E-4</v>
      </c>
    </row>
    <row r="12" spans="1:11" x14ac:dyDescent="0.2">
      <c r="A12" s="13">
        <v>45829</v>
      </c>
      <c r="B12" s="14">
        <v>405.4</v>
      </c>
      <c r="C12" s="15">
        <v>80488</v>
      </c>
      <c r="D12" s="15">
        <v>28</v>
      </c>
      <c r="E12" s="16">
        <v>3.5E-4</v>
      </c>
      <c r="F12" s="15">
        <v>32</v>
      </c>
      <c r="G12" s="14">
        <f t="shared" si="0"/>
        <v>12.668749999999999</v>
      </c>
      <c r="H12" s="15">
        <v>9997</v>
      </c>
      <c r="I12" s="17">
        <f t="shared" si="1"/>
        <v>4.0552165649694903E-2</v>
      </c>
      <c r="J12" s="15">
        <v>26131</v>
      </c>
      <c r="K12" s="18">
        <f t="shared" si="2"/>
        <v>1.0715242432360033E-3</v>
      </c>
    </row>
    <row r="13" spans="1:11" x14ac:dyDescent="0.2">
      <c r="A13" s="13">
        <v>45828</v>
      </c>
      <c r="B13" s="14">
        <v>419.79</v>
      </c>
      <c r="C13" s="15">
        <v>96561</v>
      </c>
      <c r="D13" s="15">
        <v>42</v>
      </c>
      <c r="E13" s="16">
        <v>4.2999999999999999E-4</v>
      </c>
      <c r="F13" s="15">
        <v>24</v>
      </c>
      <c r="G13" s="14">
        <f t="shared" si="0"/>
        <v>17.491250000000001</v>
      </c>
      <c r="H13" s="15">
        <v>7667</v>
      </c>
      <c r="I13" s="17">
        <f t="shared" si="1"/>
        <v>5.4752836833181169E-2</v>
      </c>
      <c r="J13" s="15">
        <v>20446</v>
      </c>
      <c r="K13" s="18">
        <f t="shared" si="2"/>
        <v>2.0541915289054094E-3</v>
      </c>
    </row>
    <row r="14" spans="1:11" x14ac:dyDescent="0.2">
      <c r="A14" s="13">
        <v>45827</v>
      </c>
      <c r="B14" s="14">
        <v>443.87</v>
      </c>
      <c r="C14" s="15">
        <v>97376</v>
      </c>
      <c r="D14" s="15">
        <v>38</v>
      </c>
      <c r="E14" s="16">
        <v>3.8999999999999999E-4</v>
      </c>
      <c r="F14" s="15">
        <v>26</v>
      </c>
      <c r="G14" s="14">
        <f t="shared" si="0"/>
        <v>17.071923076923078</v>
      </c>
      <c r="H14" s="15">
        <v>8418</v>
      </c>
      <c r="I14" s="17">
        <f t="shared" si="1"/>
        <v>5.2728676645283919E-2</v>
      </c>
      <c r="J14" s="15">
        <v>27612</v>
      </c>
      <c r="K14" s="18">
        <f t="shared" si="2"/>
        <v>1.3762132406200203E-3</v>
      </c>
    </row>
    <row r="15" spans="1:11" x14ac:dyDescent="0.2">
      <c r="A15" s="13">
        <v>45826</v>
      </c>
      <c r="B15" s="14">
        <v>423.23</v>
      </c>
      <c r="C15" s="15">
        <v>94635</v>
      </c>
      <c r="D15" s="15">
        <v>38</v>
      </c>
      <c r="E15" s="16">
        <v>4.0000000000000002E-4</v>
      </c>
      <c r="F15" s="15">
        <v>15</v>
      </c>
      <c r="G15" s="14">
        <f t="shared" si="0"/>
        <v>28.215333333333334</v>
      </c>
      <c r="H15" s="15">
        <v>7924</v>
      </c>
      <c r="I15" s="17">
        <f t="shared" si="1"/>
        <v>5.3411155981827364E-2</v>
      </c>
      <c r="J15" s="15">
        <v>19287</v>
      </c>
      <c r="K15" s="18">
        <f t="shared" si="2"/>
        <v>1.9702390211022969E-3</v>
      </c>
    </row>
    <row r="16" spans="1:11" x14ac:dyDescent="0.2">
      <c r="A16" s="13">
        <v>45825</v>
      </c>
      <c r="B16" s="14">
        <v>471.42</v>
      </c>
      <c r="C16" s="15">
        <v>103880</v>
      </c>
      <c r="D16" s="15">
        <v>47</v>
      </c>
      <c r="E16" s="16">
        <v>4.4999999999999999E-4</v>
      </c>
      <c r="F16" s="15">
        <v>19</v>
      </c>
      <c r="G16" s="14">
        <f t="shared" si="0"/>
        <v>24.811578947368421</v>
      </c>
      <c r="H16" s="15">
        <v>8972</v>
      </c>
      <c r="I16" s="17">
        <f t="shared" si="1"/>
        <v>5.2543468568880966E-2</v>
      </c>
      <c r="J16" s="15">
        <v>22977</v>
      </c>
      <c r="K16" s="18">
        <f t="shared" si="2"/>
        <v>2.0455237846542192E-3</v>
      </c>
    </row>
    <row r="17" spans="1:11" x14ac:dyDescent="0.2">
      <c r="A17" s="13">
        <v>45824</v>
      </c>
      <c r="B17" s="14">
        <v>423.08</v>
      </c>
      <c r="C17" s="15">
        <v>90227</v>
      </c>
      <c r="D17" s="15">
        <v>25</v>
      </c>
      <c r="E17" s="16">
        <v>2.7999999999999998E-4</v>
      </c>
      <c r="F17" s="15">
        <v>34</v>
      </c>
      <c r="G17" s="14">
        <f t="shared" si="0"/>
        <v>12.443529411764706</v>
      </c>
      <c r="H17" s="15">
        <v>7281</v>
      </c>
      <c r="I17" s="17">
        <f t="shared" si="1"/>
        <v>5.8107402829281687E-2</v>
      </c>
      <c r="J17" s="15">
        <v>18305</v>
      </c>
      <c r="K17" s="18">
        <f t="shared" si="2"/>
        <v>1.3657470636438131E-3</v>
      </c>
    </row>
    <row r="18" spans="1:11" x14ac:dyDescent="0.2">
      <c r="A18" s="13">
        <v>45823</v>
      </c>
      <c r="B18" s="14">
        <v>457.63</v>
      </c>
      <c r="C18" s="15">
        <v>83679</v>
      </c>
      <c r="D18" s="15">
        <v>35</v>
      </c>
      <c r="E18" s="16">
        <v>4.2000000000000002E-4</v>
      </c>
      <c r="F18" s="15">
        <v>11</v>
      </c>
      <c r="G18" s="14">
        <f t="shared" si="0"/>
        <v>41.602727272727272</v>
      </c>
      <c r="H18" s="15">
        <v>7886</v>
      </c>
      <c r="I18" s="17">
        <f t="shared" si="1"/>
        <v>5.8030687293938628E-2</v>
      </c>
      <c r="J18" s="15">
        <v>22262</v>
      </c>
      <c r="K18" s="18">
        <f t="shared" si="2"/>
        <v>1.5721857874404816E-3</v>
      </c>
    </row>
    <row r="19" spans="1:11" x14ac:dyDescent="0.2">
      <c r="A19" s="13">
        <v>45822</v>
      </c>
      <c r="B19" s="14">
        <v>441.43</v>
      </c>
      <c r="C19" s="15">
        <v>78719</v>
      </c>
      <c r="D19" s="15">
        <v>42</v>
      </c>
      <c r="E19" s="16">
        <v>5.2999999999999998E-4</v>
      </c>
      <c r="F19" s="15">
        <v>14</v>
      </c>
      <c r="G19" s="14">
        <f t="shared" si="0"/>
        <v>31.530714285714286</v>
      </c>
      <c r="H19" s="15">
        <v>10801</v>
      </c>
      <c r="I19" s="17">
        <f t="shared" si="1"/>
        <v>4.0869363947782615E-2</v>
      </c>
      <c r="J19" s="15">
        <v>26041</v>
      </c>
      <c r="K19" s="18">
        <f t="shared" si="2"/>
        <v>1.6128412887369916E-3</v>
      </c>
    </row>
    <row r="20" spans="1:11" x14ac:dyDescent="0.2">
      <c r="A20" s="13">
        <v>45821</v>
      </c>
      <c r="B20" s="14">
        <v>495.36</v>
      </c>
      <c r="C20" s="15">
        <v>94356</v>
      </c>
      <c r="D20" s="15">
        <v>30</v>
      </c>
      <c r="E20" s="16">
        <v>3.2000000000000003E-4</v>
      </c>
      <c r="F20" s="15">
        <v>16</v>
      </c>
      <c r="G20" s="14">
        <f t="shared" si="0"/>
        <v>30.96</v>
      </c>
      <c r="H20" s="15">
        <v>8341</v>
      </c>
      <c r="I20" s="17">
        <f t="shared" si="1"/>
        <v>5.9388562522479323E-2</v>
      </c>
      <c r="J20" s="15">
        <v>17762</v>
      </c>
      <c r="K20" s="18">
        <f t="shared" si="2"/>
        <v>1.688998986600608E-3</v>
      </c>
    </row>
    <row r="21" spans="1:11" x14ac:dyDescent="0.2">
      <c r="A21" s="13">
        <v>45820</v>
      </c>
      <c r="B21" s="14">
        <v>469.35</v>
      </c>
      <c r="C21" s="15">
        <v>84202</v>
      </c>
      <c r="D21" s="15">
        <v>48</v>
      </c>
      <c r="E21" s="16">
        <v>5.6999999999999998E-4</v>
      </c>
      <c r="F21" s="15">
        <v>24</v>
      </c>
      <c r="G21" s="14">
        <f t="shared" si="0"/>
        <v>19.556250000000002</v>
      </c>
      <c r="H21" s="15">
        <v>7703</v>
      </c>
      <c r="I21" s="17">
        <f t="shared" si="1"/>
        <v>6.0930806179410622E-2</v>
      </c>
      <c r="J21" s="15">
        <v>18105</v>
      </c>
      <c r="K21" s="18">
        <f t="shared" si="2"/>
        <v>2.6512013256006629E-3</v>
      </c>
    </row>
    <row r="22" spans="1:11" x14ac:dyDescent="0.2">
      <c r="A22" s="13">
        <v>45819</v>
      </c>
      <c r="B22" s="14">
        <v>432.63</v>
      </c>
      <c r="C22" s="15">
        <v>79218</v>
      </c>
      <c r="D22" s="15">
        <v>34</v>
      </c>
      <c r="E22" s="16">
        <v>4.2999999999999999E-4</v>
      </c>
      <c r="F22" s="15">
        <v>17</v>
      </c>
      <c r="G22" s="14">
        <f t="shared" si="0"/>
        <v>25.448823529411765</v>
      </c>
      <c r="H22" s="15">
        <v>8537</v>
      </c>
      <c r="I22" s="17">
        <f t="shared" si="1"/>
        <v>5.0677052828862597E-2</v>
      </c>
      <c r="J22" s="15">
        <v>18280</v>
      </c>
      <c r="K22" s="18">
        <f t="shared" si="2"/>
        <v>1.8599562363238512E-3</v>
      </c>
    </row>
    <row r="23" spans="1:11" x14ac:dyDescent="0.2">
      <c r="A23" s="13">
        <v>45818</v>
      </c>
      <c r="B23" s="14">
        <v>532.64</v>
      </c>
      <c r="C23" s="15">
        <v>102291</v>
      </c>
      <c r="D23" s="15">
        <v>37</v>
      </c>
      <c r="E23" s="16">
        <v>3.6000000000000002E-4</v>
      </c>
      <c r="F23" s="15">
        <v>26</v>
      </c>
      <c r="G23" s="14">
        <f t="shared" si="0"/>
        <v>20.486153846153847</v>
      </c>
      <c r="H23" s="15">
        <v>7954</v>
      </c>
      <c r="I23" s="17">
        <f t="shared" si="1"/>
        <v>6.6965049031933621E-2</v>
      </c>
      <c r="J23" s="15">
        <v>22281</v>
      </c>
      <c r="K23" s="18">
        <f t="shared" si="2"/>
        <v>1.660607692652933E-3</v>
      </c>
    </row>
    <row r="24" spans="1:11" x14ac:dyDescent="0.2">
      <c r="A24" s="13">
        <v>45817</v>
      </c>
      <c r="B24" s="14">
        <v>451.51</v>
      </c>
      <c r="C24" s="15">
        <v>82409</v>
      </c>
      <c r="D24" s="15">
        <v>25</v>
      </c>
      <c r="E24" s="16">
        <v>2.9999999999999997E-4</v>
      </c>
      <c r="F24" s="15">
        <v>29</v>
      </c>
      <c r="G24" s="14">
        <f t="shared" si="0"/>
        <v>15.569310344827587</v>
      </c>
      <c r="H24" s="15">
        <v>6934</v>
      </c>
      <c r="I24" s="17">
        <f t="shared" si="1"/>
        <v>6.5115373521776751E-2</v>
      </c>
      <c r="J24" s="15">
        <v>18568</v>
      </c>
      <c r="K24" s="18">
        <f t="shared" si="2"/>
        <v>1.3464024127531236E-3</v>
      </c>
    </row>
    <row r="25" spans="1:11" x14ac:dyDescent="0.2">
      <c r="A25" s="13">
        <v>45816</v>
      </c>
      <c r="B25" s="14">
        <v>467.84</v>
      </c>
      <c r="C25" s="15">
        <v>72100</v>
      </c>
      <c r="D25" s="15">
        <v>32</v>
      </c>
      <c r="E25" s="16">
        <v>4.4000000000000002E-4</v>
      </c>
      <c r="F25" s="15">
        <v>29</v>
      </c>
      <c r="G25" s="14">
        <f t="shared" si="0"/>
        <v>16.132413793103446</v>
      </c>
      <c r="H25" s="15">
        <v>9176</v>
      </c>
      <c r="I25" s="17">
        <f t="shared" si="1"/>
        <v>5.0985178727114208E-2</v>
      </c>
      <c r="J25" s="15">
        <v>23615</v>
      </c>
      <c r="K25" s="18">
        <f t="shared" si="2"/>
        <v>1.3550709294939656E-3</v>
      </c>
    </row>
    <row r="26" spans="1:11" x14ac:dyDescent="0.2">
      <c r="A26" s="13">
        <v>45815</v>
      </c>
      <c r="B26" s="14">
        <v>526.26</v>
      </c>
      <c r="C26" s="15">
        <v>78234</v>
      </c>
      <c r="D26" s="15">
        <v>36</v>
      </c>
      <c r="E26" s="16">
        <v>4.6000000000000001E-4</v>
      </c>
      <c r="F26" s="15">
        <v>42</v>
      </c>
      <c r="G26" s="14">
        <f t="shared" si="0"/>
        <v>12.53</v>
      </c>
      <c r="H26" s="15">
        <v>11733</v>
      </c>
      <c r="I26" s="17">
        <f t="shared" si="1"/>
        <v>4.4852978777806189E-2</v>
      </c>
      <c r="J26" s="15">
        <v>26090</v>
      </c>
      <c r="K26" s="18">
        <f t="shared" si="2"/>
        <v>1.3798390187811421E-3</v>
      </c>
    </row>
    <row r="27" spans="1:11" x14ac:dyDescent="0.2">
      <c r="A27" s="13">
        <v>45814</v>
      </c>
      <c r="B27" s="14">
        <v>68.72</v>
      </c>
      <c r="C27" s="15">
        <v>6821</v>
      </c>
      <c r="D27" s="15">
        <v>7</v>
      </c>
      <c r="E27" s="16">
        <v>1.0300000000000001E-3</v>
      </c>
      <c r="F27" s="15">
        <v>20</v>
      </c>
      <c r="G27" s="14">
        <f t="shared" si="0"/>
        <v>3.4359999999999999</v>
      </c>
      <c r="H27" s="15">
        <v>8210</v>
      </c>
      <c r="I27" s="17">
        <f t="shared" si="1"/>
        <v>8.370280146163216E-3</v>
      </c>
      <c r="J27" s="15">
        <v>20601</v>
      </c>
      <c r="K27" s="18">
        <f t="shared" si="2"/>
        <v>3.3978933061501872E-4</v>
      </c>
    </row>
    <row r="28" spans="1:11" x14ac:dyDescent="0.2">
      <c r="A28" s="13">
        <v>45813</v>
      </c>
      <c r="B28" s="14">
        <v>0</v>
      </c>
      <c r="C28" s="15">
        <v>0</v>
      </c>
      <c r="D28" s="15">
        <v>0</v>
      </c>
      <c r="E28" s="16">
        <v>0</v>
      </c>
      <c r="F28" s="15">
        <v>30</v>
      </c>
      <c r="G28" s="14">
        <f t="shared" si="0"/>
        <v>0</v>
      </c>
      <c r="H28" s="15">
        <v>9060</v>
      </c>
      <c r="I28" s="17">
        <f t="shared" si="1"/>
        <v>0</v>
      </c>
      <c r="J28" s="15">
        <v>20214</v>
      </c>
      <c r="K28" s="18">
        <f t="shared" si="2"/>
        <v>0</v>
      </c>
    </row>
    <row r="29" spans="1:11" x14ac:dyDescent="0.2">
      <c r="A29" s="13">
        <v>45812</v>
      </c>
      <c r="B29" s="14">
        <v>0</v>
      </c>
      <c r="C29" s="15">
        <v>0</v>
      </c>
      <c r="D29" s="15">
        <v>0</v>
      </c>
      <c r="E29" s="16">
        <v>0</v>
      </c>
      <c r="F29" s="15">
        <v>33</v>
      </c>
      <c r="G29" s="14">
        <f t="shared" si="0"/>
        <v>0</v>
      </c>
      <c r="H29" s="15">
        <v>9510</v>
      </c>
      <c r="I29" s="17">
        <f t="shared" si="1"/>
        <v>0</v>
      </c>
      <c r="J29" s="15">
        <v>20877</v>
      </c>
      <c r="K29" s="18">
        <f t="shared" si="2"/>
        <v>0</v>
      </c>
    </row>
    <row r="30" spans="1:11" x14ac:dyDescent="0.2">
      <c r="A30" s="13">
        <v>45811</v>
      </c>
      <c r="B30" s="14">
        <v>0</v>
      </c>
      <c r="C30" s="15">
        <v>0</v>
      </c>
      <c r="D30" s="15">
        <v>0</v>
      </c>
      <c r="E30" s="16">
        <v>0</v>
      </c>
      <c r="F30" s="15">
        <v>22</v>
      </c>
      <c r="G30" s="14">
        <f t="shared" si="0"/>
        <v>0</v>
      </c>
      <c r="H30" s="15">
        <v>6695</v>
      </c>
      <c r="I30" s="17">
        <f t="shared" si="1"/>
        <v>0</v>
      </c>
      <c r="J30" s="15">
        <v>16413</v>
      </c>
      <c r="K30" s="18">
        <f t="shared" si="2"/>
        <v>0</v>
      </c>
    </row>
    <row r="31" spans="1:11" x14ac:dyDescent="0.2">
      <c r="A31" s="13">
        <v>45810</v>
      </c>
      <c r="B31" s="14">
        <v>0</v>
      </c>
      <c r="C31" s="15">
        <v>0</v>
      </c>
      <c r="D31" s="15">
        <v>0</v>
      </c>
      <c r="E31" s="16">
        <v>0</v>
      </c>
      <c r="F31" s="15">
        <v>14</v>
      </c>
      <c r="G31" s="14">
        <f t="shared" si="0"/>
        <v>0</v>
      </c>
      <c r="H31" s="15">
        <v>6257</v>
      </c>
      <c r="I31" s="17">
        <f t="shared" si="1"/>
        <v>0</v>
      </c>
      <c r="J31" s="15">
        <v>14861</v>
      </c>
      <c r="K31" s="18">
        <f t="shared" si="2"/>
        <v>0</v>
      </c>
    </row>
    <row r="32" spans="1:11" x14ac:dyDescent="0.2">
      <c r="A32" s="13">
        <v>45809</v>
      </c>
      <c r="B32" s="14">
        <v>0</v>
      </c>
      <c r="C32" s="15">
        <v>0</v>
      </c>
      <c r="D32" s="15">
        <v>0</v>
      </c>
      <c r="E32" s="16">
        <v>0</v>
      </c>
      <c r="F32" s="15">
        <v>23</v>
      </c>
      <c r="G32" s="14">
        <f t="shared" si="0"/>
        <v>0</v>
      </c>
      <c r="H32" s="15">
        <v>7640</v>
      </c>
      <c r="I32" s="17">
        <f t="shared" si="1"/>
        <v>0</v>
      </c>
      <c r="J32" s="15">
        <v>20186</v>
      </c>
      <c r="K32" s="18">
        <f t="shared" si="2"/>
        <v>0</v>
      </c>
    </row>
    <row r="33" spans="1:11" x14ac:dyDescent="0.2">
      <c r="A33" s="13"/>
      <c r="B33" s="14"/>
      <c r="C33" s="15"/>
      <c r="D33" s="15"/>
      <c r="E33" s="16"/>
      <c r="F33" s="15"/>
      <c r="G33" s="14"/>
      <c r="H33" s="15"/>
      <c r="I33" s="17"/>
      <c r="J33" s="15"/>
      <c r="K33" s="18"/>
    </row>
    <row r="34" spans="1:11" x14ac:dyDescent="0.2">
      <c r="A34" s="19" t="s">
        <v>11</v>
      </c>
      <c r="B34" s="2" t="s">
        <v>1</v>
      </c>
      <c r="C34" s="3" t="s">
        <v>2</v>
      </c>
      <c r="D34" s="3" t="s">
        <v>3</v>
      </c>
      <c r="E34" s="4" t="s">
        <v>4</v>
      </c>
      <c r="F34" s="3" t="s">
        <v>5</v>
      </c>
      <c r="G34" s="5" t="s">
        <v>6</v>
      </c>
      <c r="H34" s="3" t="s">
        <v>7</v>
      </c>
      <c r="I34" s="3" t="s">
        <v>8</v>
      </c>
      <c r="J34" s="3" t="s">
        <v>9</v>
      </c>
      <c r="K34" s="6" t="s">
        <v>10</v>
      </c>
    </row>
    <row r="35" spans="1:11" x14ac:dyDescent="0.2">
      <c r="A35" s="7">
        <v>45809</v>
      </c>
      <c r="B35" s="20">
        <v>5000.0200000000004</v>
      </c>
      <c r="C35" s="21">
        <v>694291</v>
      </c>
      <c r="D35" s="21">
        <v>339</v>
      </c>
      <c r="E35" s="22">
        <v>4.8999999999999998E-4</v>
      </c>
      <c r="F35" s="21">
        <v>119</v>
      </c>
      <c r="G35" s="8">
        <f t="shared" ref="G35:G40" si="3">B35/F35</f>
        <v>42.01697478991597</v>
      </c>
      <c r="H35" s="21">
        <v>86474</v>
      </c>
      <c r="I35" s="11">
        <f t="shared" ref="I35:I40" si="4">B35/H35</f>
        <v>5.782107916830493E-2</v>
      </c>
      <c r="J35" s="21">
        <v>165656</v>
      </c>
      <c r="K35" s="12">
        <f t="shared" ref="K35:K40" si="5">D35/J35</f>
        <v>2.0464094267638963E-3</v>
      </c>
    </row>
    <row r="36" spans="1:11" x14ac:dyDescent="0.2">
      <c r="A36" s="13" t="s">
        <v>12</v>
      </c>
      <c r="B36" s="14">
        <v>1750.11</v>
      </c>
      <c r="C36" s="15">
        <v>433535</v>
      </c>
      <c r="D36" s="15">
        <v>226</v>
      </c>
      <c r="E36" s="16">
        <v>4.8999999999999998E-4</v>
      </c>
      <c r="F36" s="15">
        <v>156</v>
      </c>
      <c r="G36" s="14">
        <f t="shared" si="3"/>
        <v>11.218653846153845</v>
      </c>
      <c r="H36" s="15">
        <v>9426</v>
      </c>
      <c r="I36" s="17">
        <f t="shared" si="4"/>
        <v>0.18566836409929979</v>
      </c>
      <c r="J36" s="15">
        <v>48346</v>
      </c>
      <c r="K36" s="18">
        <f t="shared" si="5"/>
        <v>4.6746369916849375E-3</v>
      </c>
    </row>
    <row r="37" spans="1:11" x14ac:dyDescent="0.2">
      <c r="A37" s="13" t="s">
        <v>13</v>
      </c>
      <c r="B37" s="14">
        <v>1778.09</v>
      </c>
      <c r="C37" s="15">
        <v>554743</v>
      </c>
      <c r="D37" s="15">
        <v>251</v>
      </c>
      <c r="E37" s="16">
        <v>4.8999999999999998E-4</v>
      </c>
      <c r="F37" s="15">
        <v>38</v>
      </c>
      <c r="G37" s="14">
        <f t="shared" si="3"/>
        <v>46.791842105263157</v>
      </c>
      <c r="H37" s="15">
        <v>2928</v>
      </c>
      <c r="I37" s="17">
        <f t="shared" si="4"/>
        <v>0.607271174863388</v>
      </c>
      <c r="J37" s="15">
        <v>14210</v>
      </c>
      <c r="K37" s="18">
        <f t="shared" si="5"/>
        <v>1.7663617171006334E-2</v>
      </c>
    </row>
    <row r="38" spans="1:11" x14ac:dyDescent="0.2">
      <c r="A38" s="23" t="s">
        <v>14</v>
      </c>
      <c r="B38" s="14">
        <v>1533.1</v>
      </c>
      <c r="C38" s="15">
        <v>288600</v>
      </c>
      <c r="D38" s="15">
        <v>143</v>
      </c>
      <c r="E38" s="16">
        <v>4.8999999999999998E-4</v>
      </c>
      <c r="F38" s="15">
        <v>69</v>
      </c>
      <c r="G38" s="14">
        <f t="shared" si="3"/>
        <v>22.218840579710143</v>
      </c>
      <c r="H38" s="15">
        <v>4303</v>
      </c>
      <c r="I38" s="17">
        <f t="shared" si="4"/>
        <v>0.35628631187543575</v>
      </c>
      <c r="J38" s="15">
        <v>24122</v>
      </c>
      <c r="K38" s="18">
        <f t="shared" si="5"/>
        <v>5.9281983251803332E-3</v>
      </c>
    </row>
    <row r="39" spans="1:11" x14ac:dyDescent="0.2">
      <c r="A39" s="13" t="s">
        <v>15</v>
      </c>
      <c r="B39" s="14">
        <v>2601.87</v>
      </c>
      <c r="C39" s="15">
        <v>387891</v>
      </c>
      <c r="D39" s="15">
        <v>298</v>
      </c>
      <c r="E39" s="16">
        <v>4.8999999999999998E-4</v>
      </c>
      <c r="F39" s="15">
        <v>197</v>
      </c>
      <c r="G39" s="14">
        <f t="shared" si="3"/>
        <v>13.207461928934009</v>
      </c>
      <c r="H39" s="15">
        <v>42745</v>
      </c>
      <c r="I39" s="17">
        <f t="shared" si="4"/>
        <v>6.0869575388934373E-2</v>
      </c>
      <c r="J39" s="15">
        <v>287721</v>
      </c>
      <c r="K39" s="18">
        <f t="shared" si="5"/>
        <v>1.0357255813791832E-3</v>
      </c>
    </row>
    <row r="40" spans="1:11" x14ac:dyDescent="0.2">
      <c r="A40" s="13" t="s">
        <v>16</v>
      </c>
      <c r="B40" s="14">
        <v>2333.98</v>
      </c>
      <c r="C40" s="15">
        <v>208420</v>
      </c>
      <c r="D40" s="15">
        <v>169</v>
      </c>
      <c r="E40" s="16">
        <v>4.8999999999999998E-4</v>
      </c>
      <c r="F40" s="15">
        <v>177</v>
      </c>
      <c r="G40" s="14">
        <f t="shared" si="3"/>
        <v>13.186327683615819</v>
      </c>
      <c r="H40" s="15">
        <v>182806</v>
      </c>
      <c r="I40" s="17">
        <f t="shared" si="4"/>
        <v>1.2767524041880463E-2</v>
      </c>
      <c r="J40" s="15">
        <v>261985</v>
      </c>
      <c r="K40" s="18">
        <f t="shared" si="5"/>
        <v>6.4507509971944955E-4</v>
      </c>
    </row>
    <row r="41" spans="1:11" x14ac:dyDescent="0.2">
      <c r="A41" s="24"/>
      <c r="G41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0"/>
  <sheetViews>
    <sheetView workbookViewId="0"/>
  </sheetViews>
  <sheetFormatPr defaultColWidth="12.5703125" defaultRowHeight="15.75" customHeight="1" x14ac:dyDescent="0.2"/>
  <cols>
    <col min="1" max="1" width="21.5703125" customWidth="1"/>
    <col min="2" max="2" width="15" customWidth="1"/>
    <col min="3" max="3" width="17.85546875" customWidth="1"/>
    <col min="4" max="4" width="12.85546875" customWidth="1"/>
    <col min="5" max="5" width="14.5703125" customWidth="1"/>
    <col min="6" max="6" width="13.5703125" customWidth="1"/>
    <col min="7" max="11" width="17.85546875" customWidth="1"/>
  </cols>
  <sheetData>
    <row r="1" spans="1:1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6" t="s">
        <v>10</v>
      </c>
    </row>
    <row r="2" spans="1:11" x14ac:dyDescent="0.2">
      <c r="A2" s="26">
        <v>45778</v>
      </c>
      <c r="B2" s="8">
        <v>5000.0200000000004</v>
      </c>
      <c r="C2" s="9">
        <v>694291</v>
      </c>
      <c r="D2" s="9">
        <v>339</v>
      </c>
      <c r="E2" s="10">
        <v>4.8999999999999998E-4</v>
      </c>
      <c r="F2" s="9">
        <v>119</v>
      </c>
      <c r="G2" s="8">
        <f t="shared" ref="G2:G10" si="0">B2/F2</f>
        <v>42.01697478991597</v>
      </c>
      <c r="H2" s="9">
        <v>86474</v>
      </c>
      <c r="I2" s="11">
        <f t="shared" ref="I2:I33" si="1">B2/H2</f>
        <v>5.782107916830493E-2</v>
      </c>
      <c r="J2" s="9">
        <v>165656</v>
      </c>
      <c r="K2" s="12">
        <f t="shared" ref="K2:K33" si="2">D2/J2</f>
        <v>2.0464094267638963E-3</v>
      </c>
    </row>
    <row r="3" spans="1:11" x14ac:dyDescent="0.2">
      <c r="A3" s="13">
        <v>45808</v>
      </c>
      <c r="B3" s="14">
        <v>82.52</v>
      </c>
      <c r="C3" s="15">
        <v>12051</v>
      </c>
      <c r="D3" s="15">
        <v>4</v>
      </c>
      <c r="E3" s="16">
        <v>3.3E-4</v>
      </c>
      <c r="F3" s="15">
        <v>5</v>
      </c>
      <c r="G3" s="14">
        <f t="shared" si="0"/>
        <v>16.503999999999998</v>
      </c>
      <c r="H3" s="15">
        <v>5106</v>
      </c>
      <c r="I3" s="17">
        <f t="shared" si="1"/>
        <v>1.6161378770074421E-2</v>
      </c>
      <c r="J3" s="15">
        <v>9864</v>
      </c>
      <c r="K3" s="18">
        <f t="shared" si="2"/>
        <v>4.0551500405515005E-4</v>
      </c>
    </row>
    <row r="4" spans="1:11" x14ac:dyDescent="0.2">
      <c r="A4" s="13">
        <v>45807</v>
      </c>
      <c r="B4" s="14">
        <v>108.21</v>
      </c>
      <c r="C4" s="15">
        <v>17039</v>
      </c>
      <c r="D4" s="15">
        <v>5</v>
      </c>
      <c r="E4" s="16">
        <v>2.9E-4</v>
      </c>
      <c r="F4" s="15">
        <v>6</v>
      </c>
      <c r="G4" s="14">
        <f t="shared" si="0"/>
        <v>18.035</v>
      </c>
      <c r="H4" s="15">
        <v>3443</v>
      </c>
      <c r="I4" s="17">
        <f t="shared" si="1"/>
        <v>3.1428986349114139E-2</v>
      </c>
      <c r="J4" s="15">
        <v>7145</v>
      </c>
      <c r="K4" s="18">
        <f t="shared" si="2"/>
        <v>6.9979006298110562E-4</v>
      </c>
    </row>
    <row r="5" spans="1:11" x14ac:dyDescent="0.2">
      <c r="A5" s="13">
        <v>45806</v>
      </c>
      <c r="B5" s="14">
        <v>116.11</v>
      </c>
      <c r="C5" s="15">
        <v>17748</v>
      </c>
      <c r="D5" s="15">
        <v>14</v>
      </c>
      <c r="E5" s="16">
        <v>7.9000000000000001E-4</v>
      </c>
      <c r="F5" s="15">
        <v>8</v>
      </c>
      <c r="G5" s="14">
        <f t="shared" si="0"/>
        <v>14.51375</v>
      </c>
      <c r="H5" s="15">
        <v>3347</v>
      </c>
      <c r="I5" s="17">
        <f t="shared" si="1"/>
        <v>3.4690767851807587E-2</v>
      </c>
      <c r="J5" s="15">
        <v>6642</v>
      </c>
      <c r="K5" s="18">
        <f t="shared" si="2"/>
        <v>2.1077988557663355E-3</v>
      </c>
    </row>
    <row r="6" spans="1:11" x14ac:dyDescent="0.2">
      <c r="A6" s="13">
        <v>45805</v>
      </c>
      <c r="B6" s="14">
        <v>127.14</v>
      </c>
      <c r="C6" s="15">
        <v>21278</v>
      </c>
      <c r="D6" s="15">
        <v>12</v>
      </c>
      <c r="E6" s="16">
        <v>5.5999999999999995E-4</v>
      </c>
      <c r="F6" s="15">
        <v>7</v>
      </c>
      <c r="G6" s="14">
        <f t="shared" si="0"/>
        <v>18.162857142857142</v>
      </c>
      <c r="H6" s="15">
        <v>3586</v>
      </c>
      <c r="I6" s="17">
        <f t="shared" si="1"/>
        <v>3.5454545454545454E-2</v>
      </c>
      <c r="J6" s="15">
        <v>7501</v>
      </c>
      <c r="K6" s="18">
        <f t="shared" si="2"/>
        <v>1.5997866951073191E-3</v>
      </c>
    </row>
    <row r="7" spans="1:11" x14ac:dyDescent="0.2">
      <c r="A7" s="13">
        <v>45804</v>
      </c>
      <c r="B7" s="14">
        <v>130.09</v>
      </c>
      <c r="C7" s="15">
        <v>20628</v>
      </c>
      <c r="D7" s="15">
        <v>7</v>
      </c>
      <c r="E7" s="16">
        <v>3.4000000000000002E-4</v>
      </c>
      <c r="F7" s="15">
        <v>5</v>
      </c>
      <c r="G7" s="14">
        <f t="shared" si="0"/>
        <v>26.018000000000001</v>
      </c>
      <c r="H7" s="15">
        <v>3288</v>
      </c>
      <c r="I7" s="17">
        <f t="shared" si="1"/>
        <v>3.9565085158150853E-2</v>
      </c>
      <c r="J7" s="15">
        <v>6657</v>
      </c>
      <c r="K7" s="18">
        <f t="shared" si="2"/>
        <v>1.0515247108307045E-3</v>
      </c>
    </row>
    <row r="8" spans="1:11" x14ac:dyDescent="0.2">
      <c r="A8" s="13">
        <v>45803</v>
      </c>
      <c r="B8" s="14">
        <v>134.30000000000001</v>
      </c>
      <c r="C8" s="15">
        <v>15822</v>
      </c>
      <c r="D8" s="15">
        <v>5</v>
      </c>
      <c r="E8" s="16">
        <v>3.2000000000000003E-4</v>
      </c>
      <c r="F8" s="15">
        <v>8</v>
      </c>
      <c r="G8" s="14">
        <f t="shared" si="0"/>
        <v>16.787500000000001</v>
      </c>
      <c r="H8" s="15">
        <v>3555</v>
      </c>
      <c r="I8" s="17">
        <f t="shared" si="1"/>
        <v>3.7777777777777778E-2</v>
      </c>
      <c r="J8" s="15">
        <v>7127</v>
      </c>
      <c r="K8" s="18">
        <f t="shared" si="2"/>
        <v>7.0155745755577377E-4</v>
      </c>
    </row>
    <row r="9" spans="1:11" x14ac:dyDescent="0.2">
      <c r="A9" s="13">
        <v>45802</v>
      </c>
      <c r="B9" s="14">
        <v>142.15</v>
      </c>
      <c r="C9" s="15">
        <v>17435</v>
      </c>
      <c r="D9" s="15">
        <v>6</v>
      </c>
      <c r="E9" s="16">
        <v>3.4000000000000002E-4</v>
      </c>
      <c r="F9" s="15">
        <v>3</v>
      </c>
      <c r="G9" s="14">
        <f t="shared" si="0"/>
        <v>47.383333333333333</v>
      </c>
      <c r="H9" s="15">
        <v>3888</v>
      </c>
      <c r="I9" s="17">
        <f t="shared" si="1"/>
        <v>3.6561213991769551E-2</v>
      </c>
      <c r="J9" s="15">
        <v>8325</v>
      </c>
      <c r="K9" s="18">
        <f t="shared" si="2"/>
        <v>7.2072072072072073E-4</v>
      </c>
    </row>
    <row r="10" spans="1:11" x14ac:dyDescent="0.2">
      <c r="A10" s="13">
        <v>45801</v>
      </c>
      <c r="B10" s="14">
        <v>143.04</v>
      </c>
      <c r="C10" s="15">
        <v>16557</v>
      </c>
      <c r="D10" s="15">
        <v>5</v>
      </c>
      <c r="E10" s="16">
        <v>2.9999999999999997E-4</v>
      </c>
      <c r="F10" s="15">
        <v>0</v>
      </c>
      <c r="G10" s="14" t="e">
        <f t="shared" si="0"/>
        <v>#DIV/0!</v>
      </c>
      <c r="H10" s="15">
        <v>4190</v>
      </c>
      <c r="I10" s="17">
        <f t="shared" si="1"/>
        <v>3.4138424821002385E-2</v>
      </c>
      <c r="J10" s="15">
        <v>8290</v>
      </c>
      <c r="K10" s="18">
        <f t="shared" si="2"/>
        <v>6.0313630880579007E-4</v>
      </c>
    </row>
    <row r="11" spans="1:11" x14ac:dyDescent="0.2">
      <c r="A11" s="13">
        <v>45800</v>
      </c>
      <c r="B11" s="14">
        <v>149.86000000000001</v>
      </c>
      <c r="C11" s="15">
        <v>18304</v>
      </c>
      <c r="D11" s="15">
        <v>8</v>
      </c>
      <c r="E11" s="16">
        <v>4.4000000000000002E-4</v>
      </c>
      <c r="F11" s="15">
        <v>2</v>
      </c>
      <c r="G11" s="14" t="s">
        <v>17</v>
      </c>
      <c r="H11" s="15">
        <v>3506</v>
      </c>
      <c r="I11" s="17">
        <f t="shared" si="1"/>
        <v>4.2743867655447805E-2</v>
      </c>
      <c r="J11" s="15">
        <v>6461</v>
      </c>
      <c r="K11" s="18">
        <f t="shared" si="2"/>
        <v>1.2381984212970129E-3</v>
      </c>
    </row>
    <row r="12" spans="1:11" x14ac:dyDescent="0.2">
      <c r="A12" s="13">
        <v>45799</v>
      </c>
      <c r="B12" s="14">
        <v>159.44999999999999</v>
      </c>
      <c r="C12" s="15">
        <v>21299</v>
      </c>
      <c r="D12" s="15">
        <v>14</v>
      </c>
      <c r="E12" s="16">
        <v>6.6E-4</v>
      </c>
      <c r="F12" s="15">
        <v>4</v>
      </c>
      <c r="G12" s="14">
        <f t="shared" ref="G12:G28" si="3">B12/F12</f>
        <v>39.862499999999997</v>
      </c>
      <c r="H12" s="15">
        <v>3110</v>
      </c>
      <c r="I12" s="17">
        <f t="shared" si="1"/>
        <v>5.1270096463022503E-2</v>
      </c>
      <c r="J12" s="15">
        <v>5912</v>
      </c>
      <c r="K12" s="18">
        <f t="shared" si="2"/>
        <v>2.368064952638701E-3</v>
      </c>
    </row>
    <row r="13" spans="1:11" x14ac:dyDescent="0.2">
      <c r="A13" s="13">
        <v>45798</v>
      </c>
      <c r="B13" s="14">
        <v>150.82</v>
      </c>
      <c r="C13" s="15">
        <v>22340</v>
      </c>
      <c r="D13" s="15">
        <v>9</v>
      </c>
      <c r="E13" s="16">
        <v>4.0000000000000002E-4</v>
      </c>
      <c r="F13" s="15">
        <v>3</v>
      </c>
      <c r="G13" s="14">
        <f t="shared" si="3"/>
        <v>50.273333333333333</v>
      </c>
      <c r="H13" s="15">
        <v>3222</v>
      </c>
      <c r="I13" s="17">
        <f t="shared" si="1"/>
        <v>4.6809435133457478E-2</v>
      </c>
      <c r="J13" s="15">
        <v>6033</v>
      </c>
      <c r="K13" s="18">
        <f t="shared" si="2"/>
        <v>1.4917951268025858E-3</v>
      </c>
    </row>
    <row r="14" spans="1:11" x14ac:dyDescent="0.2">
      <c r="A14" s="13">
        <v>45797</v>
      </c>
      <c r="B14" s="14">
        <v>159.88999999999999</v>
      </c>
      <c r="C14" s="15">
        <v>26102</v>
      </c>
      <c r="D14" s="15">
        <v>9</v>
      </c>
      <c r="E14" s="16">
        <v>3.4000000000000002E-4</v>
      </c>
      <c r="F14" s="15">
        <v>6</v>
      </c>
      <c r="G14" s="14">
        <f t="shared" si="3"/>
        <v>26.64833333333333</v>
      </c>
      <c r="H14" s="15">
        <v>3029</v>
      </c>
      <c r="I14" s="17">
        <f t="shared" si="1"/>
        <v>5.2786398151205012E-2</v>
      </c>
      <c r="J14" s="15">
        <v>5870</v>
      </c>
      <c r="K14" s="18">
        <f t="shared" si="2"/>
        <v>1.5332197614991482E-3</v>
      </c>
    </row>
    <row r="15" spans="1:11" x14ac:dyDescent="0.2">
      <c r="A15" s="13">
        <v>45796</v>
      </c>
      <c r="B15" s="14">
        <v>155.13</v>
      </c>
      <c r="C15" s="15">
        <v>25324</v>
      </c>
      <c r="D15" s="15">
        <v>9</v>
      </c>
      <c r="E15" s="16">
        <v>3.6000000000000002E-4</v>
      </c>
      <c r="F15" s="15">
        <v>4</v>
      </c>
      <c r="G15" s="14">
        <f t="shared" si="3"/>
        <v>38.782499999999999</v>
      </c>
      <c r="H15" s="15">
        <v>2586</v>
      </c>
      <c r="I15" s="17">
        <f t="shared" si="1"/>
        <v>5.9988399071925755E-2</v>
      </c>
      <c r="J15" s="15">
        <v>5339</v>
      </c>
      <c r="K15" s="18">
        <f t="shared" si="2"/>
        <v>1.6857089342573516E-3</v>
      </c>
    </row>
    <row r="16" spans="1:11" x14ac:dyDescent="0.2">
      <c r="A16" s="13">
        <v>45795</v>
      </c>
      <c r="B16" s="14">
        <v>164.15</v>
      </c>
      <c r="C16" s="15">
        <v>18855</v>
      </c>
      <c r="D16" s="15">
        <v>12</v>
      </c>
      <c r="E16" s="16">
        <v>6.4000000000000005E-4</v>
      </c>
      <c r="F16" s="15">
        <v>5</v>
      </c>
      <c r="G16" s="14">
        <f t="shared" si="3"/>
        <v>32.83</v>
      </c>
      <c r="H16" s="15">
        <v>3377</v>
      </c>
      <c r="I16" s="17">
        <f t="shared" si="1"/>
        <v>4.860823215872076E-2</v>
      </c>
      <c r="J16" s="15">
        <v>7150</v>
      </c>
      <c r="K16" s="18">
        <f t="shared" si="2"/>
        <v>1.6783216783216783E-3</v>
      </c>
    </row>
    <row r="17" spans="1:11" x14ac:dyDescent="0.2">
      <c r="A17" s="13">
        <v>45794</v>
      </c>
      <c r="B17" s="14">
        <v>163.08000000000001</v>
      </c>
      <c r="C17" s="15">
        <v>18038</v>
      </c>
      <c r="D17" s="15">
        <v>6</v>
      </c>
      <c r="E17" s="16">
        <v>3.3E-4</v>
      </c>
      <c r="F17" s="15">
        <v>9</v>
      </c>
      <c r="G17" s="14">
        <f t="shared" si="3"/>
        <v>18.12</v>
      </c>
      <c r="H17" s="15">
        <v>4305</v>
      </c>
      <c r="I17" s="17">
        <f t="shared" si="1"/>
        <v>3.7881533101045299E-2</v>
      </c>
      <c r="J17" s="15">
        <v>6317</v>
      </c>
      <c r="K17" s="18">
        <f t="shared" si="2"/>
        <v>9.4981795155928443E-4</v>
      </c>
    </row>
    <row r="18" spans="1:11" x14ac:dyDescent="0.2">
      <c r="A18" s="13">
        <v>45793</v>
      </c>
      <c r="B18" s="14">
        <v>173.62</v>
      </c>
      <c r="C18" s="15">
        <v>21157</v>
      </c>
      <c r="D18" s="15">
        <v>6</v>
      </c>
      <c r="E18" s="16">
        <v>2.7999999999999998E-4</v>
      </c>
      <c r="F18" s="15">
        <v>2</v>
      </c>
      <c r="G18" s="14">
        <f t="shared" si="3"/>
        <v>86.81</v>
      </c>
      <c r="H18" s="15">
        <v>3372</v>
      </c>
      <c r="I18" s="17">
        <f t="shared" si="1"/>
        <v>5.1488730723606171E-2</v>
      </c>
      <c r="J18" s="15">
        <v>5125</v>
      </c>
      <c r="K18" s="18">
        <f t="shared" si="2"/>
        <v>1.1707317073170731E-3</v>
      </c>
    </row>
    <row r="19" spans="1:11" x14ac:dyDescent="0.2">
      <c r="A19" s="13">
        <v>45792</v>
      </c>
      <c r="B19" s="14">
        <v>169.15</v>
      </c>
      <c r="C19" s="15">
        <v>20878</v>
      </c>
      <c r="D19" s="15">
        <v>9</v>
      </c>
      <c r="E19" s="16">
        <v>4.2999999999999999E-4</v>
      </c>
      <c r="F19" s="15">
        <v>4</v>
      </c>
      <c r="G19" s="14">
        <f t="shared" si="3"/>
        <v>42.287500000000001</v>
      </c>
      <c r="H19" s="15">
        <v>3178</v>
      </c>
      <c r="I19" s="17">
        <f t="shared" si="1"/>
        <v>5.322529893014475E-2</v>
      </c>
      <c r="J19" s="15">
        <v>5446</v>
      </c>
      <c r="K19" s="18">
        <f t="shared" si="2"/>
        <v>1.6525890561880279E-3</v>
      </c>
    </row>
    <row r="20" spans="1:11" x14ac:dyDescent="0.2">
      <c r="A20" s="13">
        <v>45791</v>
      </c>
      <c r="B20" s="14">
        <v>166.33</v>
      </c>
      <c r="C20" s="15">
        <v>23450</v>
      </c>
      <c r="D20" s="15">
        <v>17</v>
      </c>
      <c r="E20" s="16">
        <v>7.2000000000000005E-4</v>
      </c>
      <c r="F20" s="15">
        <v>3</v>
      </c>
      <c r="G20" s="14">
        <f t="shared" si="3"/>
        <v>55.443333333333335</v>
      </c>
      <c r="H20" s="15">
        <v>2851</v>
      </c>
      <c r="I20" s="17">
        <f t="shared" si="1"/>
        <v>5.8340933005962825E-2</v>
      </c>
      <c r="J20" s="15">
        <v>5557</v>
      </c>
      <c r="K20" s="18">
        <f t="shared" si="2"/>
        <v>3.0592046068022316E-3</v>
      </c>
    </row>
    <row r="21" spans="1:11" x14ac:dyDescent="0.2">
      <c r="A21" s="13">
        <v>45790</v>
      </c>
      <c r="B21" s="14">
        <v>178.14</v>
      </c>
      <c r="C21" s="15">
        <v>27900</v>
      </c>
      <c r="D21" s="15">
        <v>12</v>
      </c>
      <c r="E21" s="16">
        <v>4.2999999999999999E-4</v>
      </c>
      <c r="F21" s="15">
        <v>4</v>
      </c>
      <c r="G21" s="14">
        <f t="shared" si="3"/>
        <v>44.534999999999997</v>
      </c>
      <c r="H21" s="15">
        <v>2617</v>
      </c>
      <c r="I21" s="17">
        <f t="shared" si="1"/>
        <v>6.8070309514711491E-2</v>
      </c>
      <c r="J21" s="15">
        <v>5001</v>
      </c>
      <c r="K21" s="18">
        <f t="shared" si="2"/>
        <v>2.3995200959808036E-3</v>
      </c>
    </row>
    <row r="22" spans="1:11" x14ac:dyDescent="0.2">
      <c r="A22" s="13">
        <v>45789</v>
      </c>
      <c r="B22" s="14">
        <v>168.27</v>
      </c>
      <c r="C22" s="15">
        <v>24782</v>
      </c>
      <c r="D22" s="15">
        <v>22</v>
      </c>
      <c r="E22" s="16">
        <v>8.8999999999999995E-4</v>
      </c>
      <c r="F22" s="15">
        <v>3</v>
      </c>
      <c r="G22" s="14">
        <f t="shared" si="3"/>
        <v>56.09</v>
      </c>
      <c r="H22" s="15">
        <v>2358</v>
      </c>
      <c r="I22" s="17">
        <f t="shared" si="1"/>
        <v>7.1361323155216289E-2</v>
      </c>
      <c r="J22" s="15">
        <v>4577</v>
      </c>
      <c r="K22" s="18">
        <f t="shared" si="2"/>
        <v>4.806641905178064E-3</v>
      </c>
    </row>
    <row r="23" spans="1:11" x14ac:dyDescent="0.2">
      <c r="A23" s="13">
        <v>45788</v>
      </c>
      <c r="B23" s="14">
        <v>178.34</v>
      </c>
      <c r="C23" s="15">
        <v>19908</v>
      </c>
      <c r="D23" s="15">
        <v>13</v>
      </c>
      <c r="E23" s="16">
        <v>6.4999999999999997E-4</v>
      </c>
      <c r="F23" s="15">
        <v>2</v>
      </c>
      <c r="G23" s="14">
        <f t="shared" si="3"/>
        <v>89.17</v>
      </c>
      <c r="H23" s="15">
        <v>2527</v>
      </c>
      <c r="I23" s="17">
        <f t="shared" si="1"/>
        <v>7.0573802928373564E-2</v>
      </c>
      <c r="J23" s="15">
        <v>5241</v>
      </c>
      <c r="K23" s="18">
        <f t="shared" si="2"/>
        <v>2.4804426636138143E-3</v>
      </c>
    </row>
    <row r="24" spans="1:11" x14ac:dyDescent="0.2">
      <c r="A24" s="13">
        <v>45787</v>
      </c>
      <c r="B24" s="14">
        <v>180.59</v>
      </c>
      <c r="C24" s="15">
        <v>21096</v>
      </c>
      <c r="D24" s="15">
        <v>14</v>
      </c>
      <c r="E24" s="16">
        <v>6.6E-4</v>
      </c>
      <c r="F24" s="15">
        <v>2</v>
      </c>
      <c r="G24" s="14">
        <f t="shared" si="3"/>
        <v>90.295000000000002</v>
      </c>
      <c r="H24" s="15">
        <v>2956</v>
      </c>
      <c r="I24" s="17">
        <f t="shared" si="1"/>
        <v>6.1092692828146146E-2</v>
      </c>
      <c r="J24" s="15">
        <v>5332</v>
      </c>
      <c r="K24" s="18">
        <f t="shared" si="2"/>
        <v>2.6256564141035259E-3</v>
      </c>
    </row>
    <row r="25" spans="1:11" x14ac:dyDescent="0.2">
      <c r="A25" s="13">
        <v>45786</v>
      </c>
      <c r="B25" s="14">
        <v>181.36</v>
      </c>
      <c r="C25" s="15">
        <v>22524</v>
      </c>
      <c r="D25" s="15">
        <v>12</v>
      </c>
      <c r="E25" s="16">
        <v>5.2999999999999998E-4</v>
      </c>
      <c r="F25" s="15">
        <v>5</v>
      </c>
      <c r="G25" s="14">
        <f t="shared" si="3"/>
        <v>36.272000000000006</v>
      </c>
      <c r="H25" s="15">
        <v>2042</v>
      </c>
      <c r="I25" s="17">
        <f t="shared" si="1"/>
        <v>8.881488736532811E-2</v>
      </c>
      <c r="J25" s="15">
        <v>4163</v>
      </c>
      <c r="K25" s="18">
        <f t="shared" si="2"/>
        <v>2.8825366322363681E-3</v>
      </c>
    </row>
    <row r="26" spans="1:11" x14ac:dyDescent="0.2">
      <c r="A26" s="13">
        <v>45785</v>
      </c>
      <c r="B26" s="14">
        <v>183.47</v>
      </c>
      <c r="C26" s="15">
        <v>24745</v>
      </c>
      <c r="D26" s="15">
        <v>14</v>
      </c>
      <c r="E26" s="16">
        <v>5.6999999999999998E-4</v>
      </c>
      <c r="F26" s="15">
        <v>3</v>
      </c>
      <c r="G26" s="14">
        <f t="shared" si="3"/>
        <v>61.156666666666666</v>
      </c>
      <c r="H26" s="15">
        <v>1826</v>
      </c>
      <c r="I26" s="17">
        <f t="shared" si="1"/>
        <v>0.10047645125958379</v>
      </c>
      <c r="J26" s="15">
        <v>3418</v>
      </c>
      <c r="K26" s="18">
        <f t="shared" si="2"/>
        <v>4.0959625511995321E-3</v>
      </c>
    </row>
    <row r="27" spans="1:11" x14ac:dyDescent="0.2">
      <c r="A27" s="13">
        <v>45784</v>
      </c>
      <c r="B27" s="14">
        <v>178.38</v>
      </c>
      <c r="C27" s="15">
        <v>23335</v>
      </c>
      <c r="D27" s="15">
        <v>14</v>
      </c>
      <c r="E27" s="16">
        <v>5.9999999999999995E-4</v>
      </c>
      <c r="F27" s="15">
        <v>4</v>
      </c>
      <c r="G27" s="14">
        <f t="shared" si="3"/>
        <v>44.594999999999999</v>
      </c>
      <c r="H27" s="15">
        <v>1819</v>
      </c>
      <c r="I27" s="17">
        <f t="shared" si="1"/>
        <v>9.8064870808136334E-2</v>
      </c>
      <c r="J27" s="15">
        <v>3686</v>
      </c>
      <c r="K27" s="18">
        <f t="shared" si="2"/>
        <v>3.7981551817688553E-3</v>
      </c>
    </row>
    <row r="28" spans="1:11" x14ac:dyDescent="0.2">
      <c r="A28" s="13">
        <v>45783</v>
      </c>
      <c r="B28" s="14">
        <v>188.39</v>
      </c>
      <c r="C28" s="15">
        <v>25076</v>
      </c>
      <c r="D28" s="15">
        <v>12</v>
      </c>
      <c r="E28" s="16">
        <v>4.8000000000000001E-4</v>
      </c>
      <c r="F28" s="15">
        <v>0</v>
      </c>
      <c r="G28" s="14" t="e">
        <f t="shared" si="3"/>
        <v>#DIV/0!</v>
      </c>
      <c r="H28" s="15">
        <v>1737</v>
      </c>
      <c r="I28" s="17">
        <f t="shared" si="1"/>
        <v>0.10845710995970062</v>
      </c>
      <c r="J28" s="15">
        <v>3413</v>
      </c>
      <c r="K28" s="18">
        <f t="shared" si="2"/>
        <v>3.5159683562847933E-3</v>
      </c>
    </row>
    <row r="29" spans="1:11" x14ac:dyDescent="0.2">
      <c r="A29" s="13">
        <v>45782</v>
      </c>
      <c r="B29" s="14">
        <v>173.55</v>
      </c>
      <c r="C29" s="15">
        <v>28212</v>
      </c>
      <c r="D29" s="15">
        <v>19</v>
      </c>
      <c r="E29" s="16">
        <v>6.7000000000000002E-4</v>
      </c>
      <c r="F29" s="15">
        <v>3</v>
      </c>
      <c r="G29" s="14" t="s">
        <v>17</v>
      </c>
      <c r="H29" s="15">
        <v>1615</v>
      </c>
      <c r="I29" s="17">
        <f t="shared" si="1"/>
        <v>0.10746130030959752</v>
      </c>
      <c r="J29" s="15">
        <v>3044</v>
      </c>
      <c r="K29" s="18">
        <f t="shared" si="2"/>
        <v>6.2417871222076211E-3</v>
      </c>
    </row>
    <row r="30" spans="1:11" x14ac:dyDescent="0.2">
      <c r="A30" s="13">
        <v>45781</v>
      </c>
      <c r="B30" s="14">
        <v>193.98</v>
      </c>
      <c r="C30" s="15">
        <v>28849</v>
      </c>
      <c r="D30" s="15">
        <v>10</v>
      </c>
      <c r="E30" s="16">
        <v>3.5E-4</v>
      </c>
      <c r="F30" s="15">
        <v>1</v>
      </c>
      <c r="G30" s="14">
        <f t="shared" ref="G30:G33" si="4">B30/F30</f>
        <v>193.98</v>
      </c>
      <c r="H30" s="15">
        <v>1397</v>
      </c>
      <c r="I30" s="17">
        <f t="shared" si="1"/>
        <v>0.13885468861846814</v>
      </c>
      <c r="J30" s="15">
        <v>2694</v>
      </c>
      <c r="K30" s="18">
        <f t="shared" si="2"/>
        <v>3.7119524870081661E-3</v>
      </c>
    </row>
    <row r="31" spans="1:11" x14ac:dyDescent="0.2">
      <c r="A31" s="13">
        <v>45780</v>
      </c>
      <c r="B31" s="14">
        <v>184.94</v>
      </c>
      <c r="C31" s="15">
        <v>25282</v>
      </c>
      <c r="D31" s="15">
        <v>15</v>
      </c>
      <c r="E31" s="16">
        <v>5.9000000000000003E-4</v>
      </c>
      <c r="F31" s="15">
        <v>4</v>
      </c>
      <c r="G31" s="14">
        <f t="shared" si="4"/>
        <v>46.234999999999999</v>
      </c>
      <c r="H31" s="15">
        <v>1417</v>
      </c>
      <c r="I31" s="17">
        <f t="shared" si="1"/>
        <v>0.130515172900494</v>
      </c>
      <c r="J31" s="15">
        <v>2294</v>
      </c>
      <c r="K31" s="18">
        <f t="shared" si="2"/>
        <v>6.5387968613775061E-3</v>
      </c>
    </row>
    <row r="32" spans="1:11" x14ac:dyDescent="0.2">
      <c r="A32" s="13">
        <v>45779</v>
      </c>
      <c r="B32" s="14">
        <v>195</v>
      </c>
      <c r="C32" s="15">
        <v>31174</v>
      </c>
      <c r="D32" s="15">
        <v>9</v>
      </c>
      <c r="E32" s="16">
        <v>2.9E-4</v>
      </c>
      <c r="F32" s="15">
        <v>2</v>
      </c>
      <c r="G32" s="14">
        <f t="shared" si="4"/>
        <v>97.5</v>
      </c>
      <c r="H32" s="15">
        <v>830</v>
      </c>
      <c r="I32" s="17">
        <f t="shared" si="1"/>
        <v>0.23493975903614459</v>
      </c>
      <c r="J32" s="15">
        <v>1325</v>
      </c>
      <c r="K32" s="18">
        <f t="shared" si="2"/>
        <v>6.7924528301886791E-3</v>
      </c>
    </row>
    <row r="33" spans="1:11" x14ac:dyDescent="0.2">
      <c r="A33" s="13">
        <v>45778</v>
      </c>
      <c r="B33" s="14">
        <v>220.56</v>
      </c>
      <c r="C33" s="15">
        <v>37103</v>
      </c>
      <c r="D33" s="15">
        <v>16</v>
      </c>
      <c r="E33" s="16">
        <v>4.2999999999999999E-4</v>
      </c>
      <c r="F33" s="15">
        <v>2</v>
      </c>
      <c r="G33" s="14">
        <f t="shared" si="4"/>
        <v>110.28</v>
      </c>
      <c r="H33" s="15">
        <v>394</v>
      </c>
      <c r="I33" s="17">
        <f t="shared" si="1"/>
        <v>0.55979695431472076</v>
      </c>
      <c r="J33" s="15">
        <v>707</v>
      </c>
      <c r="K33" s="18">
        <f t="shared" si="2"/>
        <v>2.2630834512022632E-2</v>
      </c>
    </row>
    <row r="36" spans="1:11" x14ac:dyDescent="0.2">
      <c r="A36" s="19" t="s">
        <v>11</v>
      </c>
      <c r="B36" s="2" t="s">
        <v>1</v>
      </c>
      <c r="C36" s="3" t="s">
        <v>2</v>
      </c>
      <c r="D36" s="3" t="s">
        <v>3</v>
      </c>
      <c r="E36" s="4" t="s">
        <v>4</v>
      </c>
      <c r="F36" s="3" t="s">
        <v>5</v>
      </c>
      <c r="G36" s="5" t="s">
        <v>6</v>
      </c>
      <c r="H36" s="3" t="s">
        <v>7</v>
      </c>
      <c r="I36" s="3" t="s">
        <v>8</v>
      </c>
      <c r="J36" s="3" t="s">
        <v>9</v>
      </c>
      <c r="K36" s="6" t="s">
        <v>10</v>
      </c>
    </row>
    <row r="37" spans="1:11" x14ac:dyDescent="0.2">
      <c r="A37" s="26">
        <v>45778</v>
      </c>
      <c r="B37" s="20">
        <v>5000.0200000000004</v>
      </c>
      <c r="C37" s="21">
        <v>694291</v>
      </c>
      <c r="D37" s="21">
        <v>339</v>
      </c>
      <c r="E37" s="22">
        <v>4.8999999999999998E-4</v>
      </c>
      <c r="F37" s="21">
        <v>119</v>
      </c>
      <c r="G37" s="8">
        <f t="shared" ref="G37:G40" si="5">B37/F37</f>
        <v>42.01697478991597</v>
      </c>
      <c r="H37" s="21">
        <v>86474</v>
      </c>
      <c r="I37" s="11">
        <f t="shared" ref="I37:I40" si="6">B37/H37</f>
        <v>5.782107916830493E-2</v>
      </c>
      <c r="J37" s="21">
        <v>165656</v>
      </c>
      <c r="K37" s="12">
        <f t="shared" ref="K37:K40" si="7">D37/J37</f>
        <v>2.0464094267638963E-3</v>
      </c>
    </row>
    <row r="38" spans="1:11" ht="15.75" customHeight="1" x14ac:dyDescent="0.25">
      <c r="A38" s="27" t="s">
        <v>18</v>
      </c>
      <c r="B38" s="28">
        <v>1840.95</v>
      </c>
      <c r="C38" s="29">
        <v>354362</v>
      </c>
      <c r="D38" s="30">
        <v>150</v>
      </c>
      <c r="E38" s="31">
        <v>4.2000000000000002E-4</v>
      </c>
      <c r="F38" s="30">
        <v>16</v>
      </c>
      <c r="G38" s="32">
        <f t="shared" si="5"/>
        <v>115.059375</v>
      </c>
      <c r="H38" s="30">
        <v>996</v>
      </c>
      <c r="I38" s="33">
        <f t="shared" si="6"/>
        <v>1.848343373493976</v>
      </c>
      <c r="J38" s="34">
        <v>5652</v>
      </c>
      <c r="K38" s="33">
        <f t="shared" si="7"/>
        <v>2.6539278131634821E-2</v>
      </c>
    </row>
    <row r="39" spans="1:11" ht="15.75" customHeight="1" x14ac:dyDescent="0.25">
      <c r="A39" s="27" t="s">
        <v>14</v>
      </c>
      <c r="B39" s="28">
        <v>690.26</v>
      </c>
      <c r="C39" s="29">
        <v>95504</v>
      </c>
      <c r="D39" s="30">
        <v>37</v>
      </c>
      <c r="E39" s="31">
        <v>3.8999999999999999E-4</v>
      </c>
      <c r="F39" s="30">
        <v>7</v>
      </c>
      <c r="G39" s="32">
        <f t="shared" si="5"/>
        <v>98.608571428571423</v>
      </c>
      <c r="H39" s="30">
        <v>419</v>
      </c>
      <c r="I39" s="33">
        <f t="shared" si="6"/>
        <v>1.647398568019093</v>
      </c>
      <c r="J39" s="34">
        <v>2072</v>
      </c>
      <c r="K39" s="33">
        <f t="shared" si="7"/>
        <v>1.7857142857142856E-2</v>
      </c>
    </row>
    <row r="40" spans="1:11" ht="15.75" customHeight="1" x14ac:dyDescent="0.25">
      <c r="A40" s="27" t="s">
        <v>19</v>
      </c>
      <c r="B40" s="28">
        <v>2468.81</v>
      </c>
      <c r="C40" s="29">
        <v>244425</v>
      </c>
      <c r="D40" s="30">
        <v>108</v>
      </c>
      <c r="E40" s="31">
        <v>6.6E-4</v>
      </c>
      <c r="F40" s="30">
        <v>96</v>
      </c>
      <c r="G40" s="32">
        <f t="shared" si="5"/>
        <v>25.716770833333332</v>
      </c>
      <c r="H40" s="34">
        <v>85059</v>
      </c>
      <c r="I40" s="33">
        <f t="shared" si="6"/>
        <v>2.9024676988913575E-2</v>
      </c>
      <c r="J40" s="34">
        <v>157932</v>
      </c>
      <c r="K40" s="35">
        <f t="shared" si="7"/>
        <v>6.8383861408707544E-4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June 2025</vt:lpstr>
      <vt:lpstr>May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tim.anderson@commissionkings.ag</dc:creator>
  <cp:lastModifiedBy>tim.anderson@commissionkings.ag</cp:lastModifiedBy>
  <dcterms:created xsi:type="dcterms:W3CDTF">2025-08-01T04:16:01Z</dcterms:created>
  <dcterms:modified xsi:type="dcterms:W3CDTF">2025-08-01T04:16:01Z</dcterms:modified>
</cp:coreProperties>
</file>