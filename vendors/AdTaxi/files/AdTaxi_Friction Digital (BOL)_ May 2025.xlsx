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<sst xmlns="http://schemas.openxmlformats.org/spreadsheetml/2006/main" count="27" uniqueCount="16">
  <si>
    <t>Month / Day</t>
  </si>
  <si>
    <t>Ad Spend</t>
  </si>
  <si>
    <t>Impressions</t>
  </si>
  <si>
    <t>Clicks</t>
  </si>
  <si>
    <t>CTR</t>
  </si>
  <si>
    <t>Sign Ups</t>
  </si>
  <si>
    <t>Cost Per Sign Up</t>
  </si>
  <si>
    <t>Engaged Site Visits</t>
  </si>
  <si>
    <t>Cost Per Engaged Visit</t>
  </si>
  <si>
    <t>Site Visits</t>
  </si>
  <si>
    <t>Cost Per Site Visit</t>
  </si>
  <si>
    <t>--</t>
  </si>
  <si>
    <t>Audience</t>
  </si>
  <si>
    <t>Behavioral</t>
  </si>
  <si>
    <t>Predictive</t>
  </si>
  <si>
    <t>Retargeting -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</si>
</sst>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&quot;$&quot;#,##0.00"/>
    <numFmt numFmtId="166" formatCode="mmmm yyyy"/>
    <numFmt numFmtId="167" formatCode="&quot;$&quot;#,##0.000"/>
    <numFmt numFmtId="168" formatCode="mm/dd/yyyy"/>
  </numFmts>
  <fonts count="6">
    <font>
      <sz val="10.0"/>
      <color rgb="FF000000"/>
      <name val="Arial"/>
      <scheme val="minor"/>
    </font>
    <font>
      <b/>
      <color rgb="FFFFFFFF"/>
      <name val="Calibri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right" vertical="bottom"/>
    </xf>
    <xf borderId="0" fillId="2" fontId="1" numFmtId="3" xfId="0" applyAlignment="1" applyFont="1" applyNumberFormat="1">
      <alignment horizontal="right" vertical="bottom"/>
    </xf>
    <xf borderId="0" fillId="2" fontId="1" numFmtId="10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165" xfId="0" applyAlignment="1" applyFont="1" applyNumberFormat="1">
      <alignment horizontal="right" vertical="bottom"/>
    </xf>
    <xf borderId="1" fillId="3" fontId="2" numFmtId="166" xfId="0" applyAlignment="1" applyBorder="1" applyFill="1" applyFont="1" applyNumberFormat="1">
      <alignment horizontal="center" vertical="bottom"/>
    </xf>
    <xf borderId="1" fillId="3" fontId="2" numFmtId="164" xfId="0" applyAlignment="1" applyBorder="1" applyFont="1" applyNumberFormat="1">
      <alignment horizontal="right" vertical="bottom"/>
    </xf>
    <xf borderId="1" fillId="3" fontId="2" numFmtId="3" xfId="0" applyAlignment="1" applyBorder="1" applyFont="1" applyNumberFormat="1">
      <alignment horizontal="right" vertical="bottom"/>
    </xf>
    <xf borderId="1" fillId="3" fontId="2" numFmtId="10" xfId="0" applyAlignment="1" applyBorder="1" applyFont="1" applyNumberFormat="1">
      <alignment horizontal="right" vertical="bottom"/>
    </xf>
    <xf borderId="1" fillId="3" fontId="2" numFmtId="165" xfId="0" applyAlignment="1" applyBorder="1" applyFont="1" applyNumberFormat="1">
      <alignment horizontal="right" vertical="bottom"/>
    </xf>
    <xf borderId="1" fillId="3" fontId="2" numFmtId="167" xfId="0" applyAlignment="1" applyBorder="1" applyFont="1" applyNumberFormat="1">
      <alignment horizontal="right" vertical="bottom"/>
    </xf>
    <xf borderId="0" fillId="0" fontId="3" numFmtId="168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vertical="bottom"/>
    </xf>
    <xf borderId="0" fillId="2" fontId="1" numFmtId="0" xfId="0" applyAlignment="1" applyFont="1">
      <alignment horizontal="center" readingOrder="0" vertical="bottom"/>
    </xf>
    <xf borderId="1" fillId="3" fontId="2" numFmtId="164" xfId="0" applyAlignment="1" applyBorder="1" applyFont="1" applyNumberFormat="1">
      <alignment horizontal="right" readingOrder="0" vertical="bottom"/>
    </xf>
    <xf borderId="1" fillId="3" fontId="2" numFmtId="3" xfId="0" applyAlignment="1" applyBorder="1" applyFont="1" applyNumberFormat="1">
      <alignment horizontal="right" readingOrder="0" vertical="bottom"/>
    </xf>
    <xf borderId="1" fillId="3" fontId="2" numFmtId="10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5" numFmtId="10" xfId="0" applyAlignment="1" applyFont="1" applyNumberFormat="1">
      <alignment readingOrder="0"/>
    </xf>
    <xf borderId="0" fillId="0" fontId="5" numFmtId="164" xfId="0" applyFont="1" applyNumberFormat="1"/>
    <xf borderId="0" fillId="0" fontId="5" numFmtId="165" xfId="0" applyFont="1" applyNumberFormat="1"/>
    <xf borderId="0" fillId="0" fontId="5" numFmtId="3" xfId="0" applyAlignment="1" applyFont="1" applyNumberFormat="1">
      <alignment readingOrder="0"/>
    </xf>
    <xf borderId="0" fillId="0" fontId="5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5.0"/>
    <col customWidth="1" min="3" max="3" width="17.88"/>
    <col customWidth="1" min="4" max="4" width="12.88"/>
    <col customWidth="1" min="5" max="5" width="14.63"/>
    <col customWidth="1" min="6" max="6" width="13.63"/>
    <col customWidth="1" min="7" max="11" width="17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</row>
    <row r="2">
      <c r="A2" s="7">
        <v>45778.0</v>
      </c>
      <c r="B2" s="8">
        <v>5000.02</v>
      </c>
      <c r="C2" s="9">
        <v>694291.0</v>
      </c>
      <c r="D2" s="9">
        <v>339.0</v>
      </c>
      <c r="E2" s="10">
        <v>4.9E-4</v>
      </c>
      <c r="F2" s="9">
        <v>119.0</v>
      </c>
      <c r="G2" s="8">
        <f t="shared" ref="G2:G10" si="1">B2/F2</f>
        <v>42.01697479</v>
      </c>
      <c r="H2" s="9">
        <v>86474.0</v>
      </c>
      <c r="I2" s="11">
        <f t="shared" ref="I2:I33" si="2">B2/H2</f>
        <v>0.05782107917</v>
      </c>
      <c r="J2" s="9">
        <v>165656.0</v>
      </c>
      <c r="K2" s="12">
        <f t="shared" ref="K2:K33" si="3">D2/J2</f>
        <v>0.002046409427</v>
      </c>
    </row>
    <row r="3">
      <c r="A3" s="13">
        <v>45808.0</v>
      </c>
      <c r="B3" s="14">
        <v>82.52</v>
      </c>
      <c r="C3" s="15">
        <v>12051.0</v>
      </c>
      <c r="D3" s="15">
        <v>4.0</v>
      </c>
      <c r="E3" s="16">
        <v>3.3E-4</v>
      </c>
      <c r="F3" s="15">
        <v>5.0</v>
      </c>
      <c r="G3" s="14">
        <f t="shared" si="1"/>
        <v>16.504</v>
      </c>
      <c r="H3" s="15">
        <v>5106.0</v>
      </c>
      <c r="I3" s="17">
        <f t="shared" si="2"/>
        <v>0.01616137877</v>
      </c>
      <c r="J3" s="15">
        <v>9864.0</v>
      </c>
      <c r="K3" s="18">
        <f t="shared" si="3"/>
        <v>0.0004055150041</v>
      </c>
    </row>
    <row r="4">
      <c r="A4" s="13">
        <v>45807.0</v>
      </c>
      <c r="B4" s="14">
        <v>108.21</v>
      </c>
      <c r="C4" s="15">
        <v>17039.0</v>
      </c>
      <c r="D4" s="15">
        <v>5.0</v>
      </c>
      <c r="E4" s="16">
        <v>2.9E-4</v>
      </c>
      <c r="F4" s="15">
        <v>6.0</v>
      </c>
      <c r="G4" s="14">
        <f t="shared" si="1"/>
        <v>18.035</v>
      </c>
      <c r="H4" s="15">
        <v>3443.0</v>
      </c>
      <c r="I4" s="17">
        <f t="shared" si="2"/>
        <v>0.03142898635</v>
      </c>
      <c r="J4" s="15">
        <v>7145.0</v>
      </c>
      <c r="K4" s="18">
        <f t="shared" si="3"/>
        <v>0.000699790063</v>
      </c>
    </row>
    <row r="5">
      <c r="A5" s="13">
        <v>45806.0</v>
      </c>
      <c r="B5" s="14">
        <v>116.11</v>
      </c>
      <c r="C5" s="15">
        <v>17748.0</v>
      </c>
      <c r="D5" s="15">
        <v>14.0</v>
      </c>
      <c r="E5" s="16">
        <v>7.9E-4</v>
      </c>
      <c r="F5" s="15">
        <v>8.0</v>
      </c>
      <c r="G5" s="14">
        <f t="shared" si="1"/>
        <v>14.51375</v>
      </c>
      <c r="H5" s="15">
        <v>3347.0</v>
      </c>
      <c r="I5" s="17">
        <f t="shared" si="2"/>
        <v>0.03469076785</v>
      </c>
      <c r="J5" s="15">
        <v>6642.0</v>
      </c>
      <c r="K5" s="18">
        <f t="shared" si="3"/>
        <v>0.002107798856</v>
      </c>
    </row>
    <row r="6">
      <c r="A6" s="13">
        <v>45805.0</v>
      </c>
      <c r="B6" s="14">
        <v>127.14</v>
      </c>
      <c r="C6" s="15">
        <v>21278.0</v>
      </c>
      <c r="D6" s="15">
        <v>12.0</v>
      </c>
      <c r="E6" s="16">
        <v>5.6E-4</v>
      </c>
      <c r="F6" s="15">
        <v>7.0</v>
      </c>
      <c r="G6" s="14">
        <f t="shared" si="1"/>
        <v>18.16285714</v>
      </c>
      <c r="H6" s="15">
        <v>3586.0</v>
      </c>
      <c r="I6" s="17">
        <f t="shared" si="2"/>
        <v>0.03545454545</v>
      </c>
      <c r="J6" s="15">
        <v>7501.0</v>
      </c>
      <c r="K6" s="18">
        <f t="shared" si="3"/>
        <v>0.001599786695</v>
      </c>
    </row>
    <row r="7">
      <c r="A7" s="13">
        <v>45804.0</v>
      </c>
      <c r="B7" s="14">
        <v>130.09</v>
      </c>
      <c r="C7" s="15">
        <v>20628.0</v>
      </c>
      <c r="D7" s="15">
        <v>7.0</v>
      </c>
      <c r="E7" s="16">
        <v>3.4E-4</v>
      </c>
      <c r="F7" s="15">
        <v>5.0</v>
      </c>
      <c r="G7" s="14">
        <f t="shared" si="1"/>
        <v>26.018</v>
      </c>
      <c r="H7" s="15">
        <v>3288.0</v>
      </c>
      <c r="I7" s="17">
        <f t="shared" si="2"/>
        <v>0.03956508516</v>
      </c>
      <c r="J7" s="15">
        <v>6657.0</v>
      </c>
      <c r="K7" s="18">
        <f t="shared" si="3"/>
        <v>0.001051524711</v>
      </c>
    </row>
    <row r="8">
      <c r="A8" s="13">
        <v>45803.0</v>
      </c>
      <c r="B8" s="14">
        <v>134.3</v>
      </c>
      <c r="C8" s="15">
        <v>15822.0</v>
      </c>
      <c r="D8" s="15">
        <v>5.0</v>
      </c>
      <c r="E8" s="16">
        <v>3.2E-4</v>
      </c>
      <c r="F8" s="15">
        <v>8.0</v>
      </c>
      <c r="G8" s="14">
        <f t="shared" si="1"/>
        <v>16.7875</v>
      </c>
      <c r="H8" s="15">
        <v>3555.0</v>
      </c>
      <c r="I8" s="17">
        <f t="shared" si="2"/>
        <v>0.03777777778</v>
      </c>
      <c r="J8" s="15">
        <v>7127.0</v>
      </c>
      <c r="K8" s="18">
        <f t="shared" si="3"/>
        <v>0.0007015574576</v>
      </c>
    </row>
    <row r="9">
      <c r="A9" s="13">
        <v>45802.0</v>
      </c>
      <c r="B9" s="14">
        <v>142.15</v>
      </c>
      <c r="C9" s="15">
        <v>17435.0</v>
      </c>
      <c r="D9" s="15">
        <v>6.0</v>
      </c>
      <c r="E9" s="16">
        <v>3.4E-4</v>
      </c>
      <c r="F9" s="15">
        <v>3.0</v>
      </c>
      <c r="G9" s="14">
        <f t="shared" si="1"/>
        <v>47.38333333</v>
      </c>
      <c r="H9" s="15">
        <v>3888.0</v>
      </c>
      <c r="I9" s="17">
        <f t="shared" si="2"/>
        <v>0.03656121399</v>
      </c>
      <c r="J9" s="15">
        <v>8325.0</v>
      </c>
      <c r="K9" s="18">
        <f t="shared" si="3"/>
        <v>0.0007207207207</v>
      </c>
    </row>
    <row r="10">
      <c r="A10" s="13">
        <v>45801.0</v>
      </c>
      <c r="B10" s="14">
        <v>143.04</v>
      </c>
      <c r="C10" s="15">
        <v>16557.0</v>
      </c>
      <c r="D10" s="15">
        <v>5.0</v>
      </c>
      <c r="E10" s="16">
        <v>3.0E-4</v>
      </c>
      <c r="F10" s="15">
        <v>0.0</v>
      </c>
      <c r="G10" s="14" t="str">
        <f t="shared" si="1"/>
        <v>#DIV/0!</v>
      </c>
      <c r="H10" s="15">
        <v>4190.0</v>
      </c>
      <c r="I10" s="17">
        <f t="shared" si="2"/>
        <v>0.03413842482</v>
      </c>
      <c r="J10" s="15">
        <v>8290.0</v>
      </c>
      <c r="K10" s="18">
        <f t="shared" si="3"/>
        <v>0.0006031363088</v>
      </c>
    </row>
    <row r="11">
      <c r="A11" s="13">
        <v>45800.0</v>
      </c>
      <c r="B11" s="14">
        <v>149.86</v>
      </c>
      <c r="C11" s="15">
        <v>18304.0</v>
      </c>
      <c r="D11" s="15">
        <v>8.0</v>
      </c>
      <c r="E11" s="16">
        <v>4.4E-4</v>
      </c>
      <c r="F11" s="15">
        <v>2.0</v>
      </c>
      <c r="G11" s="14" t="s">
        <v>11</v>
      </c>
      <c r="H11" s="15">
        <v>3506.0</v>
      </c>
      <c r="I11" s="17">
        <f t="shared" si="2"/>
        <v>0.04274386766</v>
      </c>
      <c r="J11" s="15">
        <v>6461.0</v>
      </c>
      <c r="K11" s="18">
        <f t="shared" si="3"/>
        <v>0.001238198421</v>
      </c>
    </row>
    <row r="12">
      <c r="A12" s="13">
        <v>45799.0</v>
      </c>
      <c r="B12" s="14">
        <v>159.45</v>
      </c>
      <c r="C12" s="15">
        <v>21299.0</v>
      </c>
      <c r="D12" s="15">
        <v>14.0</v>
      </c>
      <c r="E12" s="16">
        <v>6.6E-4</v>
      </c>
      <c r="F12" s="15">
        <v>4.0</v>
      </c>
      <c r="G12" s="14">
        <f t="shared" ref="G12:G28" si="4">B12/F12</f>
        <v>39.8625</v>
      </c>
      <c r="H12" s="15">
        <v>3110.0</v>
      </c>
      <c r="I12" s="17">
        <f t="shared" si="2"/>
        <v>0.05127009646</v>
      </c>
      <c r="J12" s="15">
        <v>5912.0</v>
      </c>
      <c r="K12" s="18">
        <f t="shared" si="3"/>
        <v>0.002368064953</v>
      </c>
    </row>
    <row r="13">
      <c r="A13" s="13">
        <v>45798.0</v>
      </c>
      <c r="B13" s="14">
        <v>150.82</v>
      </c>
      <c r="C13" s="15">
        <v>22340.0</v>
      </c>
      <c r="D13" s="15">
        <v>9.0</v>
      </c>
      <c r="E13" s="16">
        <v>4.0E-4</v>
      </c>
      <c r="F13" s="15">
        <v>3.0</v>
      </c>
      <c r="G13" s="14">
        <f t="shared" si="4"/>
        <v>50.27333333</v>
      </c>
      <c r="H13" s="15">
        <v>3222.0</v>
      </c>
      <c r="I13" s="17">
        <f t="shared" si="2"/>
        <v>0.04680943513</v>
      </c>
      <c r="J13" s="15">
        <v>6033.0</v>
      </c>
      <c r="K13" s="18">
        <f t="shared" si="3"/>
        <v>0.001491795127</v>
      </c>
    </row>
    <row r="14">
      <c r="A14" s="13">
        <v>45797.0</v>
      </c>
      <c r="B14" s="14">
        <v>159.89</v>
      </c>
      <c r="C14" s="15">
        <v>26102.0</v>
      </c>
      <c r="D14" s="15">
        <v>9.0</v>
      </c>
      <c r="E14" s="16">
        <v>3.4E-4</v>
      </c>
      <c r="F14" s="15">
        <v>6.0</v>
      </c>
      <c r="G14" s="14">
        <f t="shared" si="4"/>
        <v>26.64833333</v>
      </c>
      <c r="H14" s="15">
        <v>3029.0</v>
      </c>
      <c r="I14" s="17">
        <f t="shared" si="2"/>
        <v>0.05278639815</v>
      </c>
      <c r="J14" s="15">
        <v>5870.0</v>
      </c>
      <c r="K14" s="18">
        <f t="shared" si="3"/>
        <v>0.001533219761</v>
      </c>
    </row>
    <row r="15">
      <c r="A15" s="13">
        <v>45796.0</v>
      </c>
      <c r="B15" s="14">
        <v>155.13</v>
      </c>
      <c r="C15" s="15">
        <v>25324.0</v>
      </c>
      <c r="D15" s="15">
        <v>9.0</v>
      </c>
      <c r="E15" s="16">
        <v>3.6E-4</v>
      </c>
      <c r="F15" s="15">
        <v>4.0</v>
      </c>
      <c r="G15" s="14">
        <f t="shared" si="4"/>
        <v>38.7825</v>
      </c>
      <c r="H15" s="15">
        <v>2586.0</v>
      </c>
      <c r="I15" s="17">
        <f t="shared" si="2"/>
        <v>0.05998839907</v>
      </c>
      <c r="J15" s="15">
        <v>5339.0</v>
      </c>
      <c r="K15" s="18">
        <f t="shared" si="3"/>
        <v>0.001685708934</v>
      </c>
    </row>
    <row r="16">
      <c r="A16" s="13">
        <v>45795.0</v>
      </c>
      <c r="B16" s="14">
        <v>164.15</v>
      </c>
      <c r="C16" s="15">
        <v>18855.0</v>
      </c>
      <c r="D16" s="15">
        <v>12.0</v>
      </c>
      <c r="E16" s="16">
        <v>6.4E-4</v>
      </c>
      <c r="F16" s="15">
        <v>5.0</v>
      </c>
      <c r="G16" s="14">
        <f t="shared" si="4"/>
        <v>32.83</v>
      </c>
      <c r="H16" s="15">
        <v>3377.0</v>
      </c>
      <c r="I16" s="17">
        <f t="shared" si="2"/>
        <v>0.04860823216</v>
      </c>
      <c r="J16" s="15">
        <v>7150.0</v>
      </c>
      <c r="K16" s="18">
        <f t="shared" si="3"/>
        <v>0.001678321678</v>
      </c>
    </row>
    <row r="17">
      <c r="A17" s="13">
        <v>45794.0</v>
      </c>
      <c r="B17" s="14">
        <v>163.08</v>
      </c>
      <c r="C17" s="15">
        <v>18038.0</v>
      </c>
      <c r="D17" s="15">
        <v>6.0</v>
      </c>
      <c r="E17" s="16">
        <v>3.3E-4</v>
      </c>
      <c r="F17" s="15">
        <v>9.0</v>
      </c>
      <c r="G17" s="14">
        <f t="shared" si="4"/>
        <v>18.12</v>
      </c>
      <c r="H17" s="15">
        <v>4305.0</v>
      </c>
      <c r="I17" s="17">
        <f t="shared" si="2"/>
        <v>0.0378815331</v>
      </c>
      <c r="J17" s="15">
        <v>6317.0</v>
      </c>
      <c r="K17" s="18">
        <f t="shared" si="3"/>
        <v>0.0009498179516</v>
      </c>
    </row>
    <row r="18">
      <c r="A18" s="13">
        <v>45793.0</v>
      </c>
      <c r="B18" s="14">
        <v>173.62</v>
      </c>
      <c r="C18" s="15">
        <v>21157.0</v>
      </c>
      <c r="D18" s="15">
        <v>6.0</v>
      </c>
      <c r="E18" s="16">
        <v>2.8E-4</v>
      </c>
      <c r="F18" s="15">
        <v>2.0</v>
      </c>
      <c r="G18" s="14">
        <f t="shared" si="4"/>
        <v>86.81</v>
      </c>
      <c r="H18" s="15">
        <v>3372.0</v>
      </c>
      <c r="I18" s="17">
        <f t="shared" si="2"/>
        <v>0.05148873072</v>
      </c>
      <c r="J18" s="15">
        <v>5125.0</v>
      </c>
      <c r="K18" s="18">
        <f t="shared" si="3"/>
        <v>0.001170731707</v>
      </c>
    </row>
    <row r="19">
      <c r="A19" s="13">
        <v>45792.0</v>
      </c>
      <c r="B19" s="14">
        <v>169.15</v>
      </c>
      <c r="C19" s="15">
        <v>20878.0</v>
      </c>
      <c r="D19" s="15">
        <v>9.0</v>
      </c>
      <c r="E19" s="16">
        <v>4.3E-4</v>
      </c>
      <c r="F19" s="15">
        <v>4.0</v>
      </c>
      <c r="G19" s="14">
        <f t="shared" si="4"/>
        <v>42.2875</v>
      </c>
      <c r="H19" s="15">
        <v>3178.0</v>
      </c>
      <c r="I19" s="17">
        <f t="shared" si="2"/>
        <v>0.05322529893</v>
      </c>
      <c r="J19" s="15">
        <v>5446.0</v>
      </c>
      <c r="K19" s="18">
        <f t="shared" si="3"/>
        <v>0.001652589056</v>
      </c>
    </row>
    <row r="20">
      <c r="A20" s="13">
        <v>45791.0</v>
      </c>
      <c r="B20" s="14">
        <v>166.33</v>
      </c>
      <c r="C20" s="15">
        <v>23450.0</v>
      </c>
      <c r="D20" s="15">
        <v>17.0</v>
      </c>
      <c r="E20" s="16">
        <v>7.2E-4</v>
      </c>
      <c r="F20" s="15">
        <v>3.0</v>
      </c>
      <c r="G20" s="14">
        <f t="shared" si="4"/>
        <v>55.44333333</v>
      </c>
      <c r="H20" s="15">
        <v>2851.0</v>
      </c>
      <c r="I20" s="17">
        <f t="shared" si="2"/>
        <v>0.05834093301</v>
      </c>
      <c r="J20" s="15">
        <v>5557.0</v>
      </c>
      <c r="K20" s="18">
        <f t="shared" si="3"/>
        <v>0.003059204607</v>
      </c>
    </row>
    <row r="21">
      <c r="A21" s="13">
        <v>45790.0</v>
      </c>
      <c r="B21" s="14">
        <v>178.14</v>
      </c>
      <c r="C21" s="15">
        <v>27900.0</v>
      </c>
      <c r="D21" s="15">
        <v>12.0</v>
      </c>
      <c r="E21" s="16">
        <v>4.3E-4</v>
      </c>
      <c r="F21" s="15">
        <v>4.0</v>
      </c>
      <c r="G21" s="14">
        <f t="shared" si="4"/>
        <v>44.535</v>
      </c>
      <c r="H21" s="15">
        <v>2617.0</v>
      </c>
      <c r="I21" s="17">
        <f t="shared" si="2"/>
        <v>0.06807030951</v>
      </c>
      <c r="J21" s="15">
        <v>5001.0</v>
      </c>
      <c r="K21" s="18">
        <f t="shared" si="3"/>
        <v>0.002399520096</v>
      </c>
    </row>
    <row r="22">
      <c r="A22" s="13">
        <v>45789.0</v>
      </c>
      <c r="B22" s="14">
        <v>168.27</v>
      </c>
      <c r="C22" s="15">
        <v>24782.0</v>
      </c>
      <c r="D22" s="15">
        <v>22.0</v>
      </c>
      <c r="E22" s="16">
        <v>8.9E-4</v>
      </c>
      <c r="F22" s="15">
        <v>3.0</v>
      </c>
      <c r="G22" s="14">
        <f t="shared" si="4"/>
        <v>56.09</v>
      </c>
      <c r="H22" s="15">
        <v>2358.0</v>
      </c>
      <c r="I22" s="17">
        <f t="shared" si="2"/>
        <v>0.07136132316</v>
      </c>
      <c r="J22" s="15">
        <v>4577.0</v>
      </c>
      <c r="K22" s="18">
        <f t="shared" si="3"/>
        <v>0.004806641905</v>
      </c>
    </row>
    <row r="23">
      <c r="A23" s="13">
        <v>45788.0</v>
      </c>
      <c r="B23" s="14">
        <v>178.34</v>
      </c>
      <c r="C23" s="15">
        <v>19908.0</v>
      </c>
      <c r="D23" s="15">
        <v>13.0</v>
      </c>
      <c r="E23" s="16">
        <v>6.5E-4</v>
      </c>
      <c r="F23" s="15">
        <v>2.0</v>
      </c>
      <c r="G23" s="14">
        <f t="shared" si="4"/>
        <v>89.17</v>
      </c>
      <c r="H23" s="15">
        <v>2527.0</v>
      </c>
      <c r="I23" s="17">
        <f t="shared" si="2"/>
        <v>0.07057380293</v>
      </c>
      <c r="J23" s="15">
        <v>5241.0</v>
      </c>
      <c r="K23" s="18">
        <f t="shared" si="3"/>
        <v>0.002480442664</v>
      </c>
    </row>
    <row r="24">
      <c r="A24" s="13">
        <v>45787.0</v>
      </c>
      <c r="B24" s="14">
        <v>180.59</v>
      </c>
      <c r="C24" s="15">
        <v>21096.0</v>
      </c>
      <c r="D24" s="15">
        <v>14.0</v>
      </c>
      <c r="E24" s="16">
        <v>6.6E-4</v>
      </c>
      <c r="F24" s="15">
        <v>2.0</v>
      </c>
      <c r="G24" s="14">
        <f t="shared" si="4"/>
        <v>90.295</v>
      </c>
      <c r="H24" s="15">
        <v>2956.0</v>
      </c>
      <c r="I24" s="17">
        <f t="shared" si="2"/>
        <v>0.06109269283</v>
      </c>
      <c r="J24" s="15">
        <v>5332.0</v>
      </c>
      <c r="K24" s="18">
        <f t="shared" si="3"/>
        <v>0.002625656414</v>
      </c>
    </row>
    <row r="25">
      <c r="A25" s="13">
        <v>45786.0</v>
      </c>
      <c r="B25" s="14">
        <v>181.36</v>
      </c>
      <c r="C25" s="15">
        <v>22524.0</v>
      </c>
      <c r="D25" s="15">
        <v>12.0</v>
      </c>
      <c r="E25" s="16">
        <v>5.3E-4</v>
      </c>
      <c r="F25" s="15">
        <v>5.0</v>
      </c>
      <c r="G25" s="14">
        <f t="shared" si="4"/>
        <v>36.272</v>
      </c>
      <c r="H25" s="15">
        <v>2042.0</v>
      </c>
      <c r="I25" s="17">
        <f t="shared" si="2"/>
        <v>0.08881488737</v>
      </c>
      <c r="J25" s="15">
        <v>4163.0</v>
      </c>
      <c r="K25" s="18">
        <f t="shared" si="3"/>
        <v>0.002882536632</v>
      </c>
    </row>
    <row r="26">
      <c r="A26" s="13">
        <v>45785.0</v>
      </c>
      <c r="B26" s="14">
        <v>183.47</v>
      </c>
      <c r="C26" s="15">
        <v>24745.0</v>
      </c>
      <c r="D26" s="15">
        <v>14.0</v>
      </c>
      <c r="E26" s="16">
        <v>5.7E-4</v>
      </c>
      <c r="F26" s="15">
        <v>3.0</v>
      </c>
      <c r="G26" s="14">
        <f t="shared" si="4"/>
        <v>61.15666667</v>
      </c>
      <c r="H26" s="15">
        <v>1826.0</v>
      </c>
      <c r="I26" s="17">
        <f t="shared" si="2"/>
        <v>0.1004764513</v>
      </c>
      <c r="J26" s="15">
        <v>3418.0</v>
      </c>
      <c r="K26" s="18">
        <f t="shared" si="3"/>
        <v>0.004095962551</v>
      </c>
    </row>
    <row r="27">
      <c r="A27" s="13">
        <v>45784.0</v>
      </c>
      <c r="B27" s="14">
        <v>178.38</v>
      </c>
      <c r="C27" s="15">
        <v>23335.0</v>
      </c>
      <c r="D27" s="15">
        <v>14.0</v>
      </c>
      <c r="E27" s="16">
        <v>6.0E-4</v>
      </c>
      <c r="F27" s="15">
        <v>4.0</v>
      </c>
      <c r="G27" s="14">
        <f t="shared" si="4"/>
        <v>44.595</v>
      </c>
      <c r="H27" s="15">
        <v>1819.0</v>
      </c>
      <c r="I27" s="17">
        <f t="shared" si="2"/>
        <v>0.09806487081</v>
      </c>
      <c r="J27" s="15">
        <v>3686.0</v>
      </c>
      <c r="K27" s="18">
        <f t="shared" si="3"/>
        <v>0.003798155182</v>
      </c>
    </row>
    <row r="28">
      <c r="A28" s="13">
        <v>45783.0</v>
      </c>
      <c r="B28" s="14">
        <v>188.39</v>
      </c>
      <c r="C28" s="15">
        <v>25076.0</v>
      </c>
      <c r="D28" s="15">
        <v>12.0</v>
      </c>
      <c r="E28" s="16">
        <v>4.8E-4</v>
      </c>
      <c r="F28" s="15">
        <v>0.0</v>
      </c>
      <c r="G28" s="14" t="str">
        <f t="shared" si="4"/>
        <v>#DIV/0!</v>
      </c>
      <c r="H28" s="15">
        <v>1737.0</v>
      </c>
      <c r="I28" s="17">
        <f t="shared" si="2"/>
        <v>0.10845711</v>
      </c>
      <c r="J28" s="15">
        <v>3413.0</v>
      </c>
      <c r="K28" s="18">
        <f t="shared" si="3"/>
        <v>0.003515968356</v>
      </c>
    </row>
    <row r="29">
      <c r="A29" s="13">
        <v>45782.0</v>
      </c>
      <c r="B29" s="14">
        <v>173.55</v>
      </c>
      <c r="C29" s="15">
        <v>28212.0</v>
      </c>
      <c r="D29" s="15">
        <v>19.0</v>
      </c>
      <c r="E29" s="16">
        <v>6.7E-4</v>
      </c>
      <c r="F29" s="15">
        <v>3.0</v>
      </c>
      <c r="G29" s="14" t="s">
        <v>11</v>
      </c>
      <c r="H29" s="15">
        <v>1615.0</v>
      </c>
      <c r="I29" s="17">
        <f t="shared" si="2"/>
        <v>0.1074613003</v>
      </c>
      <c r="J29" s="15">
        <v>3044.0</v>
      </c>
      <c r="K29" s="18">
        <f t="shared" si="3"/>
        <v>0.006241787122</v>
      </c>
    </row>
    <row r="30">
      <c r="A30" s="13">
        <v>45781.0</v>
      </c>
      <c r="B30" s="14">
        <v>193.98</v>
      </c>
      <c r="C30" s="15">
        <v>28849.0</v>
      </c>
      <c r="D30" s="15">
        <v>10.0</v>
      </c>
      <c r="E30" s="16">
        <v>3.5E-4</v>
      </c>
      <c r="F30" s="15">
        <v>1.0</v>
      </c>
      <c r="G30" s="14">
        <f t="shared" ref="G30:G33" si="5">B30/F30</f>
        <v>193.98</v>
      </c>
      <c r="H30" s="15">
        <v>1397.0</v>
      </c>
      <c r="I30" s="17">
        <f t="shared" si="2"/>
        <v>0.1388546886</v>
      </c>
      <c r="J30" s="15">
        <v>2694.0</v>
      </c>
      <c r="K30" s="18">
        <f t="shared" si="3"/>
        <v>0.003711952487</v>
      </c>
    </row>
    <row r="31">
      <c r="A31" s="13">
        <v>45780.0</v>
      </c>
      <c r="B31" s="14">
        <v>184.94</v>
      </c>
      <c r="C31" s="15">
        <v>25282.0</v>
      </c>
      <c r="D31" s="15">
        <v>15.0</v>
      </c>
      <c r="E31" s="16">
        <v>5.9E-4</v>
      </c>
      <c r="F31" s="15">
        <v>4.0</v>
      </c>
      <c r="G31" s="14">
        <f t="shared" si="5"/>
        <v>46.235</v>
      </c>
      <c r="H31" s="15">
        <v>1417.0</v>
      </c>
      <c r="I31" s="17">
        <f t="shared" si="2"/>
        <v>0.1305151729</v>
      </c>
      <c r="J31" s="15">
        <v>2294.0</v>
      </c>
      <c r="K31" s="18">
        <f t="shared" si="3"/>
        <v>0.006538796861</v>
      </c>
    </row>
    <row r="32">
      <c r="A32" s="13">
        <v>45779.0</v>
      </c>
      <c r="B32" s="14">
        <v>195.0</v>
      </c>
      <c r="C32" s="15">
        <v>31174.0</v>
      </c>
      <c r="D32" s="15">
        <v>9.0</v>
      </c>
      <c r="E32" s="16">
        <v>2.9E-4</v>
      </c>
      <c r="F32" s="15">
        <v>2.0</v>
      </c>
      <c r="G32" s="14">
        <f t="shared" si="5"/>
        <v>97.5</v>
      </c>
      <c r="H32" s="15">
        <v>830.0</v>
      </c>
      <c r="I32" s="17">
        <f t="shared" si="2"/>
        <v>0.234939759</v>
      </c>
      <c r="J32" s="15">
        <v>1325.0</v>
      </c>
      <c r="K32" s="18">
        <f t="shared" si="3"/>
        <v>0.00679245283</v>
      </c>
    </row>
    <row r="33">
      <c r="A33" s="13">
        <v>45778.0</v>
      </c>
      <c r="B33" s="14">
        <v>220.56</v>
      </c>
      <c r="C33" s="15">
        <v>37103.0</v>
      </c>
      <c r="D33" s="15">
        <v>16.0</v>
      </c>
      <c r="E33" s="16">
        <v>4.3E-4</v>
      </c>
      <c r="F33" s="15">
        <v>2.0</v>
      </c>
      <c r="G33" s="14">
        <f t="shared" si="5"/>
        <v>110.28</v>
      </c>
      <c r="H33" s="15">
        <v>394.0</v>
      </c>
      <c r="I33" s="17">
        <f t="shared" si="2"/>
        <v>0.5597969543</v>
      </c>
      <c r="J33" s="15">
        <v>707.0</v>
      </c>
      <c r="K33" s="18">
        <f t="shared" si="3"/>
        <v>0.02263083451</v>
      </c>
    </row>
    <row r="36">
      <c r="A36" s="19" t="s">
        <v>12</v>
      </c>
      <c r="B36" s="2" t="s">
        <v>1</v>
      </c>
      <c r="C36" s="3" t="s">
        <v>2</v>
      </c>
      <c r="D36" s="3" t="s">
        <v>3</v>
      </c>
      <c r="E36" s="4" t="s">
        <v>4</v>
      </c>
      <c r="F36" s="3" t="s">
        <v>5</v>
      </c>
      <c r="G36" s="5" t="s">
        <v>6</v>
      </c>
      <c r="H36" s="3" t="s">
        <v>7</v>
      </c>
      <c r="I36" s="3" t="s">
        <v>8</v>
      </c>
      <c r="J36" s="3" t="s">
        <v>9</v>
      </c>
      <c r="K36" s="6" t="s">
        <v>10</v>
      </c>
    </row>
    <row r="37">
      <c r="A37" s="7">
        <v>45778.0</v>
      </c>
      <c r="B37" s="20">
        <v>5000.02</v>
      </c>
      <c r="C37" s="21">
        <v>694291.0</v>
      </c>
      <c r="D37" s="21">
        <v>339.0</v>
      </c>
      <c r="E37" s="22">
        <v>4.9E-4</v>
      </c>
      <c r="F37" s="21">
        <v>119.0</v>
      </c>
      <c r="G37" s="8">
        <f t="shared" ref="G37:G40" si="6">B37/F37</f>
        <v>42.01697479</v>
      </c>
      <c r="H37" s="21">
        <v>86474.0</v>
      </c>
      <c r="I37" s="11">
        <f t="shared" ref="I37:I40" si="7">B37/H37</f>
        <v>0.05782107917</v>
      </c>
      <c r="J37" s="21">
        <v>165656.0</v>
      </c>
      <c r="K37" s="12">
        <f t="shared" ref="K37:K40" si="8">D37/J37</f>
        <v>0.002046409427</v>
      </c>
    </row>
    <row r="38">
      <c r="A38" s="23" t="s">
        <v>13</v>
      </c>
      <c r="B38" s="24">
        <v>1840.95</v>
      </c>
      <c r="C38" s="25">
        <v>354362.0</v>
      </c>
      <c r="D38" s="26">
        <v>150.0</v>
      </c>
      <c r="E38" s="27">
        <v>4.2E-4</v>
      </c>
      <c r="F38" s="26">
        <v>16.0</v>
      </c>
      <c r="G38" s="28">
        <f t="shared" si="6"/>
        <v>115.059375</v>
      </c>
      <c r="H38" s="26">
        <v>996.0</v>
      </c>
      <c r="I38" s="29">
        <f t="shared" si="7"/>
        <v>1.848343373</v>
      </c>
      <c r="J38" s="30">
        <v>5652.0</v>
      </c>
      <c r="K38" s="29">
        <f t="shared" si="8"/>
        <v>0.02653927813</v>
      </c>
    </row>
    <row r="39">
      <c r="A39" s="23" t="s">
        <v>14</v>
      </c>
      <c r="B39" s="24">
        <v>690.26</v>
      </c>
      <c r="C39" s="25">
        <v>95504.0</v>
      </c>
      <c r="D39" s="26">
        <v>37.0</v>
      </c>
      <c r="E39" s="27">
        <v>3.9E-4</v>
      </c>
      <c r="F39" s="26">
        <v>7.0</v>
      </c>
      <c r="G39" s="28">
        <f t="shared" si="6"/>
        <v>98.60857143</v>
      </c>
      <c r="H39" s="26">
        <v>419.0</v>
      </c>
      <c r="I39" s="29">
        <f t="shared" si="7"/>
        <v>1.647398568</v>
      </c>
      <c r="J39" s="30">
        <v>2072.0</v>
      </c>
      <c r="K39" s="29">
        <f t="shared" si="8"/>
        <v>0.01785714286</v>
      </c>
    </row>
    <row r="40">
      <c r="A40" s="23" t="s">
        <v>15</v>
      </c>
      <c r="B40" s="24">
        <v>2468.81</v>
      </c>
      <c r="C40" s="25">
        <v>244425.0</v>
      </c>
      <c r="D40" s="26">
        <v>108.0</v>
      </c>
      <c r="E40" s="27">
        <v>6.6E-4</v>
      </c>
      <c r="F40" s="26">
        <v>96.0</v>
      </c>
      <c r="G40" s="28">
        <f t="shared" si="6"/>
        <v>25.71677083</v>
      </c>
      <c r="H40" s="30">
        <v>85059.0</v>
      </c>
      <c r="I40" s="29">
        <f t="shared" si="7"/>
        <v>0.02902467699</v>
      </c>
      <c r="J40" s="30">
        <v>157932.0</v>
      </c>
      <c r="K40" s="31">
        <f t="shared" si="8"/>
        <v>0.0006838386141</v>
      </c>
    </row>
  </sheetData>
  <drawing r:id="rId1"/>
</worksheet>
</file>