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7DE37078-9AB6-024F-A230-8A7369B86B06}" xr6:coauthVersionLast="47" xr6:coauthVersionMax="47" xr10:uidLastSave="{00000000-0000-0000-0000-000000000000}"/>
  <bookViews>
    <workbookView xWindow="0" yWindow="50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4" l="1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D35" i="4"/>
  <c r="C35" i="4"/>
  <c r="B35" i="4"/>
  <c r="D29" i="1"/>
  <c r="B29" i="1"/>
  <c r="C29" i="1"/>
  <c r="D12" i="4"/>
  <c r="C12" i="4"/>
  <c r="B12" i="4"/>
  <c r="D31" i="4" l="1"/>
  <c r="D36" i="4" s="1"/>
  <c r="C31" i="4"/>
  <c r="C36" i="4" s="1"/>
  <c r="B31" i="4"/>
  <c r="B36" i="4" s="1"/>
  <c r="E29" i="1"/>
  <c r="F31" i="4" l="1"/>
  <c r="F34" i="4"/>
  <c r="E34" i="4"/>
  <c r="F35" i="4"/>
  <c r="F15" i="4"/>
  <c r="F6" i="4"/>
  <c r="E6" i="4"/>
  <c r="E15" i="4"/>
  <c r="E16" i="4" l="1"/>
  <c r="F16" i="4"/>
  <c r="F28" i="4"/>
  <c r="E29" i="4"/>
  <c r="F29" i="4"/>
  <c r="E26" i="4"/>
  <c r="E30" i="4"/>
  <c r="F26" i="4"/>
  <c r="F30" i="4"/>
  <c r="F27" i="4"/>
  <c r="E28" i="4"/>
  <c r="E27" i="4"/>
  <c r="F12" i="4"/>
  <c r="E7" i="4"/>
  <c r="E11" i="4"/>
  <c r="F7" i="4"/>
  <c r="F11" i="4"/>
  <c r="E8" i="4"/>
  <c r="F8" i="4"/>
  <c r="E9" i="4"/>
  <c r="F9" i="4"/>
  <c r="E10" i="4"/>
  <c r="F10" i="4"/>
</calcChain>
</file>

<file path=xl/sharedStrings.xml><?xml version="1.0" encoding="utf-8"?>
<sst xmlns="http://schemas.openxmlformats.org/spreadsheetml/2006/main" count="2273" uniqueCount="502">
  <si>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</si>
  <si>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</si>
  <si>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</si>
  <si>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</si>
  <si>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</si>
  <si>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</si>
  <si>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</si>
  <si>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</si>
  <si>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</si>
  <si>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</si>
  <si>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</si>
  <si>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</si>
  <si>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South Carolina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</si>
  <si>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</si>
  <si>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</si>
  <si>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</si>
  <si>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</si>
  <si>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</si>
  <si>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</si>
  <si>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</si>
  <si>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</si>
  <si>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</si>
  <si>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TOTAL</t>
  </si>
  <si>
    <t>Spend</t>
  </si>
  <si>
    <t>Date</t>
  </si>
  <si>
    <t>Total Venue Count</t>
  </si>
  <si>
    <t>TOTAL:</t>
  </si>
  <si>
    <t>% of Total</t>
  </si>
  <si>
    <t>c</t>
  </si>
  <si>
    <t>North Carolina</t>
  </si>
  <si>
    <t>Virginia</t>
  </si>
  <si>
    <t>BOL Video Slideshow - NBA 10222025 SINGLE.mp4</t>
  </si>
  <si>
    <t>BOL Video Slideshow - NBA 10222025 FULL.mp4</t>
  </si>
  <si>
    <t>BOL_WK45_NCAA_BASKETBALL_SINGLE.mp4</t>
  </si>
  <si>
    <t>BOL_WK45_NCAA_BASKETBALL_FULL.mp4</t>
  </si>
  <si>
    <t>Smudgepot Brewing Company</t>
  </si>
  <si>
    <t>The Oaks Tavern</t>
  </si>
  <si>
    <t>Sushi Hook</t>
  </si>
  <si>
    <t>River Rock Brewery</t>
  </si>
  <si>
    <t>Frank &amp; Furter's Handcrafted Hot Dogs</t>
  </si>
  <si>
    <t>Stox Inc</t>
  </si>
  <si>
    <t>Wahoo's Fish Taco</t>
  </si>
  <si>
    <t>Union Hotel Restaurants</t>
  </si>
  <si>
    <t>hermosa brewing co</t>
  </si>
  <si>
    <t>Wahoos Fish Tacos</t>
  </si>
  <si>
    <t>The Pen</t>
  </si>
  <si>
    <t>The Lucky Greek</t>
  </si>
  <si>
    <t>The Chicken Coop Restaurant and Bar</t>
  </si>
  <si>
    <t>Rock &amp; Reilly's USC - Restaurant and Bar</t>
  </si>
  <si>
    <t>Mexihana's Hibachi Grill</t>
  </si>
  <si>
    <t>Kyodai Sushi</t>
  </si>
  <si>
    <t>Wahoo‚Äôs Fish Taco</t>
  </si>
  <si>
    <t>Vitality Bowls Dublin</t>
  </si>
  <si>
    <t>Armadillo Willy‚Äôs</t>
  </si>
  <si>
    <t>Pho Mai #1 Noodle House</t>
  </si>
  <si>
    <t>Las Cazuelas Restaurant</t>
  </si>
  <si>
    <t>The Fat Greek</t>
  </si>
  <si>
    <t>Falafel Corner #6-Bradshaw Rd</t>
  </si>
  <si>
    <t>Ttobongee Chicken Folsom</t>
  </si>
  <si>
    <t>CAFEMG538, Inc.</t>
  </si>
  <si>
    <t>Superb pizza</t>
  </si>
  <si>
    <t>Stevenot Winery</t>
  </si>
  <si>
    <t>Falafel Corner #4</t>
  </si>
  <si>
    <t>The Roost Lounge</t>
  </si>
  <si>
    <t>Subway - Bob Grewal</t>
  </si>
  <si>
    <t>Valley Brewers/The Backroom</t>
  </si>
  <si>
    <t>The Other Room</t>
  </si>
  <si>
    <t>Carlitos Diner</t>
  </si>
  <si>
    <t>Slice of Sierra Pizza</t>
  </si>
  <si>
    <t>Rio Pub</t>
  </si>
  <si>
    <t>Jts pizza oven</t>
  </si>
  <si>
    <t>Subway - Rancho Viejo Rd #1939</t>
  </si>
  <si>
    <t>Meg's Creamery</t>
  </si>
  <si>
    <t>L‚Äôs Caffe Inc.</t>
  </si>
  <si>
    <t>Braz burger</t>
  </si>
  <si>
    <t>Smoke city</t>
  </si>
  <si>
    <t>CS Brazilian Steakhouse</t>
  </si>
  <si>
    <t>Tagpuan Restaurant</t>
  </si>
  <si>
    <t>DOLLY SPANKER'S</t>
  </si>
  <si>
    <t>Dewpoint Brewing Company</t>
  </si>
  <si>
    <t>Winners Circle Sportsbar &amp; Grill</t>
  </si>
  <si>
    <t>Machu Picchu Ceviche &amp; Bar</t>
  </si>
  <si>
    <t>cafe taberna</t>
  </si>
  <si>
    <t>La casa de la decada</t>
  </si>
  <si>
    <t>The Corner Pocket</t>
  </si>
  <si>
    <t>Estrella Cubana Restaurant</t>
  </si>
  <si>
    <t>La cocina de Martina</t>
  </si>
  <si>
    <t>Oasis Pub</t>
  </si>
  <si>
    <t>esquinita colombiana restaurant</t>
  </si>
  <si>
    <t>Call Me Cuban by Yuca</t>
  </si>
  <si>
    <t>Jaxx Wing Co.</t>
  </si>
  <si>
    <t>La Gocha Market</t>
  </si>
  <si>
    <t>Pedro &amp; Cary Restaurant &amp; Cafeteria</t>
  </si>
  <si>
    <t>The House Of Brews</t>
  </si>
  <si>
    <t>Las Carnitas Latin Food</t>
  </si>
  <si>
    <t>Happy snapper seafood</t>
  </si>
  <si>
    <t>Fire In The Bricks - Main</t>
  </si>
  <si>
    <t>Sneaky‚Äôs Sports Bar &amp; Grill</t>
  </si>
  <si>
    <t>Subrageous</t>
  </si>
  <si>
    <t>Hennessy's Bar &amp; Grille</t>
  </si>
  <si>
    <t>Pita Kebob</t>
  </si>
  <si>
    <t>Arcies Tienda y Taqueria</t>
  </si>
  <si>
    <t>Sound of Spirits Distillery</t>
  </si>
  <si>
    <t>Big John's Pizzeria</t>
  </si>
  <si>
    <t>Philly Diner</t>
  </si>
  <si>
    <t>chez faby</t>
  </si>
  <si>
    <t>Angry Pepper Smokeshack &amp; Grill</t>
  </si>
  <si>
    <t>Bullwinkle's Saloon</t>
  </si>
  <si>
    <t>Chuck Wagon Restaurant</t>
  </si>
  <si>
    <t>Red tiki bar and grill</t>
  </si>
  <si>
    <t>La Mantequeria</t>
  </si>
  <si>
    <t>Parrott Island</t>
  </si>
  <si>
    <t>Big Daddy's Sub Shop</t>
  </si>
  <si>
    <t>Oasis Root Coffee and Kava Lounge</t>
  </si>
  <si>
    <t>Mike's At Venetia</t>
  </si>
  <si>
    <t>Barbecue Beer Co</t>
  </si>
  <si>
    <t>Cuban Guys Restaurant</t>
  </si>
  <si>
    <t>Scores Palm Beach</t>
  </si>
  <si>
    <t>Boba Ice Bar</t>
  </si>
  <si>
    <t>Mj‚Äôs Pizza And Wings</t>
  </si>
  <si>
    <t>Berlins Doener</t>
  </si>
  <si>
    <t>Ephesus Mediterranean Grill</t>
  </si>
  <si>
    <t>Red Fox Diner</t>
  </si>
  <si>
    <t>Crave Pok√©</t>
  </si>
  <si>
    <t>Oh Lemonade Inc</t>
  </si>
  <si>
    <t>Fratelli's Italian Restaurant</t>
  </si>
  <si>
    <t>Firehouse subs</t>
  </si>
  <si>
    <t>McCarthy's Pub</t>
  </si>
  <si>
    <t>The Tavern at Bayboro</t>
  </si>
  <si>
    <t>So-Hoss Bar</t>
  </si>
  <si>
    <t>Tamu Cupcakery</t>
  </si>
  <si>
    <t>Firehouse Subs Plantation</t>
  </si>
  <si>
    <t>Boars Nest</t>
  </si>
  <si>
    <t>La embajada colombiana</t>
  </si>
  <si>
    <t>South Street City Oven Bar and Grill</t>
  </si>
  <si>
    <t>Salty Lime Cantina</t>
  </si>
  <si>
    <t>Murphy's Pub</t>
  </si>
  <si>
    <t>Dutshy's Caribbean Restaurant</t>
  </si>
  <si>
    <t>Racks Pub &amp; Billiards</t>
  </si>
  <si>
    <t>Alegria by El Rancherito</t>
  </si>
  <si>
    <t>Ice&amp;Cream Creamery</t>
  </si>
  <si>
    <t>La guapachosa</t>
  </si>
  <si>
    <t>prospect pizza</t>
  </si>
  <si>
    <t>Rico Rico restaurante</t>
  </si>
  <si>
    <t>Barbecue Beer Co.</t>
  </si>
  <si>
    <t>Aprile restaurante &amp; market</t>
  </si>
  <si>
    <t>El churro magico</t>
  </si>
  <si>
    <t>Rolos Bakery</t>
  </si>
  <si>
    <t>Palms pantry</t>
  </si>
  <si>
    <t>Prestige Energy</t>
  </si>
  <si>
    <t>Taco Rico  restaurant</t>
  </si>
  <si>
    <t>Urban Grounds</t>
  </si>
  <si>
    <t>Wells Road Liquors</t>
  </si>
  <si>
    <t>Tipico Centroamericano Cafe</t>
  </si>
  <si>
    <t>Sky liquor</t>
  </si>
  <si>
    <t>Holey Moley NY Bagel</t>
  </si>
  <si>
    <t>Beignets &amp; Brew</t>
  </si>
  <si>
    <t>Rusty Barrel</t>
  </si>
  <si>
    <t>Foggy Bottom BBQ</t>
  </si>
  <si>
    <t>Felix‚Äôs on the Square</t>
  </si>
  <si>
    <t>AJ's Pizza Pub</t>
  </si>
  <si>
    <t>Georgia Shrimp Company</t>
  </si>
  <si>
    <t>TEQUILA RESTAURANTE MEXICANO</t>
  </si>
  <si>
    <t>Baja Coop</t>
  </si>
  <si>
    <t>The Brunch House of Augusta</t>
  </si>
  <si>
    <t>Wing it</t>
  </si>
  <si>
    <t>The Library Taphouse &amp; Kitchen</t>
  </si>
  <si>
    <t>Belen de la Cruz Empanadas</t>
  </si>
  <si>
    <t>Buffalo Bar Wings</t>
  </si>
  <si>
    <t>Bruster's Ice Cream</t>
  </si>
  <si>
    <t>Ros√© Bistro</t>
  </si>
  <si>
    <t>Dairy Queen Grill &amp; Chill</t>
  </si>
  <si>
    <t>Dogwood Pizza</t>
  </si>
  <si>
    <t>Vybez Restaurant And Lounge</t>
  </si>
  <si>
    <t>The Spot Sports Bar And Grill</t>
  </si>
  <si>
    <t>Johnny's New York Style Pizza</t>
  </si>
  <si>
    <t>The Juicy Seafood</t>
  </si>
  <si>
    <t>Good Day Cafe' Waynesboro Ga</t>
  </si>
  <si>
    <t>Crazy j's Liquor</t>
  </si>
  <si>
    <t>Honolulu Burger Co. Kaimuki</t>
  </si>
  <si>
    <t>The Watering Hole</t>
  </si>
  <si>
    <t>Ribeyes Steakhouse</t>
  </si>
  <si>
    <t>Chubby Buddha Sports Bar</t>
  </si>
  <si>
    <t>Mudpuppies Sports &amp; Sushi Bar</t>
  </si>
  <si>
    <t>Manhattan Pizza</t>
  </si>
  <si>
    <t>Bart's Mart Llc</t>
  </si>
  <si>
    <t>Armored tacos</t>
  </si>
  <si>
    <t>Blu Star Grill</t>
  </si>
  <si>
    <t>Fiesta Maya Mexican Restaurant</t>
  </si>
  <si>
    <t>Gaston Brewing Company</t>
  </si>
  <si>
    <t>Dave‚Äôs Original Backyard Grill</t>
  </si>
  <si>
    <t>Shallotte ABC Store</t>
  </si>
  <si>
    <t>Blackfinn Ameripub Ballantyne</t>
  </si>
  <si>
    <t>Uptown Bar &amp; Restaurant</t>
  </si>
  <si>
    <t>Glonda's Homestyle Restaurant</t>
  </si>
  <si>
    <t>Stumptown Station</t>
  </si>
  <si>
    <t>Istanbulls</t>
  </si>
  <si>
    <t>Save More</t>
  </si>
  <si>
    <t>Sakitumi Grill and Sushi Bar</t>
  </si>
  <si>
    <t>Chris' Pizza &amp; Pub</t>
  </si>
  <si>
    <t>Joe‚Äôs ny pizza</t>
  </si>
  <si>
    <t>THE CHICKEN JOINT</t>
  </si>
  <si>
    <t>El Chile Rojo</t>
  </si>
  <si>
    <t>Mountain Mocha</t>
  </si>
  <si>
    <t>Puma's Italian Ice</t>
  </si>
  <si>
    <t>Carolina Fine Foods</t>
  </si>
  <si>
    <t>Kosta Bowls</t>
  </si>
  <si>
    <t>Chameli Restaurant</t>
  </si>
  <si>
    <t>Project Halo Brewing</t>
  </si>
  <si>
    <t>Lonestar Bar</t>
  </si>
  <si>
    <t>Bronco's Sports Bar</t>
  </si>
  <si>
    <t>Tj's @ The Old Forge</t>
  </si>
  <si>
    <t>Charlie‚Äôs BBQ</t>
  </si>
  <si>
    <t>Sports City Cafe Mesquite, TX</t>
  </si>
  <si>
    <t>Blazin Pizza Co</t>
  </si>
  <si>
    <t>7Spice Cajun Seafood-Westgreen Blvd</t>
  </si>
  <si>
    <t>Sauced Up</t>
  </si>
  <si>
    <t>7Spice Cajun Seafood- Bypass RD</t>
  </si>
  <si>
    <t>Midtown Bar and Grill</t>
  </si>
  <si>
    <t>Juba Pizza Bar</t>
  </si>
  <si>
    <t>Brown Sugars Bbq</t>
  </si>
  <si>
    <t>The Dough Joe</t>
  </si>
  <si>
    <t>7Spice Cajun Seafood-North Freeway</t>
  </si>
  <si>
    <t>Office on Trinity</t>
  </si>
  <si>
    <t>Happy Armadillo</t>
  </si>
  <si>
    <t>Doner&amp;Gyros</t>
  </si>
  <si>
    <t>Tacos Vitali</t>
  </si>
  <si>
    <t>Howard Restaurant Group</t>
  </si>
  <si>
    <t>7Spice Cajun Seafood-Fuqua Street</t>
  </si>
  <si>
    <t>El DF restaurante</t>
  </si>
  <si>
    <t>Rusty Anchor Cafe</t>
  </si>
  <si>
    <t>Drifters</t>
  </si>
  <si>
    <t>La Scala Restaurant</t>
  </si>
  <si>
    <t>Big Daddy‚Äôs Eatery</t>
  </si>
  <si>
    <t>Railyard 83</t>
  </si>
  <si>
    <t>Chachi's Chucherias</t>
  </si>
  <si>
    <t>Big daddys burgers</t>
  </si>
  <si>
    <t>Thai Garlic &amp; Sushi</t>
  </si>
  <si>
    <t>Pyc Restaurant</t>
  </si>
  <si>
    <t>Magnolia Thai Restaurant</t>
  </si>
  <si>
    <t>Ales And Wines Social</t>
  </si>
  <si>
    <t>The LumberYard Canyon</t>
  </si>
  <si>
    <t>I heart boba FM 529</t>
  </si>
  <si>
    <t>The Rail</t>
  </si>
  <si>
    <t>Chicken Express ‚Äì Texas</t>
  </si>
  <si>
    <t>Locopotions</t>
  </si>
  <si>
    <t>Cactus Rose Taphouse</t>
  </si>
  <si>
    <t>PorkNThings BBQ</t>
  </si>
  <si>
    <t>Rock &amp; Roll Sushi</t>
  </si>
  <si>
    <t>Bonchon - Corporate HQ</t>
  </si>
  <si>
    <t>The Ready Room</t>
  </si>
  <si>
    <t>Worth The Pour</t>
  </si>
  <si>
    <t>Shell  --Farmersville Travel Plaza</t>
  </si>
  <si>
    <t>Karnes Liquor</t>
  </si>
  <si>
    <t>Chantelle's Liquor</t>
  </si>
  <si>
    <t>Lake anna winery</t>
  </si>
  <si>
    <t>Salty Dog Pizzeria</t>
  </si>
  <si>
    <t>Loose Shoe Brewing Company</t>
  </si>
  <si>
    <t>Vinny's Italian Grill &amp; Pizzeria</t>
  </si>
  <si>
    <t>Sweet Spot Ice Cream - Sabrina Fit</t>
  </si>
  <si>
    <t>Stable Craft brewing</t>
  </si>
  <si>
    <t>Luca's Italian Restaurant</t>
  </si>
  <si>
    <t>Bracey Slip-In</t>
  </si>
  <si>
    <t>The Chicken Shack</t>
  </si>
  <si>
    <t>Strum Brewing Co.</t>
  </si>
  <si>
    <t>Maria‚Äôs Grill</t>
  </si>
  <si>
    <t>Subway 3443</t>
  </si>
  <si>
    <t>Deane's Bar and Thrill</t>
  </si>
  <si>
    <t>Surf Dog's Sports Grill</t>
  </si>
  <si>
    <t>Jimboy's Tacos</t>
  </si>
  <si>
    <t>Quickly</t>
  </si>
  <si>
    <t>WKS Restaurant Group</t>
  </si>
  <si>
    <t>Lobster and Beer</t>
  </si>
  <si>
    <t>Subway #53219</t>
  </si>
  <si>
    <t>Taco Shack</t>
  </si>
  <si>
    <t>Cali BBQ Media</t>
  </si>
  <si>
    <t>Sierra Pub</t>
  </si>
  <si>
    <t>Vitality Bowls Brentwood</t>
  </si>
  <si>
    <t>Loi Baguette Express, LLC</t>
  </si>
  <si>
    <t>Simply Fish</t>
  </si>
  <si>
    <t>Mike's Food Mart</t>
  </si>
  <si>
    <t>Bryson's Irish Pub</t>
  </si>
  <si>
    <t>Aqua Bar and Nightclub/ AquaPlex Key west</t>
  </si>
  <si>
    <t>Froggers Grill &amp; Bar</t>
  </si>
  <si>
    <t>Inbo/Rail</t>
  </si>
  <si>
    <t>Jesse's Sports Bar, Grill, &amp; Liquor Store</t>
  </si>
  <si>
    <t>Pee Pas Garage Craft Brewery</t>
  </si>
  <si>
    <t>THE BBQ BOUTIQUE</t>
  </si>
  <si>
    <t>Caribe restaurant Hialeah</t>
  </si>
  <si>
    <t>1 Hot Cookie and Ice Cream</t>
  </si>
  <si>
    <t>El Centroamericano Restaurant y Liquor Bar</t>
  </si>
  <si>
    <t>NOBO Brewing Company</t>
  </si>
  <si>
    <t>Golden Meals</t>
  </si>
  <si>
    <t>Crust And Crumb Social House</t>
  </si>
  <si>
    <t>District Eat and Play</t>
  </si>
  <si>
    <t>Golden Krust Caribbean Restaurant</t>
  </si>
  <si>
    <t>HMShost at Miami International Airport</t>
  </si>
  <si>
    <t>Catfish Johnny‚Äôs</t>
  </si>
  <si>
    <t>El patio Colombian Restaurant</t>
  </si>
  <si>
    <t>il italiano restaurant</t>
  </si>
  <si>
    <t>Don Matias Restaurant</t>
  </si>
  <si>
    <t>Island Flavors &amp; Tings</t>
  </si>
  <si>
    <t>Caribe restaurante</t>
  </si>
  <si>
    <t>El Cafetal Bakery and Restaurant</t>
  </si>
  <si>
    <t>Marakas pizza</t>
  </si>
  <si>
    <t>Awa Na Kava Bar</t>
  </si>
  <si>
    <t>Shine Bright Nutrition</t>
  </si>
  <si>
    <t>I AM LATIN CAFE</t>
  </si>
  <si>
    <t>Madrid Tapas Y Vinos</t>
  </si>
  <si>
    <t>Eastside Station</t>
  </si>
  <si>
    <t>Karnick Inc/Imaginable V INC/dBA- McDonalds 3 locations</t>
  </si>
  <si>
    <t>Taco Prado Mexican Food</t>
  </si>
  <si>
    <t>Willie B Sisters Restaurant</t>
  </si>
  <si>
    <t>TurnKey-Hardee's</t>
  </si>
  <si>
    <t>Dillons Restaurant &amp; Bar</t>
  </si>
  <si>
    <t>Brian's Giant Subs</t>
  </si>
  <si>
    <t>Baby AL‚Äôs</t>
  </si>
  <si>
    <t>El Patron Family Mexican Restaurant</t>
  </si>
  <si>
    <t>TurnKey-Popeyes</t>
  </si>
  <si>
    <t>The Back Corner Inc</t>
  </si>
  <si>
    <t>ABC Store</t>
  </si>
  <si>
    <t>McDonald's</t>
  </si>
  <si>
    <t>Cool Cats Lounge</t>
  </si>
  <si>
    <t>FIRE DANCER DAVE WC, LLC/ Firehouse Subs Western Center</t>
  </si>
  <si>
    <t>Fuego Mexican Food</t>
  </si>
  <si>
    <t>Shire Distilling LLC</t>
  </si>
  <si>
    <t>916 Foods</t>
  </si>
  <si>
    <t>The Teahouse Tapioca &amp; Tea</t>
  </si>
  <si>
    <t>7Spice Cajun Seafood-Westheimer RD</t>
  </si>
  <si>
    <t>7Spice Cajun Seafood-Shadow Creek Parkway</t>
  </si>
  <si>
    <t>7Spice Cajun Seafood-N Fry Rd</t>
  </si>
  <si>
    <t>7Spice Cajun Seafood</t>
  </si>
  <si>
    <t>Wingstop-Dairy Ashford Rd</t>
  </si>
  <si>
    <t>R Tea Zone</t>
  </si>
  <si>
    <t>Turnkey Technologies</t>
  </si>
  <si>
    <t>Elite Food Group High Tower Murphys BZ Hospitality</t>
  </si>
  <si>
    <t>7Spice Cajun Seafood-Spencer Hwy</t>
  </si>
  <si>
    <t>Wingstop-S Texas 6</t>
  </si>
  <si>
    <t>Someburger</t>
  </si>
  <si>
    <t>Sonic Drive In Office of Amarillo</t>
  </si>
  <si>
    <t>Rudys Country Store and Bar-B-Q</t>
  </si>
  <si>
    <t>The Hub Sports Grill</t>
  </si>
  <si>
    <t>Bonchon Manassas</t>
  </si>
  <si>
    <t>Grounds Bistro</t>
  </si>
  <si>
    <t>Chaska</t>
  </si>
  <si>
    <t>Pietro's Italian Restaurant</t>
  </si>
  <si>
    <t>Alabama</t>
  </si>
  <si>
    <t>Kraze frozen treats</t>
  </si>
  <si>
    <t>Mario's Pizza</t>
  </si>
  <si>
    <t>Angel Cakes Creamery LLC</t>
  </si>
  <si>
    <t>Local 41 Main</t>
  </si>
  <si>
    <t>Kraze Frozen Treats Daphne</t>
  </si>
  <si>
    <t>Wings Plus Irondale</t>
  </si>
  <si>
    <t>Arizona</t>
  </si>
  <si>
    <t>Fatburger</t>
  </si>
  <si>
    <t>Best Brews LLC</t>
  </si>
  <si>
    <t>i-40 Chevron</t>
  </si>
  <si>
    <t>Sayaka Japanese Restaurant</t>
  </si>
  <si>
    <t>Sea Shells Seafood Restaurant Douglas</t>
  </si>
  <si>
    <t>Idaho</t>
  </si>
  <si>
    <t>Sweet Lou's</t>
  </si>
  <si>
    <t>Winchester Kitchen and Bar</t>
  </si>
  <si>
    <t>Illinois</t>
  </si>
  <si>
    <t>Game on bar &amp; grill</t>
  </si>
  <si>
    <t>Oak street restaurant &amp; bar</t>
  </si>
  <si>
    <t>Tatas Tacos-Original Six Corners</t>
  </si>
  <si>
    <t>3 Rivers Cafe</t>
  </si>
  <si>
    <t>Aurelio's Pizza Joliet</t>
  </si>
  <si>
    <t>FOREVER BOBA TEA</t>
  </si>
  <si>
    <t>Thirsty Turtle Bar and Grill</t>
  </si>
  <si>
    <t>AJ's Horsin Around</t>
  </si>
  <si>
    <t>Sidetrack'd Bar and Grill</t>
  </si>
  <si>
    <t>Rifinery Bar and Grill</t>
  </si>
  <si>
    <t>Burger Alley Chicago</t>
  </si>
  <si>
    <t>TurnKey-Taco Bell</t>
  </si>
  <si>
    <t>BeaUnique Latin Kitchen</t>
  </si>
  <si>
    <t>115 Bourbon Street</t>
  </si>
  <si>
    <t>Flips</t>
  </si>
  <si>
    <t>Village Inn Bar</t>
  </si>
  <si>
    <t>Fox's Restaurant &amp; Pub</t>
  </si>
  <si>
    <t>Sportsman's Tap</t>
  </si>
  <si>
    <t>B Spills/Bar</t>
  </si>
  <si>
    <t>Randee's Food &amp; Liquors</t>
  </si>
  <si>
    <t>Village Vintner Winery, Brewery &amp; Restaurant</t>
  </si>
  <si>
    <t>311 south Sixth</t>
  </si>
  <si>
    <t>Jesse Oaks Food &amp; Drink</t>
  </si>
  <si>
    <t>Castle Ridge</t>
  </si>
  <si>
    <t>Famous wine and spirits</t>
  </si>
  <si>
    <t>Big Daddy Liquor, Inc</t>
  </si>
  <si>
    <t>Minnesota</t>
  </si>
  <si>
    <t>Libertys Restaurant &amp; Lounge</t>
  </si>
  <si>
    <t>Turtle's Bar &amp; Grill</t>
  </si>
  <si>
    <t>Spring Street Tavern</t>
  </si>
  <si>
    <t>Charlie's On Prior</t>
  </si>
  <si>
    <t>Shattuck's Hub Supper Club</t>
  </si>
  <si>
    <t>JW's Bierstube</t>
  </si>
  <si>
    <t>Fraternal Order of Eagles #620</t>
  </si>
  <si>
    <t>Zen Fusion</t>
  </si>
  <si>
    <t>Lakeview Resort &amp; Restaurant</t>
  </si>
  <si>
    <t>Rusted Rail</t>
  </si>
  <si>
    <t>North Dakota</t>
  </si>
  <si>
    <t>Chicken Express ‚Äì Oklahoma - Brown</t>
  </si>
  <si>
    <t>Oklahoma</t>
  </si>
  <si>
    <t>Taco Mayo</t>
  </si>
  <si>
    <t>Taqueria Cancun</t>
  </si>
  <si>
    <t>CIR Grill</t>
  </si>
  <si>
    <t>Matthews Honest Cocktails</t>
  </si>
  <si>
    <t>Washington</t>
  </si>
  <si>
    <t>Donnell's Bar</t>
  </si>
  <si>
    <t>Blues Frozen Yogurt</t>
  </si>
  <si>
    <t>Puerto Vallarta Restaurant Yelm</t>
  </si>
  <si>
    <t>Ashtown Brewing</t>
  </si>
  <si>
    <t>Pint House Burgers And Brews</t>
  </si>
  <si>
    <t>MyFroYo Frozen Yogurt</t>
  </si>
  <si>
    <t>Wheelie Pop Brewing</t>
  </si>
  <si>
    <t>Uggie Boo's Private Club</t>
  </si>
  <si>
    <t>The Bull Head</t>
  </si>
  <si>
    <t>602 burgers</t>
  </si>
  <si>
    <t>House 11 taproom</t>
  </si>
  <si>
    <t>Tri-Cities Cider House</t>
  </si>
  <si>
    <t>The Spice: To-Go</t>
  </si>
  <si>
    <t>Wisconsin</t>
  </si>
  <si>
    <t>Liquid Johnny‚Äôs</t>
  </si>
  <si>
    <t>Raab's Extra Innings</t>
  </si>
  <si>
    <t>San Villa Asian Fusion</t>
  </si>
  <si>
    <t>Discount Liquor</t>
  </si>
  <si>
    <t>Feel Good Berry Bowls Cafe</t>
  </si>
  <si>
    <t>Frontier Family Fun</t>
  </si>
  <si>
    <t>Wahoo's Fish Taco-13791 Newport Ave</t>
  </si>
  <si>
    <t>Cafe Colon</t>
  </si>
  <si>
    <t>Tom's Watch Bar Corporate</t>
  </si>
  <si>
    <t>Snappers Grill &amp; Comedy Club</t>
  </si>
  <si>
    <t>Joji Yogurt</t>
  </si>
  <si>
    <t>Dop's Jerk House</t>
  </si>
  <si>
    <t>Taconite Canteen &amp; Event Center</t>
  </si>
  <si>
    <t>Toasted</t>
  </si>
  <si>
    <t>Last Chance of Walhalla</t>
  </si>
  <si>
    <t>Guillorys Bar B Que</t>
  </si>
  <si>
    <t>Luigi‚Äôs pizzeria</t>
  </si>
  <si>
    <t>WINGEATS</t>
  </si>
  <si>
    <t>Cold Stone Creamery</t>
  </si>
  <si>
    <t>Bella Sicilia Restaurant</t>
  </si>
  <si>
    <t>My Homestyle Cafe</t>
  </si>
  <si>
    <t>Pieology Pizzeria</t>
  </si>
  <si>
    <t>HolyFry</t>
  </si>
  <si>
    <t>KahunaOS Bar &amp; Grill</t>
  </si>
  <si>
    <t>Mississippi</t>
  </si>
  <si>
    <t>Missouri</t>
  </si>
  <si>
    <t>The Alley Tavern</t>
  </si>
  <si>
    <t>540 Nutrition</t>
  </si>
  <si>
    <t>Wild Badger Sports Saloon</t>
  </si>
  <si>
    <t>BOL_WK4_26_NFL_PATRIOTS_SEATTLE_1.20.26_Full.mp4</t>
  </si>
  <si>
    <t>BOL_WK4_26_NFL_PATRIOTS_SEATTLE_1.20.26_Single.mp4</t>
  </si>
  <si>
    <t>Longboard Restaurant &amp; Pub at Springdale</t>
  </si>
  <si>
    <t>FW Thunderbird</t>
  </si>
  <si>
    <t>Whiskey Charlie's Liquor</t>
  </si>
  <si>
    <t>Bounty Hunters Grind and Grill</t>
  </si>
  <si>
    <t>Riptidez Kava</t>
  </si>
  <si>
    <t>Bru's Room Pompano</t>
  </si>
  <si>
    <t>Ridge Creek Sweets LLC</t>
  </si>
  <si>
    <t>Danvers y bar and grill</t>
  </si>
  <si>
    <t>Haven Showbar &amp; Lounge</t>
  </si>
  <si>
    <t>2/1/2026 - 2/8/2026</t>
  </si>
  <si>
    <t>BOL_SUPER BOWL XL_2.2.26_Full.mp4</t>
  </si>
  <si>
    <t>BOL_SUPER BOWL XL_2.2.26_Single.mp4</t>
  </si>
  <si>
    <t>bol_super_bowl_props_pool_020526_v1 (1080p).mp4</t>
  </si>
  <si>
    <t>bol_super_bowl_squares_020526_v1 (1080p).mp4</t>
  </si>
  <si>
    <t>pr_super_bol_short_020226_v1 (1080p).mp4</t>
  </si>
  <si>
    <t>Green Room Kava Lounge cafe</t>
  </si>
  <si>
    <t>Zollo‚Äôs Pizza</t>
  </si>
  <si>
    <t>Jerk Hut</t>
  </si>
  <si>
    <t>Dickey's BBQ Pit</t>
  </si>
  <si>
    <t>HAYDEN'S IRISH PUB</t>
  </si>
  <si>
    <t>Leprechauns corner</t>
  </si>
  <si>
    <t>Where House Bar</t>
  </si>
  <si>
    <t>Kick Start Nutrition</t>
  </si>
  <si>
    <t>Montana</t>
  </si>
  <si>
    <t>Monk's Cheesesteaks &amp; Cheeseburgers LLC</t>
  </si>
  <si>
    <t>Valley River Vineyards</t>
  </si>
  <si>
    <t>FuegoTaco</t>
  </si>
  <si>
    <t>Flautas Las Originales</t>
  </si>
  <si>
    <t>Sweet Panda Frozen Yogurt</t>
  </si>
  <si>
    <t>Fahrenheit 32 Rolled Ice Cream</t>
  </si>
  <si>
    <t>Marina's German Bakery LLC.</t>
  </si>
  <si>
    <t>Mi Cabana Mexican Restaurant</t>
  </si>
  <si>
    <t>Salsa Leedos Mexican Grill</t>
  </si>
  <si>
    <t>Utah</t>
  </si>
  <si>
    <t>Zeppe's Italian Ice - Riverdale</t>
  </si>
  <si>
    <t>Dali Crepes</t>
  </si>
  <si>
    <t>Vinny's Italian Grill</t>
  </si>
  <si>
    <t>The Bypass 168</t>
  </si>
  <si>
    <t>Trails end</t>
  </si>
  <si>
    <t>Littleport Brewing Company, LLC</t>
  </si>
  <si>
    <t>Woods Edge Restaurant &amp; Bar</t>
  </si>
  <si>
    <t>Massachusetts</t>
  </si>
  <si>
    <t>Tier 1</t>
  </si>
  <si>
    <t>Tier 2</t>
  </si>
  <si>
    <t>Super Bowl Added DMA</t>
  </si>
  <si>
    <t>Tier 1 % of Budget</t>
  </si>
  <si>
    <t>Tier 2 % of Budget</t>
  </si>
  <si>
    <t>Super Bowl % of Budget</t>
  </si>
  <si>
    <t>Massachusetts (Boston)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</si>
</sst>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4"/>
      <color rgb="FFFFFFFF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164" fontId="1" fillId="34" borderId="0" xfId="1" applyNumberFormat="1" applyFont="1" applyFill="1"/>
    <xf numFmtId="164" fontId="26" fillId="35" borderId="15" xfId="1" applyNumberFormat="1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41"/>
  <sheetViews>
    <sheetView tabSelected="1" topLeftCell="A4" zoomScale="75" zoomScaleNormal="100" workbookViewId="0">
      <selection activeCell="F37" sqref="F37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462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ht="16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23</v>
      </c>
      <c r="E5" s="14" t="s">
        <v>498</v>
      </c>
      <c r="F5" s="18" t="s">
        <v>27</v>
      </c>
    </row>
    <row r="6" spans="1:6" s="3" customFormat="1" ht="16" x14ac:dyDescent="0.2">
      <c r="A6" s="9" t="s">
        <v>10</v>
      </c>
      <c r="B6" s="10">
        <v>647433</v>
      </c>
      <c r="C6" s="10">
        <v>32929</v>
      </c>
      <c r="D6" s="34">
        <v>4055.1374999999998</v>
      </c>
      <c r="E6" s="50">
        <f t="shared" ref="E6:E11" si="0">D6/$D$36</f>
        <v>0.46875826331819309</v>
      </c>
      <c r="F6" s="20">
        <f t="shared" ref="F6:F11" si="1">D6/$D$36</f>
        <v>0.46875826331819309</v>
      </c>
    </row>
    <row r="7" spans="1:6" s="3" customFormat="1" ht="16" x14ac:dyDescent="0.2">
      <c r="A7" s="9" t="s">
        <v>11</v>
      </c>
      <c r="B7" s="10">
        <v>141860</v>
      </c>
      <c r="C7" s="10">
        <v>7481</v>
      </c>
      <c r="D7" s="34">
        <v>893.76750000000004</v>
      </c>
      <c r="E7" s="50">
        <f t="shared" si="0"/>
        <v>0.10331607771875631</v>
      </c>
      <c r="F7" s="21">
        <f t="shared" si="1"/>
        <v>0.10331607771875631</v>
      </c>
    </row>
    <row r="8" spans="1:6" s="3" customFormat="1" ht="16" x14ac:dyDescent="0.2">
      <c r="A8" s="9" t="s">
        <v>30</v>
      </c>
      <c r="B8" s="10">
        <v>114051</v>
      </c>
      <c r="C8" s="10">
        <v>7723</v>
      </c>
      <c r="D8" s="34">
        <v>756.64499999999998</v>
      </c>
      <c r="E8" s="50">
        <f t="shared" si="0"/>
        <v>8.7465245296465086E-2</v>
      </c>
      <c r="F8" s="21">
        <f t="shared" si="1"/>
        <v>8.7465245296465086E-2</v>
      </c>
    </row>
    <row r="9" spans="1:6" s="3" customFormat="1" ht="16" x14ac:dyDescent="0.2">
      <c r="A9" s="9" t="s">
        <v>7</v>
      </c>
      <c r="B9" s="10">
        <v>21624</v>
      </c>
      <c r="C9" s="10">
        <v>1052</v>
      </c>
      <c r="D9" s="34">
        <v>162.18</v>
      </c>
      <c r="E9" s="50">
        <f t="shared" si="0"/>
        <v>1.8747382831024732E-2</v>
      </c>
      <c r="F9" s="21">
        <f t="shared" si="1"/>
        <v>1.8747382831024732E-2</v>
      </c>
    </row>
    <row r="10" spans="1:6" s="3" customFormat="1" ht="16" x14ac:dyDescent="0.2">
      <c r="A10" s="9" t="s">
        <v>9</v>
      </c>
      <c r="B10" s="10">
        <v>55589</v>
      </c>
      <c r="C10" s="10">
        <v>2523</v>
      </c>
      <c r="D10" s="34">
        <v>122.99250000000001</v>
      </c>
      <c r="E10" s="50">
        <f t="shared" si="0"/>
        <v>1.4217458890398381E-2</v>
      </c>
      <c r="F10" s="21">
        <f t="shared" si="1"/>
        <v>1.4217458890398381E-2</v>
      </c>
    </row>
    <row r="11" spans="1:6" s="3" customFormat="1" ht="16" x14ac:dyDescent="0.2">
      <c r="A11" s="9" t="s">
        <v>362</v>
      </c>
      <c r="B11" s="10">
        <v>4971</v>
      </c>
      <c r="C11" s="10">
        <v>247</v>
      </c>
      <c r="D11" s="34">
        <v>37.282499999999999</v>
      </c>
      <c r="E11" s="50">
        <f t="shared" si="0"/>
        <v>4.3097132839911186E-3</v>
      </c>
      <c r="F11" s="21">
        <f t="shared" si="1"/>
        <v>4.3097132839911186E-3</v>
      </c>
    </row>
    <row r="12" spans="1:6" s="3" customFormat="1" ht="16" x14ac:dyDescent="0.2">
      <c r="A12" s="22" t="s">
        <v>495</v>
      </c>
      <c r="B12" s="23">
        <f>SUM(B6:B11)</f>
        <v>985528</v>
      </c>
      <c r="C12" s="23">
        <f>SUM(C6:C11)</f>
        <v>51955</v>
      </c>
      <c r="D12" s="38">
        <f>SUM(D6:D11)</f>
        <v>6028.0050000000001</v>
      </c>
      <c r="E12" s="24"/>
      <c r="F12" s="25">
        <f>D12/D36</f>
        <v>0.69681414133882869</v>
      </c>
    </row>
    <row r="13" spans="1:6" s="3" customFormat="1" ht="16" x14ac:dyDescent="0.2">
      <c r="A13" s="9"/>
      <c r="B13" s="9"/>
      <c r="C13" s="9"/>
      <c r="D13" s="9"/>
      <c r="E13" s="19"/>
      <c r="F13" s="9"/>
    </row>
    <row r="14" spans="1:6" s="3" customFormat="1" ht="20" x14ac:dyDescent="0.2">
      <c r="A14" s="26" t="s">
        <v>4</v>
      </c>
      <c r="B14" s="26" t="s">
        <v>5</v>
      </c>
      <c r="C14" s="26" t="s">
        <v>6</v>
      </c>
      <c r="D14" s="14" t="s">
        <v>23</v>
      </c>
      <c r="E14" s="26" t="s">
        <v>499</v>
      </c>
      <c r="F14" s="27" t="s">
        <v>27</v>
      </c>
    </row>
    <row r="15" spans="1:6" s="3" customFormat="1" ht="16" x14ac:dyDescent="0.2">
      <c r="A15" s="9" t="s">
        <v>407</v>
      </c>
      <c r="B15" s="11">
        <v>191889</v>
      </c>
      <c r="C15" s="11">
        <v>10617</v>
      </c>
      <c r="D15" s="34">
        <v>1398.93</v>
      </c>
      <c r="E15" s="50">
        <f>D15/$D$36</f>
        <v>0.16171091542610327</v>
      </c>
      <c r="F15" s="20">
        <f>D15/$D$36</f>
        <v>0.16171091542610327</v>
      </c>
    </row>
    <row r="16" spans="1:6" s="3" customFormat="1" ht="16" x14ac:dyDescent="0.2">
      <c r="A16" s="9" t="s">
        <v>29</v>
      </c>
      <c r="B16" s="10">
        <v>64607</v>
      </c>
      <c r="C16" s="10">
        <v>4736</v>
      </c>
      <c r="D16" s="34">
        <v>350.07749999999999</v>
      </c>
      <c r="E16" s="50">
        <f t="shared" ref="E16:E30" si="2">D16/$D$36</f>
        <v>4.0467609526625113E-2</v>
      </c>
      <c r="F16" s="21">
        <f t="shared" ref="F16:F30" si="3">D16/$D$36</f>
        <v>4.0467609526625113E-2</v>
      </c>
    </row>
    <row r="17" spans="1:6" s="3" customFormat="1" ht="16" x14ac:dyDescent="0.2">
      <c r="A17" s="9" t="s">
        <v>12</v>
      </c>
      <c r="B17" s="10">
        <v>51543</v>
      </c>
      <c r="C17" s="10">
        <v>3673</v>
      </c>
      <c r="D17" s="34">
        <v>277.62</v>
      </c>
      <c r="E17" s="50">
        <f t="shared" ref="E17:E25" si="4">D17/$D$36</f>
        <v>3.2091801834684214E-2</v>
      </c>
      <c r="F17" s="21">
        <f t="shared" ref="F17:F25" si="5">D17/$D$36</f>
        <v>3.2091801834684214E-2</v>
      </c>
    </row>
    <row r="18" spans="1:6" s="3" customFormat="1" ht="16" x14ac:dyDescent="0.2">
      <c r="A18" s="9" t="s">
        <v>8</v>
      </c>
      <c r="B18" s="10">
        <v>9706</v>
      </c>
      <c r="C18" s="10">
        <v>463</v>
      </c>
      <c r="D18" s="34">
        <v>59.325000000000003</v>
      </c>
      <c r="E18" s="50">
        <f t="shared" si="4"/>
        <v>6.8577413149003719E-3</v>
      </c>
      <c r="F18" s="21">
        <f t="shared" si="5"/>
        <v>6.8577413149003719E-3</v>
      </c>
    </row>
    <row r="19" spans="1:6" s="3" customFormat="1" ht="16" x14ac:dyDescent="0.2">
      <c r="A19" s="9" t="s">
        <v>389</v>
      </c>
      <c r="B19" s="10">
        <v>584</v>
      </c>
      <c r="C19" s="10">
        <v>17</v>
      </c>
      <c r="D19" s="34">
        <v>4.38</v>
      </c>
      <c r="E19" s="50">
        <f t="shared" si="4"/>
        <v>5.063111160432133E-4</v>
      </c>
      <c r="F19" s="21">
        <f t="shared" si="5"/>
        <v>5.063111160432133E-4</v>
      </c>
    </row>
    <row r="20" spans="1:6" s="3" customFormat="1" ht="16" x14ac:dyDescent="0.2">
      <c r="A20" s="9" t="s">
        <v>13</v>
      </c>
      <c r="B20" s="10">
        <v>638</v>
      </c>
      <c r="C20" s="10">
        <v>58</v>
      </c>
      <c r="D20" s="34">
        <v>3.96</v>
      </c>
      <c r="E20" s="50">
        <f t="shared" si="4"/>
        <v>4.5776073505276815E-4</v>
      </c>
      <c r="F20" s="21">
        <f t="shared" si="5"/>
        <v>4.5776073505276815E-4</v>
      </c>
    </row>
    <row r="21" spans="1:6" s="3" customFormat="1" ht="16" x14ac:dyDescent="0.2">
      <c r="A21" s="9" t="s">
        <v>346</v>
      </c>
      <c r="B21" s="10">
        <v>132</v>
      </c>
      <c r="C21" s="10">
        <v>7</v>
      </c>
      <c r="D21" s="34">
        <v>0.99</v>
      </c>
      <c r="E21" s="50">
        <f t="shared" si="4"/>
        <v>1.1444018376319204E-4</v>
      </c>
      <c r="F21" s="21">
        <f t="shared" si="5"/>
        <v>1.1444018376319204E-4</v>
      </c>
    </row>
    <row r="22" spans="1:6" s="3" customFormat="1" ht="16" x14ac:dyDescent="0.2">
      <c r="A22" s="9" t="s">
        <v>402</v>
      </c>
      <c r="B22" s="10">
        <v>129</v>
      </c>
      <c r="C22" s="10">
        <v>8</v>
      </c>
      <c r="D22" s="34">
        <v>0.96750000000000003</v>
      </c>
      <c r="E22" s="50">
        <f t="shared" si="4"/>
        <v>1.1183927049584676E-4</v>
      </c>
      <c r="F22" s="21">
        <f t="shared" si="5"/>
        <v>1.1183927049584676E-4</v>
      </c>
    </row>
    <row r="23" spans="1:6" s="3" customFormat="1" ht="16" x14ac:dyDescent="0.2">
      <c r="A23" s="9" t="s">
        <v>421</v>
      </c>
      <c r="B23" s="10">
        <v>125</v>
      </c>
      <c r="C23" s="10">
        <v>7</v>
      </c>
      <c r="D23" s="34">
        <v>0.9375</v>
      </c>
      <c r="E23" s="50">
        <f t="shared" si="4"/>
        <v>1.083713861393864E-4</v>
      </c>
      <c r="F23" s="21">
        <f t="shared" si="5"/>
        <v>1.083713861393864E-4</v>
      </c>
    </row>
    <row r="24" spans="1:6" s="3" customFormat="1" ht="16" x14ac:dyDescent="0.2">
      <c r="A24" s="9" t="s">
        <v>486</v>
      </c>
      <c r="B24" s="10">
        <v>76</v>
      </c>
      <c r="C24" s="10">
        <v>6</v>
      </c>
      <c r="D24" s="34">
        <v>0.56999999999999995</v>
      </c>
      <c r="E24" s="50">
        <f t="shared" si="4"/>
        <v>6.5889802772746924E-5</v>
      </c>
      <c r="F24" s="21">
        <f t="shared" si="5"/>
        <v>6.5889802772746924E-5</v>
      </c>
    </row>
    <row r="25" spans="1:6" s="3" customFormat="1" ht="16" x14ac:dyDescent="0.2">
      <c r="A25" s="9" t="s">
        <v>447</v>
      </c>
      <c r="B25" s="10">
        <v>70</v>
      </c>
      <c r="C25" s="10">
        <v>7</v>
      </c>
      <c r="D25" s="34">
        <v>0.52500000000000002</v>
      </c>
      <c r="E25" s="50">
        <f t="shared" si="4"/>
        <v>6.0687976238056387E-5</v>
      </c>
      <c r="F25" s="21">
        <f t="shared" si="5"/>
        <v>6.0687976238056387E-5</v>
      </c>
    </row>
    <row r="26" spans="1:6" s="3" customFormat="1" ht="16" x14ac:dyDescent="0.2">
      <c r="A26" s="9" t="s">
        <v>353</v>
      </c>
      <c r="B26" s="10">
        <v>54</v>
      </c>
      <c r="C26" s="10">
        <v>5</v>
      </c>
      <c r="D26" s="34">
        <v>0.40500000000000003</v>
      </c>
      <c r="E26" s="50">
        <f t="shared" si="2"/>
        <v>4.6816438812214925E-5</v>
      </c>
      <c r="F26" s="21">
        <f t="shared" si="3"/>
        <v>4.6816438812214925E-5</v>
      </c>
    </row>
    <row r="27" spans="1:6" s="3" customFormat="1" ht="16" x14ac:dyDescent="0.2">
      <c r="A27" s="9" t="s">
        <v>359</v>
      </c>
      <c r="B27" s="10">
        <v>28</v>
      </c>
      <c r="C27" s="10">
        <v>4</v>
      </c>
      <c r="D27" s="34">
        <v>0.21</v>
      </c>
      <c r="E27" s="50">
        <f t="shared" si="2"/>
        <v>2.4275190495222553E-5</v>
      </c>
      <c r="F27" s="21">
        <f t="shared" si="3"/>
        <v>2.4275190495222553E-5</v>
      </c>
    </row>
    <row r="28" spans="1:6" s="3" customFormat="1" ht="16" x14ac:dyDescent="0.2">
      <c r="A28" s="9" t="s">
        <v>446</v>
      </c>
      <c r="B28" s="10">
        <v>11</v>
      </c>
      <c r="C28" s="10">
        <v>2</v>
      </c>
      <c r="D28" s="34">
        <v>8.2500000000000004E-2</v>
      </c>
      <c r="E28" s="50">
        <f t="shared" si="2"/>
        <v>9.536681980266003E-6</v>
      </c>
      <c r="F28" s="21">
        <f t="shared" si="3"/>
        <v>9.536681980266003E-6</v>
      </c>
    </row>
    <row r="29" spans="1:6" s="3" customFormat="1" ht="16" x14ac:dyDescent="0.2">
      <c r="A29" s="9" t="s">
        <v>400</v>
      </c>
      <c r="B29" s="10">
        <v>9</v>
      </c>
      <c r="C29" s="10">
        <v>1</v>
      </c>
      <c r="D29" s="34">
        <v>6.7500000000000004E-2</v>
      </c>
      <c r="E29" s="50">
        <f t="shared" si="2"/>
        <v>7.8027398020358219E-6</v>
      </c>
      <c r="F29" s="21">
        <f t="shared" si="3"/>
        <v>7.8027398020358219E-6</v>
      </c>
    </row>
    <row r="30" spans="1:6" s="3" customFormat="1" ht="16" x14ac:dyDescent="0.2">
      <c r="A30" s="9" t="s">
        <v>476</v>
      </c>
      <c r="B30" s="10">
        <v>4</v>
      </c>
      <c r="C30" s="10">
        <v>1</v>
      </c>
      <c r="D30" s="34">
        <v>0.03</v>
      </c>
      <c r="E30" s="50">
        <f t="shared" si="2"/>
        <v>3.4678843564603648E-6</v>
      </c>
      <c r="F30" s="21">
        <f t="shared" si="3"/>
        <v>3.4678843564603648E-6</v>
      </c>
    </row>
    <row r="31" spans="1:6" s="3" customFormat="1" ht="16" x14ac:dyDescent="0.2">
      <c r="A31" s="28" t="s">
        <v>496</v>
      </c>
      <c r="B31" s="29">
        <f>SUM(B15:B30)</f>
        <v>319605</v>
      </c>
      <c r="C31" s="29">
        <f>SUM(C15:C30)</f>
        <v>19612</v>
      </c>
      <c r="D31" s="39">
        <f>SUM(D15:D30)</f>
        <v>2099.0775000000008</v>
      </c>
      <c r="E31" s="30"/>
      <c r="F31" s="31">
        <f>D31/D36</f>
        <v>0.24264526750826446</v>
      </c>
    </row>
    <row r="32" spans="1:6" s="3" customFormat="1" ht="16" x14ac:dyDescent="0.2">
      <c r="A32" s="9"/>
      <c r="B32" s="9"/>
      <c r="C32" s="9"/>
      <c r="D32" s="9"/>
      <c r="E32" s="19"/>
      <c r="F32" s="9"/>
    </row>
    <row r="33" spans="1:6" s="3" customFormat="1" ht="20" x14ac:dyDescent="0.2">
      <c r="A33" s="26" t="s">
        <v>4</v>
      </c>
      <c r="B33" s="26" t="s">
        <v>5</v>
      </c>
      <c r="C33" s="26" t="s">
        <v>6</v>
      </c>
      <c r="D33" s="14" t="s">
        <v>23</v>
      </c>
      <c r="E33" s="26" t="s">
        <v>500</v>
      </c>
      <c r="F33" s="27" t="s">
        <v>27</v>
      </c>
    </row>
    <row r="34" spans="1:6" s="3" customFormat="1" ht="16" x14ac:dyDescent="0.2">
      <c r="A34" s="9" t="s">
        <v>501</v>
      </c>
      <c r="B34" s="10">
        <v>85502</v>
      </c>
      <c r="C34" s="10">
        <v>3804</v>
      </c>
      <c r="D34" s="34">
        <v>523.72500000000002</v>
      </c>
      <c r="E34" s="50">
        <f>D34/$D$36</f>
        <v>6.0540591152906824E-2</v>
      </c>
      <c r="F34" s="21">
        <f>D34/$D$36</f>
        <v>6.0540591152906824E-2</v>
      </c>
    </row>
    <row r="35" spans="1:6" s="3" customFormat="1" ht="16" x14ac:dyDescent="0.2">
      <c r="A35" s="22" t="s">
        <v>497</v>
      </c>
      <c r="B35" s="23">
        <f>B34</f>
        <v>85502</v>
      </c>
      <c r="C35" s="23">
        <f>C34</f>
        <v>3804</v>
      </c>
      <c r="D35" s="38">
        <f>D34</f>
        <v>523.72500000000002</v>
      </c>
      <c r="E35" s="24"/>
      <c r="F35" s="25">
        <f>D35/D36</f>
        <v>6.0540591152906824E-2</v>
      </c>
    </row>
    <row r="36" spans="1:6" ht="20" x14ac:dyDescent="0.2">
      <c r="A36" s="32" t="s">
        <v>22</v>
      </c>
      <c r="B36" s="29">
        <f>B12+B31+B35</f>
        <v>1390635</v>
      </c>
      <c r="C36" s="29">
        <f t="shared" ref="C36:D36" si="6">C12+C31+C35</f>
        <v>75371</v>
      </c>
      <c r="D36" s="39">
        <f t="shared" si="6"/>
        <v>8650.8075000000008</v>
      </c>
      <c r="E36" s="33"/>
      <c r="F36" s="49">
        <f>F12+F31+F35</f>
        <v>0.99999999999999989</v>
      </c>
    </row>
    <row r="38" spans="1:6" ht="16" x14ac:dyDescent="0.2">
      <c r="B38" s="34"/>
      <c r="C38" s="35"/>
      <c r="D38" s="35"/>
      <c r="E38" s="36"/>
    </row>
    <row r="41" spans="1:6" ht="16" x14ac:dyDescent="0.2">
      <c r="B41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29"/>
  <sheetViews>
    <sheetView zoomScaleNormal="100" workbookViewId="0">
      <selection activeCell="G15" sqref="G15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0" s="3" customFormat="1" ht="20" x14ac:dyDescent="0.2">
      <c r="A1" s="1" t="s">
        <v>0</v>
      </c>
      <c r="B1" s="54" t="s">
        <v>462</v>
      </c>
      <c r="C1" s="55"/>
      <c r="D1" s="55"/>
    </row>
    <row r="2" spans="1:10" s="3" customFormat="1" ht="20" x14ac:dyDescent="0.2">
      <c r="A2" s="4" t="s">
        <v>1</v>
      </c>
      <c r="B2" s="56" t="s">
        <v>2</v>
      </c>
      <c r="C2" s="57"/>
      <c r="D2" s="57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4" t="s">
        <v>3</v>
      </c>
      <c r="B4" s="55"/>
      <c r="C4" s="55"/>
      <c r="D4" s="55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23</v>
      </c>
      <c r="E5" s="8" t="s">
        <v>25</v>
      </c>
    </row>
    <row r="6" spans="1:10" ht="16" x14ac:dyDescent="0.2">
      <c r="A6" s="9" t="s">
        <v>10</v>
      </c>
      <c r="B6" s="10">
        <v>647433</v>
      </c>
      <c r="C6" s="10">
        <v>32929</v>
      </c>
      <c r="D6" s="34">
        <v>4055.1374999999998</v>
      </c>
      <c r="E6" s="45">
        <v>131</v>
      </c>
      <c r="H6" s="45"/>
      <c r="I6" s="45"/>
      <c r="J6" s="45"/>
    </row>
    <row r="7" spans="1:10" ht="16" x14ac:dyDescent="0.2">
      <c r="A7" s="9" t="s">
        <v>407</v>
      </c>
      <c r="B7" s="11">
        <v>191889</v>
      </c>
      <c r="C7" s="11">
        <v>10617</v>
      </c>
      <c r="D7" s="34">
        <v>1398.93</v>
      </c>
      <c r="E7" s="45">
        <v>22</v>
      </c>
      <c r="H7" s="45"/>
      <c r="I7" s="45"/>
      <c r="J7" s="45"/>
    </row>
    <row r="8" spans="1:10" ht="16" x14ac:dyDescent="0.2">
      <c r="A8" s="9" t="s">
        <v>11</v>
      </c>
      <c r="B8" s="11">
        <v>141860</v>
      </c>
      <c r="C8" s="11">
        <v>7481</v>
      </c>
      <c r="D8" s="34">
        <v>893.76750000000004</v>
      </c>
      <c r="E8" s="45">
        <v>40</v>
      </c>
      <c r="H8" s="45"/>
      <c r="I8" s="45"/>
      <c r="J8" s="45"/>
    </row>
    <row r="9" spans="1:10" ht="16" x14ac:dyDescent="0.2">
      <c r="A9" s="9" t="s">
        <v>30</v>
      </c>
      <c r="B9" s="11">
        <v>114051</v>
      </c>
      <c r="C9" s="11">
        <v>7723</v>
      </c>
      <c r="D9" s="34">
        <v>756.64499999999998</v>
      </c>
      <c r="E9" s="45">
        <v>26</v>
      </c>
      <c r="H9" s="45"/>
      <c r="I9" s="45"/>
      <c r="J9" s="45"/>
    </row>
    <row r="10" spans="1:10" ht="16" x14ac:dyDescent="0.2">
      <c r="A10" s="9" t="s">
        <v>494</v>
      </c>
      <c r="B10" s="11">
        <v>85502</v>
      </c>
      <c r="C10" s="11">
        <v>3804</v>
      </c>
      <c r="D10" s="34">
        <v>523.72500000000002</v>
      </c>
      <c r="E10" s="45">
        <v>32</v>
      </c>
      <c r="H10" s="45"/>
      <c r="I10" s="45"/>
      <c r="J10" s="45"/>
    </row>
    <row r="11" spans="1:10" ht="16" x14ac:dyDescent="0.2">
      <c r="A11" s="9" t="s">
        <v>29</v>
      </c>
      <c r="B11" s="11">
        <v>64607</v>
      </c>
      <c r="C11" s="11">
        <v>4736</v>
      </c>
      <c r="D11" s="34">
        <v>350.07749999999999</v>
      </c>
      <c r="E11" s="45">
        <v>36</v>
      </c>
      <c r="H11" s="45"/>
      <c r="I11" s="45"/>
      <c r="J11" s="45"/>
    </row>
    <row r="12" spans="1:10" ht="16" x14ac:dyDescent="0.2">
      <c r="A12" s="9" t="s">
        <v>12</v>
      </c>
      <c r="B12" s="11">
        <v>51543</v>
      </c>
      <c r="C12" s="11">
        <v>3673</v>
      </c>
      <c r="D12" s="34">
        <v>277.62</v>
      </c>
      <c r="E12" s="45">
        <v>22</v>
      </c>
      <c r="H12" s="45"/>
      <c r="I12" s="45"/>
      <c r="J12" s="45"/>
    </row>
    <row r="13" spans="1:10" ht="16" x14ac:dyDescent="0.2">
      <c r="A13" s="9" t="s">
        <v>7</v>
      </c>
      <c r="B13" s="11">
        <v>21624</v>
      </c>
      <c r="C13" s="11">
        <v>1052</v>
      </c>
      <c r="D13" s="34">
        <v>162.18</v>
      </c>
      <c r="E13" s="45">
        <v>205</v>
      </c>
      <c r="H13" s="45"/>
      <c r="I13" s="45"/>
      <c r="J13" s="45"/>
    </row>
    <row r="14" spans="1:10" ht="16" x14ac:dyDescent="0.2">
      <c r="A14" s="9" t="s">
        <v>9</v>
      </c>
      <c r="B14" s="11">
        <v>55589</v>
      </c>
      <c r="C14" s="11">
        <v>2523</v>
      </c>
      <c r="D14" s="34">
        <v>122.99250000000001</v>
      </c>
      <c r="E14" s="45">
        <v>161</v>
      </c>
      <c r="H14" s="45"/>
      <c r="I14" s="45"/>
      <c r="J14" s="45"/>
    </row>
    <row r="15" spans="1:10" ht="16" x14ac:dyDescent="0.2">
      <c r="A15" s="9" t="s">
        <v>8</v>
      </c>
      <c r="B15" s="11">
        <v>9706</v>
      </c>
      <c r="C15" s="11">
        <v>463</v>
      </c>
      <c r="D15" s="34">
        <v>59.325000000000003</v>
      </c>
      <c r="E15" s="45">
        <v>6</v>
      </c>
      <c r="H15" s="45"/>
      <c r="I15" s="45"/>
      <c r="J15" s="45"/>
    </row>
    <row r="16" spans="1:10" ht="16" x14ac:dyDescent="0.2">
      <c r="A16" s="9" t="s">
        <v>362</v>
      </c>
      <c r="B16" s="11">
        <v>4971</v>
      </c>
      <c r="C16" s="11">
        <v>247</v>
      </c>
      <c r="D16" s="34">
        <v>37.282499999999999</v>
      </c>
      <c r="E16" s="45">
        <v>76</v>
      </c>
      <c r="H16" s="45"/>
      <c r="I16" s="45"/>
      <c r="J16" s="45"/>
    </row>
    <row r="17" spans="1:10" ht="16" x14ac:dyDescent="0.2">
      <c r="A17" s="9" t="s">
        <v>389</v>
      </c>
      <c r="B17" s="11">
        <v>584</v>
      </c>
      <c r="C17" s="11">
        <v>17</v>
      </c>
      <c r="D17" s="34">
        <v>4.38</v>
      </c>
      <c r="E17" s="45">
        <v>45</v>
      </c>
      <c r="H17" s="45"/>
      <c r="I17" s="45"/>
      <c r="J17" s="45"/>
    </row>
    <row r="18" spans="1:10" ht="16" x14ac:dyDescent="0.2">
      <c r="A18" s="9" t="s">
        <v>13</v>
      </c>
      <c r="B18" s="11">
        <v>638</v>
      </c>
      <c r="C18" s="11">
        <v>58</v>
      </c>
      <c r="D18" s="34">
        <v>3.96</v>
      </c>
      <c r="E18" s="45">
        <v>3</v>
      </c>
      <c r="H18" s="45"/>
      <c r="I18" s="45"/>
      <c r="J18" s="45"/>
    </row>
    <row r="19" spans="1:10" ht="16" x14ac:dyDescent="0.2">
      <c r="A19" s="9" t="s">
        <v>346</v>
      </c>
      <c r="B19" s="11">
        <v>132</v>
      </c>
      <c r="C19" s="11">
        <v>7</v>
      </c>
      <c r="D19" s="34">
        <v>0.99</v>
      </c>
      <c r="E19" s="45">
        <v>26</v>
      </c>
      <c r="H19" s="45"/>
      <c r="I19" s="45"/>
      <c r="J19" s="45"/>
    </row>
    <row r="20" spans="1:10" ht="16" x14ac:dyDescent="0.2">
      <c r="A20" s="9" t="s">
        <v>402</v>
      </c>
      <c r="B20" s="11">
        <v>129</v>
      </c>
      <c r="C20" s="11">
        <v>8</v>
      </c>
      <c r="D20" s="34">
        <v>0.96750000000000003</v>
      </c>
      <c r="E20" s="45">
        <v>37</v>
      </c>
      <c r="H20" s="45"/>
      <c r="I20" s="45"/>
      <c r="J20" s="45"/>
    </row>
    <row r="21" spans="1:10" ht="16" x14ac:dyDescent="0.2">
      <c r="A21" s="9" t="s">
        <v>421</v>
      </c>
      <c r="B21" s="11">
        <v>125</v>
      </c>
      <c r="C21" s="11">
        <v>7</v>
      </c>
      <c r="D21" s="34">
        <v>0.9375</v>
      </c>
      <c r="E21" s="45">
        <v>37</v>
      </c>
      <c r="H21" s="45"/>
      <c r="I21" s="45"/>
      <c r="J21" s="45"/>
    </row>
    <row r="22" spans="1:10" ht="16" x14ac:dyDescent="0.2">
      <c r="A22" s="9" t="s">
        <v>486</v>
      </c>
      <c r="B22" s="11">
        <v>76</v>
      </c>
      <c r="C22" s="11">
        <v>6</v>
      </c>
      <c r="D22" s="34">
        <v>0.56999999999999995</v>
      </c>
      <c r="E22" s="45">
        <v>9</v>
      </c>
      <c r="H22" s="45"/>
      <c r="I22" s="45"/>
      <c r="J22" s="45"/>
    </row>
    <row r="23" spans="1:10" ht="16" x14ac:dyDescent="0.2">
      <c r="A23" s="9" t="s">
        <v>447</v>
      </c>
      <c r="B23" s="11">
        <v>70</v>
      </c>
      <c r="C23" s="11">
        <v>7</v>
      </c>
      <c r="D23" s="34">
        <v>0.52500000000000002</v>
      </c>
      <c r="E23" s="45">
        <v>22</v>
      </c>
      <c r="H23" s="45"/>
      <c r="I23" s="45"/>
      <c r="J23" s="45"/>
    </row>
    <row r="24" spans="1:10" ht="16" x14ac:dyDescent="0.2">
      <c r="A24" s="9" t="s">
        <v>353</v>
      </c>
      <c r="B24" s="11">
        <v>54</v>
      </c>
      <c r="C24" s="11">
        <v>5</v>
      </c>
      <c r="D24" s="34">
        <v>0.40500000000000003</v>
      </c>
      <c r="E24" s="45">
        <v>32</v>
      </c>
      <c r="H24" s="45"/>
      <c r="I24" s="45"/>
      <c r="J24" s="45"/>
    </row>
    <row r="25" spans="1:10" ht="16" x14ac:dyDescent="0.2">
      <c r="A25" s="9" t="s">
        <v>359</v>
      </c>
      <c r="B25" s="11">
        <v>28</v>
      </c>
      <c r="C25" s="11">
        <v>4</v>
      </c>
      <c r="D25" s="34">
        <v>0.21</v>
      </c>
      <c r="E25" s="45">
        <v>8</v>
      </c>
      <c r="H25" s="45"/>
      <c r="I25" s="45"/>
      <c r="J25" s="45"/>
    </row>
    <row r="26" spans="1:10" ht="16" x14ac:dyDescent="0.2">
      <c r="A26" s="9" t="s">
        <v>446</v>
      </c>
      <c r="B26" s="11">
        <v>11</v>
      </c>
      <c r="C26" s="11">
        <v>2</v>
      </c>
      <c r="D26" s="34">
        <v>8.2500000000000004E-2</v>
      </c>
      <c r="E26" s="45">
        <v>13</v>
      </c>
      <c r="H26" s="45"/>
      <c r="I26" s="45"/>
      <c r="J26" s="45"/>
    </row>
    <row r="27" spans="1:10" ht="16" x14ac:dyDescent="0.2">
      <c r="A27" s="9" t="s">
        <v>400</v>
      </c>
      <c r="B27" s="11">
        <v>9</v>
      </c>
      <c r="C27" s="11">
        <v>1</v>
      </c>
      <c r="D27" s="34">
        <v>6.7500000000000004E-2</v>
      </c>
      <c r="E27" s="45">
        <v>4</v>
      </c>
      <c r="H27" s="45"/>
      <c r="I27" s="45"/>
      <c r="J27" s="45"/>
    </row>
    <row r="28" spans="1:10" ht="16" x14ac:dyDescent="0.2">
      <c r="A28" s="9" t="s">
        <v>476</v>
      </c>
      <c r="B28" s="11">
        <v>4</v>
      </c>
      <c r="C28" s="11">
        <v>1</v>
      </c>
      <c r="D28" s="34">
        <v>0.03</v>
      </c>
      <c r="E28" s="45">
        <v>4</v>
      </c>
      <c r="H28" s="45"/>
      <c r="I28" s="45"/>
      <c r="J28" s="45"/>
    </row>
    <row r="29" spans="1:10" ht="19" x14ac:dyDescent="0.25">
      <c r="A29" s="46" t="s">
        <v>26</v>
      </c>
      <c r="B29" s="47">
        <f>SUM(B6:B28)</f>
        <v>1390635</v>
      </c>
      <c r="C29" s="47">
        <f>SUM(C6:C28)</f>
        <v>75371</v>
      </c>
      <c r="D29" s="48">
        <f>SUM(D6:D28)</f>
        <v>8650.807499999999</v>
      </c>
      <c r="E29" s="47">
        <f>SUM(E6:E28)</f>
        <v>997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1227"/>
  <sheetViews>
    <sheetView zoomScaleNormal="100" workbookViewId="0">
      <selection activeCell="E726" sqref="E726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5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4" t="s">
        <v>462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51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14</v>
      </c>
      <c r="B5" s="14" t="s">
        <v>15</v>
      </c>
      <c r="C5" s="15" t="s">
        <v>4</v>
      </c>
      <c r="D5" s="52" t="s">
        <v>5</v>
      </c>
    </row>
    <row r="6" spans="1:4" ht="16" x14ac:dyDescent="0.2">
      <c r="A6" s="9" t="s">
        <v>18</v>
      </c>
      <c r="B6" s="9" t="s">
        <v>348</v>
      </c>
      <c r="C6" s="9" t="s">
        <v>346</v>
      </c>
      <c r="D6" s="51">
        <v>54</v>
      </c>
    </row>
    <row r="7" spans="1:4" ht="16" x14ac:dyDescent="0.2">
      <c r="A7" s="9" t="s">
        <v>17</v>
      </c>
      <c r="B7" s="9" t="s">
        <v>347</v>
      </c>
      <c r="C7" s="9" t="s">
        <v>346</v>
      </c>
      <c r="D7" s="51">
        <v>23</v>
      </c>
    </row>
    <row r="8" spans="1:4" ht="16" x14ac:dyDescent="0.2">
      <c r="A8" s="9" t="s">
        <v>17</v>
      </c>
      <c r="B8" s="9" t="s">
        <v>351</v>
      </c>
      <c r="C8" s="9" t="s">
        <v>346</v>
      </c>
      <c r="D8" s="51">
        <v>18</v>
      </c>
    </row>
    <row r="9" spans="1:4" ht="16" x14ac:dyDescent="0.2">
      <c r="A9" s="9" t="s">
        <v>17</v>
      </c>
      <c r="B9" s="9" t="s">
        <v>351</v>
      </c>
      <c r="C9" s="9" t="s">
        <v>346</v>
      </c>
      <c r="D9" s="51">
        <v>18</v>
      </c>
    </row>
    <row r="10" spans="1:4" ht="16" x14ac:dyDescent="0.2">
      <c r="A10" s="9" t="s">
        <v>17</v>
      </c>
      <c r="B10" s="9" t="s">
        <v>352</v>
      </c>
      <c r="C10" s="9" t="s">
        <v>346</v>
      </c>
      <c r="D10" s="51">
        <v>7</v>
      </c>
    </row>
    <row r="11" spans="1:4" ht="16" x14ac:dyDescent="0.2">
      <c r="A11" s="9" t="s">
        <v>17</v>
      </c>
      <c r="B11" s="9" t="s">
        <v>349</v>
      </c>
      <c r="C11" s="9" t="s">
        <v>346</v>
      </c>
      <c r="D11" s="51">
        <v>7</v>
      </c>
    </row>
    <row r="12" spans="1:4" ht="16" x14ac:dyDescent="0.2">
      <c r="A12" s="9" t="s">
        <v>16</v>
      </c>
      <c r="B12" s="9" t="s">
        <v>350</v>
      </c>
      <c r="C12" s="9" t="s">
        <v>346</v>
      </c>
      <c r="D12" s="51">
        <v>5</v>
      </c>
    </row>
    <row r="13" spans="1:4" ht="16" x14ac:dyDescent="0.2">
      <c r="A13" s="9" t="s">
        <v>17</v>
      </c>
      <c r="B13" s="9" t="s">
        <v>354</v>
      </c>
      <c r="C13" s="9" t="s">
        <v>353</v>
      </c>
      <c r="D13" s="51">
        <v>18</v>
      </c>
    </row>
    <row r="14" spans="1:4" ht="16" x14ac:dyDescent="0.2">
      <c r="A14" s="9" t="s">
        <v>16</v>
      </c>
      <c r="B14" s="9" t="s">
        <v>355</v>
      </c>
      <c r="C14" s="9" t="s">
        <v>353</v>
      </c>
      <c r="D14" s="51">
        <v>14</v>
      </c>
    </row>
    <row r="15" spans="1:4" ht="16" x14ac:dyDescent="0.2">
      <c r="A15" s="9" t="s">
        <v>18</v>
      </c>
      <c r="B15" s="9" t="s">
        <v>249</v>
      </c>
      <c r="C15" s="9" t="s">
        <v>353</v>
      </c>
      <c r="D15" s="51">
        <v>11</v>
      </c>
    </row>
    <row r="16" spans="1:4" ht="16" x14ac:dyDescent="0.2">
      <c r="A16" s="9" t="s">
        <v>18</v>
      </c>
      <c r="B16" s="9" t="s">
        <v>427</v>
      </c>
      <c r="C16" s="9" t="s">
        <v>353</v>
      </c>
      <c r="D16" s="51">
        <v>6</v>
      </c>
    </row>
    <row r="17" spans="1:4" ht="16" x14ac:dyDescent="0.2">
      <c r="A17" s="9" t="s">
        <v>19</v>
      </c>
      <c r="B17" s="9" t="s">
        <v>356</v>
      </c>
      <c r="C17" s="9" t="s">
        <v>353</v>
      </c>
      <c r="D17" s="51">
        <v>5</v>
      </c>
    </row>
    <row r="18" spans="1:4" ht="16" x14ac:dyDescent="0.2">
      <c r="A18" s="9" t="s">
        <v>17</v>
      </c>
      <c r="B18" s="9" t="s">
        <v>269</v>
      </c>
      <c r="C18" s="9" t="s">
        <v>9</v>
      </c>
      <c r="D18" s="51">
        <v>2944</v>
      </c>
    </row>
    <row r="19" spans="1:4" ht="16" x14ac:dyDescent="0.2">
      <c r="A19" s="9" t="s">
        <v>18</v>
      </c>
      <c r="B19" s="9" t="s">
        <v>54</v>
      </c>
      <c r="C19" s="9" t="s">
        <v>9</v>
      </c>
      <c r="D19" s="51">
        <v>2728</v>
      </c>
    </row>
    <row r="20" spans="1:4" x14ac:dyDescent="0.2">
      <c r="A20" s="9" t="s">
        <v>17</v>
      </c>
      <c r="B20" s="9" t="s">
        <v>53</v>
      </c>
      <c r="C20" s="9" t="s">
        <v>9</v>
      </c>
      <c r="D20" s="51">
        <v>2675</v>
      </c>
    </row>
    <row r="21" spans="1:4" x14ac:dyDescent="0.2">
      <c r="A21" s="9" t="s">
        <v>17</v>
      </c>
      <c r="B21" s="9" t="s">
        <v>73</v>
      </c>
      <c r="C21" s="9" t="s">
        <v>9</v>
      </c>
      <c r="D21" s="51">
        <v>2646</v>
      </c>
    </row>
    <row r="22" spans="1:4" ht="16" x14ac:dyDescent="0.2">
      <c r="A22" s="9" t="s">
        <v>17</v>
      </c>
      <c r="B22" s="9" t="s">
        <v>57</v>
      </c>
      <c r="C22" s="9" t="s">
        <v>9</v>
      </c>
      <c r="D22" s="51">
        <v>2416</v>
      </c>
    </row>
    <row r="23" spans="1:4" ht="16" x14ac:dyDescent="0.2">
      <c r="A23" s="9" t="s">
        <v>17</v>
      </c>
      <c r="B23" s="9" t="s">
        <v>39</v>
      </c>
      <c r="C23" s="9" t="s">
        <v>9</v>
      </c>
      <c r="D23" s="51">
        <v>2226</v>
      </c>
    </row>
    <row r="24" spans="1:4" ht="16" x14ac:dyDescent="0.2">
      <c r="A24" s="9" t="s">
        <v>18</v>
      </c>
      <c r="B24" s="9" t="s">
        <v>270</v>
      </c>
      <c r="C24" s="9" t="s">
        <v>9</v>
      </c>
      <c r="D24" s="51">
        <v>2196</v>
      </c>
    </row>
    <row r="25" spans="1:4" ht="16" x14ac:dyDescent="0.2">
      <c r="A25" s="9" t="s">
        <v>18</v>
      </c>
      <c r="B25" s="9" t="s">
        <v>270</v>
      </c>
      <c r="C25" s="9" t="s">
        <v>9</v>
      </c>
      <c r="D25" s="51">
        <v>2064</v>
      </c>
    </row>
    <row r="26" spans="1:4" ht="16" x14ac:dyDescent="0.2">
      <c r="A26" s="9" t="s">
        <v>17</v>
      </c>
      <c r="B26" s="9" t="s">
        <v>72</v>
      </c>
      <c r="C26" s="9" t="s">
        <v>9</v>
      </c>
      <c r="D26" s="51">
        <v>1980</v>
      </c>
    </row>
    <row r="27" spans="1:4" ht="16" x14ac:dyDescent="0.2">
      <c r="A27" s="9" t="s">
        <v>17</v>
      </c>
      <c r="B27" s="9" t="s">
        <v>269</v>
      </c>
      <c r="C27" s="9" t="s">
        <v>9</v>
      </c>
      <c r="D27" s="51">
        <v>1806</v>
      </c>
    </row>
    <row r="28" spans="1:4" ht="16" x14ac:dyDescent="0.2">
      <c r="A28" s="9" t="s">
        <v>17</v>
      </c>
      <c r="B28" s="9" t="s">
        <v>74</v>
      </c>
      <c r="C28" s="9" t="s">
        <v>9</v>
      </c>
      <c r="D28" s="51">
        <v>1742</v>
      </c>
    </row>
    <row r="29" spans="1:4" ht="16" x14ac:dyDescent="0.2">
      <c r="A29" s="9" t="s">
        <v>17</v>
      </c>
      <c r="B29" s="9" t="s">
        <v>72</v>
      </c>
      <c r="C29" s="9" t="s">
        <v>9</v>
      </c>
      <c r="D29" s="51">
        <v>1740</v>
      </c>
    </row>
    <row r="30" spans="1:4" ht="16" x14ac:dyDescent="0.2">
      <c r="A30" s="9" t="s">
        <v>16</v>
      </c>
      <c r="B30" s="9" t="s">
        <v>276</v>
      </c>
      <c r="C30" s="9" t="s">
        <v>9</v>
      </c>
      <c r="D30" s="51">
        <v>1596</v>
      </c>
    </row>
    <row r="31" spans="1:4" ht="16" x14ac:dyDescent="0.2">
      <c r="A31" s="9" t="s">
        <v>18</v>
      </c>
      <c r="B31" s="9" t="s">
        <v>270</v>
      </c>
      <c r="C31" s="9" t="s">
        <v>9</v>
      </c>
      <c r="D31" s="51">
        <v>1584</v>
      </c>
    </row>
    <row r="32" spans="1:4" ht="16" x14ac:dyDescent="0.2">
      <c r="A32" s="9" t="s">
        <v>16</v>
      </c>
      <c r="B32" s="9" t="s">
        <v>38</v>
      </c>
      <c r="C32" s="9" t="s">
        <v>9</v>
      </c>
      <c r="D32" s="51">
        <v>1520</v>
      </c>
    </row>
    <row r="33" spans="1:4" ht="16" x14ac:dyDescent="0.2">
      <c r="A33" s="9" t="s">
        <v>17</v>
      </c>
      <c r="B33" s="9" t="s">
        <v>57</v>
      </c>
      <c r="C33" s="9" t="s">
        <v>9</v>
      </c>
      <c r="D33" s="51">
        <v>1216</v>
      </c>
    </row>
    <row r="34" spans="1:4" ht="16" x14ac:dyDescent="0.2">
      <c r="A34" s="9" t="s">
        <v>18</v>
      </c>
      <c r="B34" s="9" t="s">
        <v>443</v>
      </c>
      <c r="C34" s="9" t="s">
        <v>9</v>
      </c>
      <c r="D34" s="51">
        <v>1180</v>
      </c>
    </row>
    <row r="35" spans="1:4" ht="16" x14ac:dyDescent="0.2">
      <c r="A35" s="9" t="s">
        <v>16</v>
      </c>
      <c r="B35" s="9" t="s">
        <v>69</v>
      </c>
      <c r="C35" s="9" t="s">
        <v>9</v>
      </c>
      <c r="D35" s="51">
        <v>1122</v>
      </c>
    </row>
    <row r="36" spans="1:4" ht="16" x14ac:dyDescent="0.2">
      <c r="A36" s="9" t="s">
        <v>18</v>
      </c>
      <c r="B36" s="9" t="s">
        <v>61</v>
      </c>
      <c r="C36" s="9" t="s">
        <v>9</v>
      </c>
      <c r="D36" s="51">
        <v>1121</v>
      </c>
    </row>
    <row r="37" spans="1:4" ht="16" x14ac:dyDescent="0.2">
      <c r="A37" s="9" t="s">
        <v>18</v>
      </c>
      <c r="B37" s="9" t="s">
        <v>270</v>
      </c>
      <c r="C37" s="9" t="s">
        <v>9</v>
      </c>
      <c r="D37" s="51">
        <v>1040</v>
      </c>
    </row>
    <row r="38" spans="1:4" ht="16" x14ac:dyDescent="0.2">
      <c r="A38" s="9" t="s">
        <v>18</v>
      </c>
      <c r="B38" s="9" t="s">
        <v>42</v>
      </c>
      <c r="C38" s="9" t="s">
        <v>9</v>
      </c>
      <c r="D38" s="51">
        <v>972</v>
      </c>
    </row>
    <row r="39" spans="1:4" ht="16" x14ac:dyDescent="0.2">
      <c r="A39" s="9" t="s">
        <v>17</v>
      </c>
      <c r="B39" s="9" t="s">
        <v>62</v>
      </c>
      <c r="C39" s="9" t="s">
        <v>9</v>
      </c>
      <c r="D39" s="51">
        <v>949</v>
      </c>
    </row>
    <row r="40" spans="1:4" ht="16" x14ac:dyDescent="0.2">
      <c r="A40" s="9" t="s">
        <v>18</v>
      </c>
      <c r="B40" s="9" t="s">
        <v>37</v>
      </c>
      <c r="C40" s="9" t="s">
        <v>9</v>
      </c>
      <c r="D40" s="51">
        <v>855</v>
      </c>
    </row>
    <row r="41" spans="1:4" ht="16" x14ac:dyDescent="0.2">
      <c r="A41" s="9" t="s">
        <v>16</v>
      </c>
      <c r="B41" s="9" t="s">
        <v>264</v>
      </c>
      <c r="C41" s="9" t="s">
        <v>9</v>
      </c>
      <c r="D41" s="51">
        <v>540</v>
      </c>
    </row>
    <row r="42" spans="1:4" x14ac:dyDescent="0.2">
      <c r="A42" s="9" t="s">
        <v>16</v>
      </c>
      <c r="B42" s="9" t="s">
        <v>268</v>
      </c>
      <c r="C42" s="9" t="s">
        <v>9</v>
      </c>
      <c r="D42" s="51">
        <v>480</v>
      </c>
    </row>
    <row r="43" spans="1:4" x14ac:dyDescent="0.2">
      <c r="A43" s="9" t="s">
        <v>18</v>
      </c>
      <c r="B43" s="9" t="s">
        <v>265</v>
      </c>
      <c r="C43" s="9" t="s">
        <v>9</v>
      </c>
      <c r="D43" s="51">
        <v>480</v>
      </c>
    </row>
    <row r="44" spans="1:4" x14ac:dyDescent="0.2">
      <c r="A44" s="9" t="s">
        <v>18</v>
      </c>
      <c r="B44" s="9" t="s">
        <v>51</v>
      </c>
      <c r="C44" s="9" t="s">
        <v>9</v>
      </c>
      <c r="D44" s="51">
        <v>413</v>
      </c>
    </row>
    <row r="45" spans="1:4" x14ac:dyDescent="0.2">
      <c r="A45" s="9" t="s">
        <v>18</v>
      </c>
      <c r="B45" s="9" t="s">
        <v>51</v>
      </c>
      <c r="C45" s="9" t="s">
        <v>9</v>
      </c>
      <c r="D45" s="51">
        <v>413</v>
      </c>
    </row>
    <row r="46" spans="1:4" x14ac:dyDescent="0.2">
      <c r="A46" s="9" t="s">
        <v>17</v>
      </c>
      <c r="B46" s="9" t="s">
        <v>52</v>
      </c>
      <c r="C46" s="9" t="s">
        <v>9</v>
      </c>
      <c r="D46" s="51">
        <v>408</v>
      </c>
    </row>
    <row r="47" spans="1:4" x14ac:dyDescent="0.2">
      <c r="A47" s="9" t="s">
        <v>18</v>
      </c>
      <c r="B47" s="9" t="s">
        <v>249</v>
      </c>
      <c r="C47" s="9" t="s">
        <v>9</v>
      </c>
      <c r="D47" s="51">
        <v>399</v>
      </c>
    </row>
    <row r="48" spans="1:4" x14ac:dyDescent="0.2">
      <c r="A48" s="9" t="s">
        <v>18</v>
      </c>
      <c r="B48" s="9" t="s">
        <v>428</v>
      </c>
      <c r="C48" s="9" t="s">
        <v>9</v>
      </c>
      <c r="D48" s="51">
        <v>385</v>
      </c>
    </row>
    <row r="49" spans="1:4" x14ac:dyDescent="0.2">
      <c r="A49" s="9" t="s">
        <v>18</v>
      </c>
      <c r="B49" s="9" t="s">
        <v>48</v>
      </c>
      <c r="C49" s="9" t="s">
        <v>9</v>
      </c>
      <c r="D49" s="51">
        <v>360</v>
      </c>
    </row>
    <row r="50" spans="1:4" x14ac:dyDescent="0.2">
      <c r="A50" s="9" t="s">
        <v>16</v>
      </c>
      <c r="B50" s="9" t="s">
        <v>43</v>
      </c>
      <c r="C50" s="9" t="s">
        <v>9</v>
      </c>
      <c r="D50" s="51">
        <v>360</v>
      </c>
    </row>
    <row r="51" spans="1:4" x14ac:dyDescent="0.2">
      <c r="A51" s="9" t="s">
        <v>16</v>
      </c>
      <c r="B51" s="9" t="s">
        <v>264</v>
      </c>
      <c r="C51" s="9" t="s">
        <v>9</v>
      </c>
      <c r="D51" s="51">
        <v>360</v>
      </c>
    </row>
    <row r="52" spans="1:4" x14ac:dyDescent="0.2">
      <c r="A52" s="9" t="s">
        <v>18</v>
      </c>
      <c r="B52" s="9" t="s">
        <v>67</v>
      </c>
      <c r="C52" s="9" t="s">
        <v>9</v>
      </c>
      <c r="D52" s="51">
        <v>360</v>
      </c>
    </row>
    <row r="53" spans="1:4" x14ac:dyDescent="0.2">
      <c r="A53" s="9" t="s">
        <v>16</v>
      </c>
      <c r="B53" s="9" t="s">
        <v>35</v>
      </c>
      <c r="C53" s="9" t="s">
        <v>9</v>
      </c>
      <c r="D53" s="51">
        <v>360</v>
      </c>
    </row>
    <row r="54" spans="1:4" x14ac:dyDescent="0.2">
      <c r="A54" s="9" t="s">
        <v>18</v>
      </c>
      <c r="B54" s="9" t="s">
        <v>44</v>
      </c>
      <c r="C54" s="9" t="s">
        <v>9</v>
      </c>
      <c r="D54" s="51">
        <v>350</v>
      </c>
    </row>
    <row r="55" spans="1:4" x14ac:dyDescent="0.2">
      <c r="A55" s="9" t="s">
        <v>18</v>
      </c>
      <c r="B55" s="9" t="s">
        <v>58</v>
      </c>
      <c r="C55" s="9" t="s">
        <v>9</v>
      </c>
      <c r="D55" s="51">
        <v>348</v>
      </c>
    </row>
    <row r="56" spans="1:4" x14ac:dyDescent="0.2">
      <c r="A56" s="9" t="s">
        <v>18</v>
      </c>
      <c r="B56" s="9" t="s">
        <v>44</v>
      </c>
      <c r="C56" s="9" t="s">
        <v>9</v>
      </c>
      <c r="D56" s="51">
        <v>336</v>
      </c>
    </row>
    <row r="57" spans="1:4" x14ac:dyDescent="0.2">
      <c r="A57" s="9" t="s">
        <v>17</v>
      </c>
      <c r="B57" s="9" t="s">
        <v>277</v>
      </c>
      <c r="C57" s="9" t="s">
        <v>9</v>
      </c>
      <c r="D57" s="51">
        <v>324</v>
      </c>
    </row>
    <row r="58" spans="1:4" x14ac:dyDescent="0.2">
      <c r="A58" s="9" t="s">
        <v>17</v>
      </c>
      <c r="B58" s="9" t="s">
        <v>49</v>
      </c>
      <c r="C58" s="9" t="s">
        <v>9</v>
      </c>
      <c r="D58" s="51">
        <v>315</v>
      </c>
    </row>
    <row r="59" spans="1:4" x14ac:dyDescent="0.2">
      <c r="A59" s="9" t="s">
        <v>18</v>
      </c>
      <c r="B59" s="9" t="s">
        <v>55</v>
      </c>
      <c r="C59" s="9" t="s">
        <v>9</v>
      </c>
      <c r="D59" s="51">
        <v>273</v>
      </c>
    </row>
    <row r="60" spans="1:4" x14ac:dyDescent="0.2">
      <c r="A60" s="9" t="s">
        <v>18</v>
      </c>
      <c r="B60" s="9" t="s">
        <v>51</v>
      </c>
      <c r="C60" s="9" t="s">
        <v>9</v>
      </c>
      <c r="D60" s="51">
        <v>252</v>
      </c>
    </row>
    <row r="61" spans="1:4" x14ac:dyDescent="0.2">
      <c r="A61" s="9" t="s">
        <v>18</v>
      </c>
      <c r="B61" s="9" t="s">
        <v>266</v>
      </c>
      <c r="C61" s="9" t="s">
        <v>9</v>
      </c>
      <c r="D61" s="51">
        <v>240</v>
      </c>
    </row>
    <row r="62" spans="1:4" x14ac:dyDescent="0.2">
      <c r="A62" s="9" t="s">
        <v>18</v>
      </c>
      <c r="B62" s="9" t="s">
        <v>266</v>
      </c>
      <c r="C62" s="9" t="s">
        <v>9</v>
      </c>
      <c r="D62" s="51">
        <v>240</v>
      </c>
    </row>
    <row r="63" spans="1:4" x14ac:dyDescent="0.2">
      <c r="A63" s="9" t="s">
        <v>17</v>
      </c>
      <c r="B63" s="9" t="s">
        <v>64</v>
      </c>
      <c r="C63" s="9" t="s">
        <v>9</v>
      </c>
      <c r="D63" s="51">
        <v>208</v>
      </c>
    </row>
    <row r="64" spans="1:4" x14ac:dyDescent="0.2">
      <c r="A64" s="9" t="s">
        <v>16</v>
      </c>
      <c r="B64" s="9" t="s">
        <v>36</v>
      </c>
      <c r="C64" s="9" t="s">
        <v>9</v>
      </c>
      <c r="D64" s="51">
        <v>203</v>
      </c>
    </row>
    <row r="65" spans="1:4" x14ac:dyDescent="0.2">
      <c r="A65" s="9" t="s">
        <v>17</v>
      </c>
      <c r="B65" s="9" t="s">
        <v>64</v>
      </c>
      <c r="C65" s="9" t="s">
        <v>9</v>
      </c>
      <c r="D65" s="51">
        <v>200</v>
      </c>
    </row>
    <row r="66" spans="1:4" x14ac:dyDescent="0.2">
      <c r="A66" s="9" t="s">
        <v>18</v>
      </c>
      <c r="B66" s="9" t="s">
        <v>453</v>
      </c>
      <c r="C66" s="9" t="s">
        <v>9</v>
      </c>
      <c r="D66" s="51">
        <v>196</v>
      </c>
    </row>
    <row r="67" spans="1:4" x14ac:dyDescent="0.2">
      <c r="A67" s="9" t="s">
        <v>18</v>
      </c>
      <c r="B67" s="9" t="s">
        <v>272</v>
      </c>
      <c r="C67" s="9" t="s">
        <v>9</v>
      </c>
      <c r="D67" s="51">
        <v>182</v>
      </c>
    </row>
    <row r="68" spans="1:4" x14ac:dyDescent="0.2">
      <c r="A68" s="9" t="s">
        <v>17</v>
      </c>
      <c r="B68" s="9" t="s">
        <v>273</v>
      </c>
      <c r="C68" s="9" t="s">
        <v>9</v>
      </c>
      <c r="D68" s="51">
        <v>182</v>
      </c>
    </row>
    <row r="69" spans="1:4" x14ac:dyDescent="0.2">
      <c r="A69" s="9" t="s">
        <v>17</v>
      </c>
      <c r="B69" s="9" t="s">
        <v>274</v>
      </c>
      <c r="C69" s="9" t="s">
        <v>9</v>
      </c>
      <c r="D69" s="51">
        <v>182</v>
      </c>
    </row>
    <row r="70" spans="1:4" x14ac:dyDescent="0.2">
      <c r="A70" s="9" t="s">
        <v>18</v>
      </c>
      <c r="B70" s="9" t="s">
        <v>44</v>
      </c>
      <c r="C70" s="9" t="s">
        <v>9</v>
      </c>
      <c r="D70" s="51">
        <v>180</v>
      </c>
    </row>
    <row r="71" spans="1:4" x14ac:dyDescent="0.2">
      <c r="A71" s="9" t="s">
        <v>17</v>
      </c>
      <c r="B71" s="9" t="s">
        <v>271</v>
      </c>
      <c r="C71" s="9" t="s">
        <v>9</v>
      </c>
      <c r="D71" s="51">
        <v>180</v>
      </c>
    </row>
    <row r="72" spans="1:4" x14ac:dyDescent="0.2">
      <c r="A72" s="9" t="s">
        <v>18</v>
      </c>
      <c r="B72" s="9" t="s">
        <v>40</v>
      </c>
      <c r="C72" s="9" t="s">
        <v>9</v>
      </c>
      <c r="D72" s="51">
        <v>176</v>
      </c>
    </row>
    <row r="73" spans="1:4" x14ac:dyDescent="0.2">
      <c r="A73" s="9" t="s">
        <v>16</v>
      </c>
      <c r="B73" s="9" t="s">
        <v>267</v>
      </c>
      <c r="C73" s="9" t="s">
        <v>9</v>
      </c>
      <c r="D73" s="51">
        <v>174</v>
      </c>
    </row>
    <row r="74" spans="1:4" x14ac:dyDescent="0.2">
      <c r="A74" s="9" t="s">
        <v>17</v>
      </c>
      <c r="B74" s="9" t="s">
        <v>64</v>
      </c>
      <c r="C74" s="9" t="s">
        <v>9</v>
      </c>
      <c r="D74" s="51">
        <v>168</v>
      </c>
    </row>
    <row r="75" spans="1:4" x14ac:dyDescent="0.2">
      <c r="A75" s="9" t="s">
        <v>17</v>
      </c>
      <c r="B75" s="9" t="s">
        <v>271</v>
      </c>
      <c r="C75" s="9" t="s">
        <v>9</v>
      </c>
      <c r="D75" s="51">
        <v>168</v>
      </c>
    </row>
    <row r="76" spans="1:4" x14ac:dyDescent="0.2">
      <c r="A76" s="9" t="s">
        <v>17</v>
      </c>
      <c r="B76" s="9" t="s">
        <v>64</v>
      </c>
      <c r="C76" s="9" t="s">
        <v>9</v>
      </c>
      <c r="D76" s="51">
        <v>168</v>
      </c>
    </row>
    <row r="77" spans="1:4" x14ac:dyDescent="0.2">
      <c r="A77" s="9" t="s">
        <v>17</v>
      </c>
      <c r="B77" s="9" t="s">
        <v>64</v>
      </c>
      <c r="C77" s="9" t="s">
        <v>9</v>
      </c>
      <c r="D77" s="51">
        <v>168</v>
      </c>
    </row>
    <row r="78" spans="1:4" x14ac:dyDescent="0.2">
      <c r="A78" s="9" t="s">
        <v>17</v>
      </c>
      <c r="B78" s="9" t="s">
        <v>64</v>
      </c>
      <c r="C78" s="9" t="s">
        <v>9</v>
      </c>
      <c r="D78" s="51">
        <v>168</v>
      </c>
    </row>
    <row r="79" spans="1:4" x14ac:dyDescent="0.2">
      <c r="A79" s="9" t="s">
        <v>17</v>
      </c>
      <c r="B79" s="9" t="s">
        <v>278</v>
      </c>
      <c r="C79" s="9" t="s">
        <v>9</v>
      </c>
      <c r="D79" s="51">
        <v>168</v>
      </c>
    </row>
    <row r="80" spans="1:4" x14ac:dyDescent="0.2">
      <c r="A80" s="9" t="s">
        <v>17</v>
      </c>
      <c r="B80" s="9" t="s">
        <v>271</v>
      </c>
      <c r="C80" s="9" t="s">
        <v>9</v>
      </c>
      <c r="D80" s="51">
        <v>168</v>
      </c>
    </row>
    <row r="81" spans="1:4" x14ac:dyDescent="0.2">
      <c r="A81" s="9" t="s">
        <v>17</v>
      </c>
      <c r="B81" s="9" t="s">
        <v>59</v>
      </c>
      <c r="C81" s="9" t="s">
        <v>9</v>
      </c>
      <c r="D81" s="51">
        <v>168</v>
      </c>
    </row>
    <row r="82" spans="1:4" x14ac:dyDescent="0.2">
      <c r="A82" s="9" t="s">
        <v>17</v>
      </c>
      <c r="B82" s="9" t="s">
        <v>64</v>
      </c>
      <c r="C82" s="9" t="s">
        <v>9</v>
      </c>
      <c r="D82" s="51">
        <v>162</v>
      </c>
    </row>
    <row r="83" spans="1:4" x14ac:dyDescent="0.2">
      <c r="A83" s="9" t="s">
        <v>18</v>
      </c>
      <c r="B83" s="9" t="s">
        <v>56</v>
      </c>
      <c r="C83" s="9" t="s">
        <v>9</v>
      </c>
      <c r="D83" s="51">
        <v>161</v>
      </c>
    </row>
    <row r="84" spans="1:4" x14ac:dyDescent="0.2">
      <c r="A84" s="9" t="s">
        <v>17</v>
      </c>
      <c r="B84" s="9" t="s">
        <v>47</v>
      </c>
      <c r="C84" s="9" t="s">
        <v>9</v>
      </c>
      <c r="D84" s="51">
        <v>160</v>
      </c>
    </row>
    <row r="85" spans="1:4" x14ac:dyDescent="0.2">
      <c r="A85" s="9" t="s">
        <v>17</v>
      </c>
      <c r="B85" s="9" t="s">
        <v>46</v>
      </c>
      <c r="C85" s="9" t="s">
        <v>9</v>
      </c>
      <c r="D85" s="51">
        <v>150</v>
      </c>
    </row>
    <row r="86" spans="1:4" x14ac:dyDescent="0.2">
      <c r="A86" s="9" t="s">
        <v>17</v>
      </c>
      <c r="B86" s="9" t="s">
        <v>64</v>
      </c>
      <c r="C86" s="9" t="s">
        <v>9</v>
      </c>
      <c r="D86" s="51">
        <v>150</v>
      </c>
    </row>
    <row r="87" spans="1:4" x14ac:dyDescent="0.2">
      <c r="A87" s="9" t="s">
        <v>18</v>
      </c>
      <c r="B87" s="9" t="s">
        <v>44</v>
      </c>
      <c r="C87" s="9" t="s">
        <v>9</v>
      </c>
      <c r="D87" s="51">
        <v>144</v>
      </c>
    </row>
    <row r="88" spans="1:4" x14ac:dyDescent="0.2">
      <c r="A88" s="9" t="s">
        <v>17</v>
      </c>
      <c r="B88" s="9" t="s">
        <v>64</v>
      </c>
      <c r="C88" s="9" t="s">
        <v>9</v>
      </c>
      <c r="D88" s="51">
        <v>144</v>
      </c>
    </row>
    <row r="89" spans="1:4" x14ac:dyDescent="0.2">
      <c r="A89" s="9" t="s">
        <v>17</v>
      </c>
      <c r="B89" s="9" t="s">
        <v>64</v>
      </c>
      <c r="C89" s="9" t="s">
        <v>9</v>
      </c>
      <c r="D89" s="51">
        <v>144</v>
      </c>
    </row>
    <row r="90" spans="1:4" x14ac:dyDescent="0.2">
      <c r="A90" s="9" t="s">
        <v>17</v>
      </c>
      <c r="B90" s="9" t="s">
        <v>64</v>
      </c>
      <c r="C90" s="9" t="s">
        <v>9</v>
      </c>
      <c r="D90" s="51">
        <v>140</v>
      </c>
    </row>
    <row r="91" spans="1:4" x14ac:dyDescent="0.2">
      <c r="A91" s="9" t="s">
        <v>18</v>
      </c>
      <c r="B91" s="9" t="s">
        <v>44</v>
      </c>
      <c r="C91" s="9" t="s">
        <v>9</v>
      </c>
      <c r="D91" s="51">
        <v>133</v>
      </c>
    </row>
    <row r="92" spans="1:4" x14ac:dyDescent="0.2">
      <c r="A92" s="9" t="s">
        <v>17</v>
      </c>
      <c r="B92" s="9" t="s">
        <v>271</v>
      </c>
      <c r="C92" s="9" t="s">
        <v>9</v>
      </c>
      <c r="D92" s="51">
        <v>132</v>
      </c>
    </row>
    <row r="93" spans="1:4" x14ac:dyDescent="0.2">
      <c r="A93" s="9" t="s">
        <v>16</v>
      </c>
      <c r="B93" s="9" t="s">
        <v>264</v>
      </c>
      <c r="C93" s="9" t="s">
        <v>9</v>
      </c>
      <c r="D93" s="51">
        <v>128</v>
      </c>
    </row>
    <row r="94" spans="1:4" x14ac:dyDescent="0.2">
      <c r="A94" s="9" t="s">
        <v>18</v>
      </c>
      <c r="B94" s="9" t="s">
        <v>60</v>
      </c>
      <c r="C94" s="9" t="s">
        <v>9</v>
      </c>
      <c r="D94" s="51">
        <v>126</v>
      </c>
    </row>
    <row r="95" spans="1:4" x14ac:dyDescent="0.2">
      <c r="A95" s="9" t="s">
        <v>17</v>
      </c>
      <c r="B95" s="9" t="s">
        <v>275</v>
      </c>
      <c r="C95" s="9" t="s">
        <v>9</v>
      </c>
      <c r="D95" s="51">
        <v>119</v>
      </c>
    </row>
    <row r="96" spans="1:4" x14ac:dyDescent="0.2">
      <c r="A96" s="9" t="s">
        <v>17</v>
      </c>
      <c r="B96" s="9" t="s">
        <v>271</v>
      </c>
      <c r="C96" s="9" t="s">
        <v>9</v>
      </c>
      <c r="D96" s="51">
        <v>115</v>
      </c>
    </row>
    <row r="97" spans="1:4" x14ac:dyDescent="0.2">
      <c r="A97" s="9" t="s">
        <v>17</v>
      </c>
      <c r="B97" s="9" t="s">
        <v>271</v>
      </c>
      <c r="C97" s="9" t="s">
        <v>9</v>
      </c>
      <c r="D97" s="51">
        <v>114</v>
      </c>
    </row>
    <row r="98" spans="1:4" x14ac:dyDescent="0.2">
      <c r="A98" s="9" t="s">
        <v>17</v>
      </c>
      <c r="B98" s="9" t="s">
        <v>271</v>
      </c>
      <c r="C98" s="9" t="s">
        <v>9</v>
      </c>
      <c r="D98" s="51">
        <v>114</v>
      </c>
    </row>
    <row r="99" spans="1:4" x14ac:dyDescent="0.2">
      <c r="A99" s="9" t="s">
        <v>16</v>
      </c>
      <c r="B99" s="9" t="s">
        <v>264</v>
      </c>
      <c r="C99" s="9" t="s">
        <v>9</v>
      </c>
      <c r="D99" s="51">
        <v>112</v>
      </c>
    </row>
    <row r="100" spans="1:4" x14ac:dyDescent="0.2">
      <c r="A100" s="9" t="s">
        <v>18</v>
      </c>
      <c r="B100" s="9" t="s">
        <v>279</v>
      </c>
      <c r="C100" s="9" t="s">
        <v>9</v>
      </c>
      <c r="D100" s="51">
        <v>105</v>
      </c>
    </row>
    <row r="101" spans="1:4" x14ac:dyDescent="0.2">
      <c r="A101" s="9" t="s">
        <v>17</v>
      </c>
      <c r="B101" s="9" t="s">
        <v>41</v>
      </c>
      <c r="C101" s="9" t="s">
        <v>9</v>
      </c>
      <c r="D101" s="51">
        <v>96</v>
      </c>
    </row>
    <row r="102" spans="1:4" x14ac:dyDescent="0.2">
      <c r="A102" s="9" t="s">
        <v>17</v>
      </c>
      <c r="B102" s="9" t="s">
        <v>41</v>
      </c>
      <c r="C102" s="9" t="s">
        <v>9</v>
      </c>
      <c r="D102" s="51">
        <v>96</v>
      </c>
    </row>
    <row r="103" spans="1:4" x14ac:dyDescent="0.2">
      <c r="A103" s="9" t="s">
        <v>18</v>
      </c>
      <c r="B103" s="9" t="s">
        <v>37</v>
      </c>
      <c r="C103" s="9" t="s">
        <v>9</v>
      </c>
      <c r="D103" s="51">
        <v>95</v>
      </c>
    </row>
    <row r="104" spans="1:4" x14ac:dyDescent="0.2">
      <c r="A104" s="9" t="s">
        <v>18</v>
      </c>
      <c r="B104" s="9" t="s">
        <v>50</v>
      </c>
      <c r="C104" s="9" t="s">
        <v>9</v>
      </c>
      <c r="D104" s="51">
        <v>80</v>
      </c>
    </row>
    <row r="105" spans="1:4" x14ac:dyDescent="0.2">
      <c r="A105" s="9" t="s">
        <v>17</v>
      </c>
      <c r="B105" s="9" t="s">
        <v>456</v>
      </c>
      <c r="C105" s="9" t="s">
        <v>9</v>
      </c>
      <c r="D105" s="51">
        <v>80</v>
      </c>
    </row>
    <row r="106" spans="1:4" x14ac:dyDescent="0.2">
      <c r="A106" s="9" t="s">
        <v>18</v>
      </c>
      <c r="B106" s="9" t="s">
        <v>44</v>
      </c>
      <c r="C106" s="9" t="s">
        <v>9</v>
      </c>
      <c r="D106" s="51">
        <v>76</v>
      </c>
    </row>
    <row r="107" spans="1:4" x14ac:dyDescent="0.2">
      <c r="A107" s="9" t="s">
        <v>17</v>
      </c>
      <c r="B107" s="9" t="s">
        <v>275</v>
      </c>
      <c r="C107" s="9" t="s">
        <v>9</v>
      </c>
      <c r="D107" s="51">
        <v>72</v>
      </c>
    </row>
    <row r="108" spans="1:4" x14ac:dyDescent="0.2">
      <c r="A108" s="9" t="s">
        <v>17</v>
      </c>
      <c r="B108" s="9" t="s">
        <v>41</v>
      </c>
      <c r="C108" s="9" t="s">
        <v>9</v>
      </c>
      <c r="D108" s="51">
        <v>63</v>
      </c>
    </row>
    <row r="109" spans="1:4" x14ac:dyDescent="0.2">
      <c r="A109" s="9" t="s">
        <v>16</v>
      </c>
      <c r="B109" s="9" t="s">
        <v>45</v>
      </c>
      <c r="C109" s="9" t="s">
        <v>9</v>
      </c>
      <c r="D109" s="51">
        <v>60</v>
      </c>
    </row>
    <row r="110" spans="1:4" x14ac:dyDescent="0.2">
      <c r="A110" s="9" t="s">
        <v>18</v>
      </c>
      <c r="B110" s="9" t="s">
        <v>44</v>
      </c>
      <c r="C110" s="9" t="s">
        <v>9</v>
      </c>
      <c r="D110" s="51">
        <v>56</v>
      </c>
    </row>
    <row r="111" spans="1:4" x14ac:dyDescent="0.2">
      <c r="A111" s="9" t="s">
        <v>17</v>
      </c>
      <c r="B111" s="9" t="s">
        <v>68</v>
      </c>
      <c r="C111" s="9" t="s">
        <v>9</v>
      </c>
      <c r="D111" s="51">
        <v>48</v>
      </c>
    </row>
    <row r="112" spans="1:4" x14ac:dyDescent="0.2">
      <c r="A112" s="9" t="s">
        <v>18</v>
      </c>
      <c r="B112" s="9" t="s">
        <v>357</v>
      </c>
      <c r="C112" s="9" t="s">
        <v>9</v>
      </c>
      <c r="D112" s="51">
        <v>48</v>
      </c>
    </row>
    <row r="113" spans="1:4" x14ac:dyDescent="0.2">
      <c r="A113" s="9" t="s">
        <v>18</v>
      </c>
      <c r="B113" s="9" t="s">
        <v>279</v>
      </c>
      <c r="C113" s="9" t="s">
        <v>9</v>
      </c>
      <c r="D113" s="51">
        <v>45</v>
      </c>
    </row>
    <row r="114" spans="1:4" x14ac:dyDescent="0.2">
      <c r="A114" s="9" t="s">
        <v>17</v>
      </c>
      <c r="B114" s="9" t="s">
        <v>68</v>
      </c>
      <c r="C114" s="9" t="s">
        <v>9</v>
      </c>
      <c r="D114" s="51">
        <v>42</v>
      </c>
    </row>
    <row r="115" spans="1:4" x14ac:dyDescent="0.2">
      <c r="A115" s="9" t="s">
        <v>16</v>
      </c>
      <c r="B115" s="9" t="s">
        <v>66</v>
      </c>
      <c r="C115" s="9" t="s">
        <v>9</v>
      </c>
      <c r="D115" s="51">
        <v>42</v>
      </c>
    </row>
    <row r="116" spans="1:4" x14ac:dyDescent="0.2">
      <c r="A116" s="9" t="s">
        <v>16</v>
      </c>
      <c r="B116" s="9" t="s">
        <v>65</v>
      </c>
      <c r="C116" s="9" t="s">
        <v>9</v>
      </c>
      <c r="D116" s="51">
        <v>42</v>
      </c>
    </row>
    <row r="117" spans="1:4" x14ac:dyDescent="0.2">
      <c r="A117" s="9" t="s">
        <v>17</v>
      </c>
      <c r="B117" s="9" t="s">
        <v>71</v>
      </c>
      <c r="C117" s="9" t="s">
        <v>9</v>
      </c>
      <c r="D117" s="51">
        <v>42</v>
      </c>
    </row>
    <row r="118" spans="1:4" x14ac:dyDescent="0.2">
      <c r="A118" s="9" t="s">
        <v>16</v>
      </c>
      <c r="B118" s="9" t="s">
        <v>63</v>
      </c>
      <c r="C118" s="9" t="s">
        <v>9</v>
      </c>
      <c r="D118" s="51">
        <v>40</v>
      </c>
    </row>
    <row r="119" spans="1:4" x14ac:dyDescent="0.2">
      <c r="A119" s="9" t="s">
        <v>17</v>
      </c>
      <c r="B119" s="9" t="s">
        <v>68</v>
      </c>
      <c r="C119" s="9" t="s">
        <v>9</v>
      </c>
      <c r="D119" s="51">
        <v>36</v>
      </c>
    </row>
    <row r="120" spans="1:4" x14ac:dyDescent="0.2">
      <c r="A120" s="9" t="s">
        <v>17</v>
      </c>
      <c r="B120" s="9" t="s">
        <v>70</v>
      </c>
      <c r="C120" s="9" t="s">
        <v>9</v>
      </c>
      <c r="D120" s="51">
        <v>36</v>
      </c>
    </row>
    <row r="121" spans="1:4" x14ac:dyDescent="0.2">
      <c r="A121" s="9" t="s">
        <v>19</v>
      </c>
      <c r="B121" s="9" t="s">
        <v>75</v>
      </c>
      <c r="C121" s="9" t="s">
        <v>9</v>
      </c>
      <c r="D121" s="51">
        <v>36</v>
      </c>
    </row>
    <row r="122" spans="1:4" x14ac:dyDescent="0.2">
      <c r="A122" s="9" t="s">
        <v>17</v>
      </c>
      <c r="B122" s="9" t="s">
        <v>271</v>
      </c>
      <c r="C122" s="9" t="s">
        <v>9</v>
      </c>
      <c r="D122" s="51">
        <v>36</v>
      </c>
    </row>
    <row r="123" spans="1:4" x14ac:dyDescent="0.2">
      <c r="A123" s="9" t="s">
        <v>17</v>
      </c>
      <c r="B123" s="9" t="s">
        <v>442</v>
      </c>
      <c r="C123" s="9" t="s">
        <v>9</v>
      </c>
      <c r="D123" s="51">
        <v>33</v>
      </c>
    </row>
    <row r="124" spans="1:4" x14ac:dyDescent="0.2">
      <c r="A124" s="9" t="s">
        <v>17</v>
      </c>
      <c r="B124" s="9" t="s">
        <v>271</v>
      </c>
      <c r="C124" s="9" t="s">
        <v>9</v>
      </c>
      <c r="D124" s="51">
        <v>15</v>
      </c>
    </row>
    <row r="125" spans="1:4" x14ac:dyDescent="0.2">
      <c r="A125" s="9" t="s">
        <v>18</v>
      </c>
      <c r="B125" s="9" t="s">
        <v>79</v>
      </c>
      <c r="C125" s="9" t="s">
        <v>8</v>
      </c>
      <c r="D125" s="51">
        <v>4307</v>
      </c>
    </row>
    <row r="126" spans="1:4" x14ac:dyDescent="0.2">
      <c r="A126" s="9" t="s">
        <v>18</v>
      </c>
      <c r="B126" s="9" t="s">
        <v>76</v>
      </c>
      <c r="C126" s="9" t="s">
        <v>8</v>
      </c>
      <c r="D126" s="51">
        <v>3458</v>
      </c>
    </row>
    <row r="127" spans="1:4" x14ac:dyDescent="0.2">
      <c r="A127" s="9" t="s">
        <v>18</v>
      </c>
      <c r="B127" s="9" t="s">
        <v>77</v>
      </c>
      <c r="C127" s="9" t="s">
        <v>8</v>
      </c>
      <c r="D127" s="51">
        <v>1300</v>
      </c>
    </row>
    <row r="128" spans="1:4" x14ac:dyDescent="0.2">
      <c r="A128" s="9" t="s">
        <v>18</v>
      </c>
      <c r="B128" s="9" t="s">
        <v>78</v>
      </c>
      <c r="C128" s="9" t="s">
        <v>8</v>
      </c>
      <c r="D128" s="51">
        <v>425</v>
      </c>
    </row>
    <row r="129" spans="1:4" x14ac:dyDescent="0.2">
      <c r="A129" s="9" t="s">
        <v>19</v>
      </c>
      <c r="B129" s="9" t="s">
        <v>280</v>
      </c>
      <c r="C129" s="9" t="s">
        <v>8</v>
      </c>
      <c r="D129" s="51">
        <v>216</v>
      </c>
    </row>
    <row r="130" spans="1:4" x14ac:dyDescent="0.2">
      <c r="A130" s="9" t="s">
        <v>16</v>
      </c>
      <c r="B130" s="9" t="s">
        <v>80</v>
      </c>
      <c r="C130" s="9" t="s">
        <v>10</v>
      </c>
      <c r="D130" s="51">
        <v>18360</v>
      </c>
    </row>
    <row r="131" spans="1:4" x14ac:dyDescent="0.2">
      <c r="A131" s="9" t="s">
        <v>16</v>
      </c>
      <c r="B131" s="9" t="s">
        <v>281</v>
      </c>
      <c r="C131" s="9" t="s">
        <v>10</v>
      </c>
      <c r="D131" s="51">
        <v>16926</v>
      </c>
    </row>
    <row r="132" spans="1:4" x14ac:dyDescent="0.2">
      <c r="A132" s="9" t="s">
        <v>18</v>
      </c>
      <c r="B132" s="9" t="s">
        <v>105</v>
      </c>
      <c r="C132" s="9" t="s">
        <v>10</v>
      </c>
      <c r="D132" s="51">
        <v>15916</v>
      </c>
    </row>
    <row r="133" spans="1:4" x14ac:dyDescent="0.2">
      <c r="A133" s="9" t="s">
        <v>18</v>
      </c>
      <c r="B133" s="9" t="s">
        <v>90</v>
      </c>
      <c r="C133" s="9" t="s">
        <v>10</v>
      </c>
      <c r="D133" s="51">
        <v>13992</v>
      </c>
    </row>
    <row r="134" spans="1:4" x14ac:dyDescent="0.2">
      <c r="A134" s="9" t="s">
        <v>18</v>
      </c>
      <c r="B134" s="9" t="s">
        <v>298</v>
      </c>
      <c r="C134" s="9" t="s">
        <v>10</v>
      </c>
      <c r="D134" s="51">
        <v>13024</v>
      </c>
    </row>
    <row r="135" spans="1:4" x14ac:dyDescent="0.2">
      <c r="A135" s="9" t="s">
        <v>18</v>
      </c>
      <c r="B135" s="9" t="s">
        <v>298</v>
      </c>
      <c r="C135" s="9" t="s">
        <v>10</v>
      </c>
      <c r="D135" s="51">
        <v>12210</v>
      </c>
    </row>
    <row r="136" spans="1:4" x14ac:dyDescent="0.2">
      <c r="A136" s="9" t="s">
        <v>18</v>
      </c>
      <c r="B136" s="9" t="s">
        <v>106</v>
      </c>
      <c r="C136" s="9" t="s">
        <v>10</v>
      </c>
      <c r="D136" s="51">
        <v>11913</v>
      </c>
    </row>
    <row r="137" spans="1:4" x14ac:dyDescent="0.2">
      <c r="A137" s="9" t="s">
        <v>16</v>
      </c>
      <c r="B137" s="9" t="s">
        <v>282</v>
      </c>
      <c r="C137" s="9" t="s">
        <v>10</v>
      </c>
      <c r="D137" s="51">
        <v>11742</v>
      </c>
    </row>
    <row r="138" spans="1:4" x14ac:dyDescent="0.2">
      <c r="A138" s="9" t="s">
        <v>17</v>
      </c>
      <c r="B138" s="9" t="s">
        <v>110</v>
      </c>
      <c r="C138" s="9" t="s">
        <v>10</v>
      </c>
      <c r="D138" s="51">
        <v>11581</v>
      </c>
    </row>
    <row r="139" spans="1:4" x14ac:dyDescent="0.2">
      <c r="A139" s="9" t="s">
        <v>18</v>
      </c>
      <c r="B139" s="9" t="s">
        <v>120</v>
      </c>
      <c r="C139" s="9" t="s">
        <v>10</v>
      </c>
      <c r="D139" s="51">
        <v>10032</v>
      </c>
    </row>
    <row r="140" spans="1:4" x14ac:dyDescent="0.2">
      <c r="A140" s="9" t="s">
        <v>16</v>
      </c>
      <c r="B140" s="9" t="s">
        <v>109</v>
      </c>
      <c r="C140" s="9" t="s">
        <v>10</v>
      </c>
      <c r="D140" s="51">
        <v>8880</v>
      </c>
    </row>
    <row r="141" spans="1:4" x14ac:dyDescent="0.2">
      <c r="A141" s="9" t="s">
        <v>18</v>
      </c>
      <c r="B141" s="9" t="s">
        <v>120</v>
      </c>
      <c r="C141" s="9" t="s">
        <v>10</v>
      </c>
      <c r="D141" s="51">
        <v>8382</v>
      </c>
    </row>
    <row r="142" spans="1:4" x14ac:dyDescent="0.2">
      <c r="A142" s="9" t="s">
        <v>18</v>
      </c>
      <c r="B142" s="9" t="s">
        <v>283</v>
      </c>
      <c r="C142" s="9" t="s">
        <v>10</v>
      </c>
      <c r="D142" s="51">
        <v>7904</v>
      </c>
    </row>
    <row r="143" spans="1:4" x14ac:dyDescent="0.2">
      <c r="A143" s="9" t="s">
        <v>18</v>
      </c>
      <c r="B143" s="9" t="s">
        <v>128</v>
      </c>
      <c r="C143" s="9" t="s">
        <v>10</v>
      </c>
      <c r="D143" s="51">
        <v>7750</v>
      </c>
    </row>
    <row r="144" spans="1:4" x14ac:dyDescent="0.2">
      <c r="A144" s="9" t="s">
        <v>18</v>
      </c>
      <c r="B144" s="9" t="s">
        <v>300</v>
      </c>
      <c r="C144" s="9" t="s">
        <v>10</v>
      </c>
      <c r="D144" s="51">
        <v>7680</v>
      </c>
    </row>
    <row r="145" spans="1:4" x14ac:dyDescent="0.2">
      <c r="A145" s="9" t="s">
        <v>18</v>
      </c>
      <c r="B145" s="9" t="s">
        <v>105</v>
      </c>
      <c r="C145" s="9" t="s">
        <v>10</v>
      </c>
      <c r="D145" s="51">
        <v>7406</v>
      </c>
    </row>
    <row r="146" spans="1:4" x14ac:dyDescent="0.2">
      <c r="A146" s="9" t="s">
        <v>18</v>
      </c>
      <c r="B146" s="9" t="s">
        <v>283</v>
      </c>
      <c r="C146" s="9" t="s">
        <v>10</v>
      </c>
      <c r="D146" s="51">
        <v>7368</v>
      </c>
    </row>
    <row r="147" spans="1:4" x14ac:dyDescent="0.2">
      <c r="A147" s="9" t="s">
        <v>18</v>
      </c>
      <c r="B147" s="9" t="s">
        <v>128</v>
      </c>
      <c r="C147" s="9" t="s">
        <v>10</v>
      </c>
      <c r="D147" s="51">
        <v>7225</v>
      </c>
    </row>
    <row r="148" spans="1:4" x14ac:dyDescent="0.2">
      <c r="A148" s="9" t="s">
        <v>18</v>
      </c>
      <c r="B148" s="9" t="s">
        <v>120</v>
      </c>
      <c r="C148" s="9" t="s">
        <v>10</v>
      </c>
      <c r="D148" s="51">
        <v>7161</v>
      </c>
    </row>
    <row r="149" spans="1:4" x14ac:dyDescent="0.2">
      <c r="A149" s="9" t="s">
        <v>16</v>
      </c>
      <c r="B149" s="9" t="s">
        <v>284</v>
      </c>
      <c r="C149" s="9" t="s">
        <v>10</v>
      </c>
      <c r="D149" s="51">
        <v>7137</v>
      </c>
    </row>
    <row r="150" spans="1:4" x14ac:dyDescent="0.2">
      <c r="A150" s="9" t="s">
        <v>17</v>
      </c>
      <c r="B150" s="9" t="s">
        <v>374</v>
      </c>
      <c r="C150" s="9" t="s">
        <v>10</v>
      </c>
      <c r="D150" s="51">
        <v>7000</v>
      </c>
    </row>
    <row r="151" spans="1:4" x14ac:dyDescent="0.2">
      <c r="A151" s="9" t="s">
        <v>18</v>
      </c>
      <c r="B151" s="9" t="s">
        <v>106</v>
      </c>
      <c r="C151" s="9" t="s">
        <v>10</v>
      </c>
      <c r="D151" s="51">
        <v>6996</v>
      </c>
    </row>
    <row r="152" spans="1:4" x14ac:dyDescent="0.2">
      <c r="A152" s="9" t="s">
        <v>18</v>
      </c>
      <c r="B152" s="9" t="s">
        <v>249</v>
      </c>
      <c r="C152" s="9" t="s">
        <v>10</v>
      </c>
      <c r="D152" s="51">
        <v>6716</v>
      </c>
    </row>
    <row r="153" spans="1:4" x14ac:dyDescent="0.2">
      <c r="A153" s="9" t="s">
        <v>16</v>
      </c>
      <c r="B153" s="9" t="s">
        <v>80</v>
      </c>
      <c r="C153" s="9" t="s">
        <v>10</v>
      </c>
      <c r="D153" s="51">
        <v>6660</v>
      </c>
    </row>
    <row r="154" spans="1:4" x14ac:dyDescent="0.2">
      <c r="A154" s="9" t="s">
        <v>17</v>
      </c>
      <c r="B154" s="9" t="s">
        <v>95</v>
      </c>
      <c r="C154" s="9" t="s">
        <v>10</v>
      </c>
      <c r="D154" s="51">
        <v>6630</v>
      </c>
    </row>
    <row r="155" spans="1:4" x14ac:dyDescent="0.2">
      <c r="A155" s="9" t="s">
        <v>18</v>
      </c>
      <c r="B155" s="9" t="s">
        <v>283</v>
      </c>
      <c r="C155" s="9" t="s">
        <v>10</v>
      </c>
      <c r="D155" s="51">
        <v>6593</v>
      </c>
    </row>
    <row r="156" spans="1:4" x14ac:dyDescent="0.2">
      <c r="A156" s="9" t="s">
        <v>18</v>
      </c>
      <c r="B156" s="9" t="s">
        <v>141</v>
      </c>
      <c r="C156" s="9" t="s">
        <v>10</v>
      </c>
      <c r="D156" s="51">
        <v>6556</v>
      </c>
    </row>
    <row r="157" spans="1:4" x14ac:dyDescent="0.2">
      <c r="A157" s="9" t="s">
        <v>18</v>
      </c>
      <c r="B157" s="9" t="s">
        <v>96</v>
      </c>
      <c r="C157" s="9" t="s">
        <v>10</v>
      </c>
      <c r="D157" s="51">
        <v>6500</v>
      </c>
    </row>
    <row r="158" spans="1:4" x14ac:dyDescent="0.2">
      <c r="A158" s="9" t="s">
        <v>16</v>
      </c>
      <c r="B158" s="9" t="s">
        <v>109</v>
      </c>
      <c r="C158" s="9" t="s">
        <v>10</v>
      </c>
      <c r="D158" s="51">
        <v>6480</v>
      </c>
    </row>
    <row r="159" spans="1:4" x14ac:dyDescent="0.2">
      <c r="A159" s="9" t="s">
        <v>18</v>
      </c>
      <c r="B159" s="9" t="s">
        <v>128</v>
      </c>
      <c r="C159" s="9" t="s">
        <v>10</v>
      </c>
      <c r="D159" s="51">
        <v>6456</v>
      </c>
    </row>
    <row r="160" spans="1:4" x14ac:dyDescent="0.2">
      <c r="A160" s="9" t="s">
        <v>17</v>
      </c>
      <c r="B160" s="9" t="s">
        <v>292</v>
      </c>
      <c r="C160" s="9" t="s">
        <v>10</v>
      </c>
      <c r="D160" s="51">
        <v>6426</v>
      </c>
    </row>
    <row r="161" spans="1:4" x14ac:dyDescent="0.2">
      <c r="A161" s="9" t="s">
        <v>18</v>
      </c>
      <c r="B161" s="9" t="s">
        <v>128</v>
      </c>
      <c r="C161" s="9" t="s">
        <v>10</v>
      </c>
      <c r="D161" s="51">
        <v>6360</v>
      </c>
    </row>
    <row r="162" spans="1:4" x14ac:dyDescent="0.2">
      <c r="A162" s="9" t="s">
        <v>18</v>
      </c>
      <c r="B162" s="9" t="s">
        <v>286</v>
      </c>
      <c r="C162" s="9" t="s">
        <v>10</v>
      </c>
      <c r="D162" s="51">
        <v>6018</v>
      </c>
    </row>
    <row r="163" spans="1:4" x14ac:dyDescent="0.2">
      <c r="A163" s="9" t="s">
        <v>17</v>
      </c>
      <c r="B163" s="9" t="s">
        <v>292</v>
      </c>
      <c r="C163" s="9" t="s">
        <v>10</v>
      </c>
      <c r="D163" s="51">
        <v>6001</v>
      </c>
    </row>
    <row r="164" spans="1:4" x14ac:dyDescent="0.2">
      <c r="A164" s="9" t="s">
        <v>18</v>
      </c>
      <c r="B164" s="9" t="s">
        <v>304</v>
      </c>
      <c r="C164" s="9" t="s">
        <v>10</v>
      </c>
      <c r="D164" s="51">
        <v>5600</v>
      </c>
    </row>
    <row r="165" spans="1:4" x14ac:dyDescent="0.2">
      <c r="A165" s="9" t="s">
        <v>18</v>
      </c>
      <c r="B165" s="9" t="s">
        <v>150</v>
      </c>
      <c r="C165" s="9" t="s">
        <v>10</v>
      </c>
      <c r="D165" s="51">
        <v>5400</v>
      </c>
    </row>
    <row r="166" spans="1:4" x14ac:dyDescent="0.2">
      <c r="A166" s="9" t="s">
        <v>18</v>
      </c>
      <c r="B166" s="9" t="s">
        <v>145</v>
      </c>
      <c r="C166" s="9" t="s">
        <v>10</v>
      </c>
      <c r="D166" s="51">
        <v>5396</v>
      </c>
    </row>
    <row r="167" spans="1:4" x14ac:dyDescent="0.2">
      <c r="A167" s="9" t="s">
        <v>17</v>
      </c>
      <c r="B167" s="9" t="s">
        <v>91</v>
      </c>
      <c r="C167" s="9" t="s">
        <v>10</v>
      </c>
      <c r="D167" s="51">
        <v>5389</v>
      </c>
    </row>
    <row r="168" spans="1:4" x14ac:dyDescent="0.2">
      <c r="A168" s="9" t="s">
        <v>16</v>
      </c>
      <c r="B168" s="9" t="s">
        <v>84</v>
      </c>
      <c r="C168" s="9" t="s">
        <v>10</v>
      </c>
      <c r="D168" s="51">
        <v>5232</v>
      </c>
    </row>
    <row r="169" spans="1:4" x14ac:dyDescent="0.2">
      <c r="A169" s="9" t="s">
        <v>17</v>
      </c>
      <c r="B169" s="9" t="s">
        <v>296</v>
      </c>
      <c r="C169" s="9" t="s">
        <v>10</v>
      </c>
      <c r="D169" s="51">
        <v>5219</v>
      </c>
    </row>
    <row r="170" spans="1:4" x14ac:dyDescent="0.2">
      <c r="A170" s="9" t="s">
        <v>17</v>
      </c>
      <c r="B170" s="9" t="s">
        <v>306</v>
      </c>
      <c r="C170" s="9" t="s">
        <v>10</v>
      </c>
      <c r="D170" s="51">
        <v>5136</v>
      </c>
    </row>
    <row r="171" spans="1:4" x14ac:dyDescent="0.2">
      <c r="A171" s="9" t="s">
        <v>17</v>
      </c>
      <c r="B171" s="9" t="s">
        <v>92</v>
      </c>
      <c r="C171" s="9" t="s">
        <v>10</v>
      </c>
      <c r="D171" s="51">
        <v>4975</v>
      </c>
    </row>
    <row r="172" spans="1:4" x14ac:dyDescent="0.2">
      <c r="A172" s="9" t="s">
        <v>17</v>
      </c>
      <c r="B172" s="9" t="s">
        <v>292</v>
      </c>
      <c r="C172" s="9" t="s">
        <v>10</v>
      </c>
      <c r="D172" s="51">
        <v>4896</v>
      </c>
    </row>
    <row r="173" spans="1:4" x14ac:dyDescent="0.2">
      <c r="A173" s="9" t="s">
        <v>17</v>
      </c>
      <c r="B173" s="9" t="s">
        <v>374</v>
      </c>
      <c r="C173" s="9" t="s">
        <v>10</v>
      </c>
      <c r="D173" s="51">
        <v>4847</v>
      </c>
    </row>
    <row r="174" spans="1:4" x14ac:dyDescent="0.2">
      <c r="A174" s="9" t="s">
        <v>18</v>
      </c>
      <c r="B174" s="9" t="s">
        <v>297</v>
      </c>
      <c r="C174" s="9" t="s">
        <v>10</v>
      </c>
      <c r="D174" s="51">
        <v>4784</v>
      </c>
    </row>
    <row r="175" spans="1:4" x14ac:dyDescent="0.2">
      <c r="A175" s="9" t="s">
        <v>17</v>
      </c>
      <c r="B175" s="9" t="s">
        <v>374</v>
      </c>
      <c r="C175" s="9" t="s">
        <v>10</v>
      </c>
      <c r="D175" s="51">
        <v>4752</v>
      </c>
    </row>
    <row r="176" spans="1:4" x14ac:dyDescent="0.2">
      <c r="A176" s="9" t="s">
        <v>18</v>
      </c>
      <c r="B176" s="9" t="s">
        <v>249</v>
      </c>
      <c r="C176" s="9" t="s">
        <v>10</v>
      </c>
      <c r="D176" s="51">
        <v>4620</v>
      </c>
    </row>
    <row r="177" spans="1:4" x14ac:dyDescent="0.2">
      <c r="A177" s="9" t="s">
        <v>17</v>
      </c>
      <c r="B177" s="9" t="s">
        <v>156</v>
      </c>
      <c r="C177" s="9" t="s">
        <v>10</v>
      </c>
      <c r="D177" s="51">
        <v>4608</v>
      </c>
    </row>
    <row r="178" spans="1:4" x14ac:dyDescent="0.2">
      <c r="A178" s="9" t="s">
        <v>18</v>
      </c>
      <c r="B178" s="9" t="s">
        <v>286</v>
      </c>
      <c r="C178" s="9" t="s">
        <v>10</v>
      </c>
      <c r="D178" s="51">
        <v>4608</v>
      </c>
    </row>
    <row r="179" spans="1:4" x14ac:dyDescent="0.2">
      <c r="A179" s="9" t="s">
        <v>18</v>
      </c>
      <c r="B179" s="9" t="s">
        <v>122</v>
      </c>
      <c r="C179" s="9" t="s">
        <v>10</v>
      </c>
      <c r="D179" s="51">
        <v>4540</v>
      </c>
    </row>
    <row r="180" spans="1:4" x14ac:dyDescent="0.2">
      <c r="A180" s="9" t="s">
        <v>18</v>
      </c>
      <c r="B180" s="9" t="s">
        <v>304</v>
      </c>
      <c r="C180" s="9" t="s">
        <v>10</v>
      </c>
      <c r="D180" s="51">
        <v>4478</v>
      </c>
    </row>
    <row r="181" spans="1:4" x14ac:dyDescent="0.2">
      <c r="A181" s="9" t="s">
        <v>18</v>
      </c>
      <c r="B181" s="9" t="s">
        <v>286</v>
      </c>
      <c r="C181" s="9" t="s">
        <v>10</v>
      </c>
      <c r="D181" s="51">
        <v>4446</v>
      </c>
    </row>
    <row r="182" spans="1:4" x14ac:dyDescent="0.2">
      <c r="A182" s="9" t="s">
        <v>18</v>
      </c>
      <c r="B182" s="9" t="s">
        <v>86</v>
      </c>
      <c r="C182" s="9" t="s">
        <v>10</v>
      </c>
      <c r="D182" s="51">
        <v>4380</v>
      </c>
    </row>
    <row r="183" spans="1:4" x14ac:dyDescent="0.2">
      <c r="A183" s="9" t="s">
        <v>16</v>
      </c>
      <c r="B183" s="9" t="s">
        <v>285</v>
      </c>
      <c r="C183" s="9" t="s">
        <v>10</v>
      </c>
      <c r="D183" s="51">
        <v>4340</v>
      </c>
    </row>
    <row r="184" spans="1:4" x14ac:dyDescent="0.2">
      <c r="A184" s="9" t="s">
        <v>18</v>
      </c>
      <c r="B184" s="9" t="s">
        <v>304</v>
      </c>
      <c r="C184" s="9" t="s">
        <v>10</v>
      </c>
      <c r="D184" s="51">
        <v>4290</v>
      </c>
    </row>
    <row r="185" spans="1:4" x14ac:dyDescent="0.2">
      <c r="A185" s="9" t="s">
        <v>18</v>
      </c>
      <c r="B185" s="9" t="s">
        <v>142</v>
      </c>
      <c r="C185" s="9" t="s">
        <v>10</v>
      </c>
      <c r="D185" s="51">
        <v>4120</v>
      </c>
    </row>
    <row r="186" spans="1:4" x14ac:dyDescent="0.2">
      <c r="A186" s="9" t="s">
        <v>18</v>
      </c>
      <c r="B186" s="9" t="s">
        <v>289</v>
      </c>
      <c r="C186" s="9" t="s">
        <v>10</v>
      </c>
      <c r="D186" s="51">
        <v>4114</v>
      </c>
    </row>
    <row r="187" spans="1:4" x14ac:dyDescent="0.2">
      <c r="A187" s="9" t="s">
        <v>18</v>
      </c>
      <c r="B187" s="9" t="s">
        <v>286</v>
      </c>
      <c r="C187" s="9" t="s">
        <v>10</v>
      </c>
      <c r="D187" s="51">
        <v>4050</v>
      </c>
    </row>
    <row r="188" spans="1:4" x14ac:dyDescent="0.2">
      <c r="A188" s="9" t="s">
        <v>16</v>
      </c>
      <c r="B188" s="9" t="s">
        <v>93</v>
      </c>
      <c r="C188" s="9" t="s">
        <v>10</v>
      </c>
      <c r="D188" s="51">
        <v>3910</v>
      </c>
    </row>
    <row r="189" spans="1:4" x14ac:dyDescent="0.2">
      <c r="A189" s="9" t="s">
        <v>18</v>
      </c>
      <c r="B189" s="9" t="s">
        <v>135</v>
      </c>
      <c r="C189" s="9" t="s">
        <v>10</v>
      </c>
      <c r="D189" s="51">
        <v>3861</v>
      </c>
    </row>
    <row r="190" spans="1:4" x14ac:dyDescent="0.2">
      <c r="A190" s="9" t="s">
        <v>18</v>
      </c>
      <c r="B190" s="9" t="s">
        <v>150</v>
      </c>
      <c r="C190" s="9" t="s">
        <v>10</v>
      </c>
      <c r="D190" s="51">
        <v>3840</v>
      </c>
    </row>
    <row r="191" spans="1:4" x14ac:dyDescent="0.2">
      <c r="A191" s="9" t="s">
        <v>18</v>
      </c>
      <c r="B191" s="9" t="s">
        <v>101</v>
      </c>
      <c r="C191" s="9" t="s">
        <v>10</v>
      </c>
      <c r="D191" s="51">
        <v>3825</v>
      </c>
    </row>
    <row r="192" spans="1:4" x14ac:dyDescent="0.2">
      <c r="A192" s="9" t="s">
        <v>16</v>
      </c>
      <c r="B192" s="9" t="s">
        <v>285</v>
      </c>
      <c r="C192" s="9" t="s">
        <v>10</v>
      </c>
      <c r="D192" s="51">
        <v>3810</v>
      </c>
    </row>
    <row r="193" spans="1:4" x14ac:dyDescent="0.2">
      <c r="A193" s="9" t="s">
        <v>16</v>
      </c>
      <c r="B193" s="9" t="s">
        <v>285</v>
      </c>
      <c r="C193" s="9" t="s">
        <v>10</v>
      </c>
      <c r="D193" s="51">
        <v>3718</v>
      </c>
    </row>
    <row r="194" spans="1:4" x14ac:dyDescent="0.2">
      <c r="A194" s="9" t="s">
        <v>16</v>
      </c>
      <c r="B194" s="9" t="s">
        <v>109</v>
      </c>
      <c r="C194" s="9" t="s">
        <v>10</v>
      </c>
      <c r="D194" s="51">
        <v>3660</v>
      </c>
    </row>
    <row r="195" spans="1:4" x14ac:dyDescent="0.2">
      <c r="A195" s="9" t="s">
        <v>18</v>
      </c>
      <c r="B195" s="9" t="s">
        <v>117</v>
      </c>
      <c r="C195" s="9" t="s">
        <v>10</v>
      </c>
      <c r="D195" s="51">
        <v>3654</v>
      </c>
    </row>
    <row r="196" spans="1:4" x14ac:dyDescent="0.2">
      <c r="A196" s="9" t="s">
        <v>16</v>
      </c>
      <c r="B196" s="9" t="s">
        <v>285</v>
      </c>
      <c r="C196" s="9" t="s">
        <v>10</v>
      </c>
      <c r="D196" s="51">
        <v>3645</v>
      </c>
    </row>
    <row r="197" spans="1:4" x14ac:dyDescent="0.2">
      <c r="A197" s="9" t="s">
        <v>16</v>
      </c>
      <c r="B197" s="9" t="s">
        <v>285</v>
      </c>
      <c r="C197" s="9" t="s">
        <v>10</v>
      </c>
      <c r="D197" s="51">
        <v>3562</v>
      </c>
    </row>
    <row r="198" spans="1:4" x14ac:dyDescent="0.2">
      <c r="A198" s="9" t="s">
        <v>17</v>
      </c>
      <c r="B198" s="9" t="s">
        <v>156</v>
      </c>
      <c r="C198" s="9" t="s">
        <v>10</v>
      </c>
      <c r="D198" s="51">
        <v>3480</v>
      </c>
    </row>
    <row r="199" spans="1:4" x14ac:dyDescent="0.2">
      <c r="A199" s="9" t="s">
        <v>18</v>
      </c>
      <c r="B199" s="9" t="s">
        <v>113</v>
      </c>
      <c r="C199" s="9" t="s">
        <v>10</v>
      </c>
      <c r="D199" s="51">
        <v>3470</v>
      </c>
    </row>
    <row r="200" spans="1:4" x14ac:dyDescent="0.2">
      <c r="A200" s="9" t="s">
        <v>17</v>
      </c>
      <c r="B200" s="9" t="s">
        <v>140</v>
      </c>
      <c r="C200" s="9" t="s">
        <v>10</v>
      </c>
      <c r="D200" s="51">
        <v>3318</v>
      </c>
    </row>
    <row r="201" spans="1:4" x14ac:dyDescent="0.2">
      <c r="A201" s="9" t="s">
        <v>16</v>
      </c>
      <c r="B201" s="9" t="s">
        <v>281</v>
      </c>
      <c r="C201" s="9" t="s">
        <v>10</v>
      </c>
      <c r="D201" s="51">
        <v>3237</v>
      </c>
    </row>
    <row r="202" spans="1:4" x14ac:dyDescent="0.2">
      <c r="A202" s="9" t="s">
        <v>16</v>
      </c>
      <c r="B202" s="9" t="s">
        <v>285</v>
      </c>
      <c r="C202" s="9" t="s">
        <v>10</v>
      </c>
      <c r="D202" s="51">
        <v>3224</v>
      </c>
    </row>
    <row r="203" spans="1:4" x14ac:dyDescent="0.2">
      <c r="A203" s="9" t="s">
        <v>16</v>
      </c>
      <c r="B203" s="9" t="s">
        <v>285</v>
      </c>
      <c r="C203" s="9" t="s">
        <v>10</v>
      </c>
      <c r="D203" s="51">
        <v>3211</v>
      </c>
    </row>
    <row r="204" spans="1:4" x14ac:dyDescent="0.2">
      <c r="A204" s="9" t="s">
        <v>16</v>
      </c>
      <c r="B204" s="9" t="s">
        <v>102</v>
      </c>
      <c r="C204" s="9" t="s">
        <v>10</v>
      </c>
      <c r="D204" s="51">
        <v>3190</v>
      </c>
    </row>
    <row r="205" spans="1:4" x14ac:dyDescent="0.2">
      <c r="A205" s="9" t="s">
        <v>18</v>
      </c>
      <c r="B205" s="9" t="s">
        <v>120</v>
      </c>
      <c r="C205" s="9" t="s">
        <v>10</v>
      </c>
      <c r="D205" s="51">
        <v>3160</v>
      </c>
    </row>
    <row r="206" spans="1:4" x14ac:dyDescent="0.2">
      <c r="A206" s="9" t="s">
        <v>18</v>
      </c>
      <c r="B206" s="9" t="s">
        <v>89</v>
      </c>
      <c r="C206" s="9" t="s">
        <v>10</v>
      </c>
      <c r="D206" s="51">
        <v>3100</v>
      </c>
    </row>
    <row r="207" spans="1:4" x14ac:dyDescent="0.2">
      <c r="A207" s="9" t="s">
        <v>18</v>
      </c>
      <c r="B207" s="9" t="s">
        <v>86</v>
      </c>
      <c r="C207" s="9" t="s">
        <v>10</v>
      </c>
      <c r="D207" s="51">
        <v>3080</v>
      </c>
    </row>
    <row r="208" spans="1:4" x14ac:dyDescent="0.2">
      <c r="A208" s="9" t="s">
        <v>16</v>
      </c>
      <c r="B208" s="9" t="s">
        <v>285</v>
      </c>
      <c r="C208" s="9" t="s">
        <v>10</v>
      </c>
      <c r="D208" s="51">
        <v>3015</v>
      </c>
    </row>
    <row r="209" spans="1:4" x14ac:dyDescent="0.2">
      <c r="A209" s="9" t="s">
        <v>16</v>
      </c>
      <c r="B209" s="9" t="s">
        <v>291</v>
      </c>
      <c r="C209" s="9" t="s">
        <v>10</v>
      </c>
      <c r="D209" s="51">
        <v>2990</v>
      </c>
    </row>
    <row r="210" spans="1:4" x14ac:dyDescent="0.2">
      <c r="A210" s="9" t="s">
        <v>16</v>
      </c>
      <c r="B210" s="9" t="s">
        <v>136</v>
      </c>
      <c r="C210" s="9" t="s">
        <v>10</v>
      </c>
      <c r="D210" s="51">
        <v>2904</v>
      </c>
    </row>
    <row r="211" spans="1:4" x14ac:dyDescent="0.2">
      <c r="A211" s="9" t="s">
        <v>17</v>
      </c>
      <c r="B211" s="9" t="s">
        <v>126</v>
      </c>
      <c r="C211" s="9" t="s">
        <v>10</v>
      </c>
      <c r="D211" s="51">
        <v>2882</v>
      </c>
    </row>
    <row r="212" spans="1:4" x14ac:dyDescent="0.2">
      <c r="A212" s="9" t="s">
        <v>16</v>
      </c>
      <c r="B212" s="9" t="s">
        <v>285</v>
      </c>
      <c r="C212" s="9" t="s">
        <v>10</v>
      </c>
      <c r="D212" s="51">
        <v>2865</v>
      </c>
    </row>
    <row r="213" spans="1:4" x14ac:dyDescent="0.2">
      <c r="A213" s="9" t="s">
        <v>18</v>
      </c>
      <c r="B213" s="9" t="s">
        <v>115</v>
      </c>
      <c r="C213" s="9" t="s">
        <v>10</v>
      </c>
      <c r="D213" s="51">
        <v>2816</v>
      </c>
    </row>
    <row r="214" spans="1:4" x14ac:dyDescent="0.2">
      <c r="A214" s="9" t="s">
        <v>20</v>
      </c>
      <c r="B214" s="9" t="s">
        <v>425</v>
      </c>
      <c r="C214" s="9" t="s">
        <v>10</v>
      </c>
      <c r="D214" s="51">
        <v>2810</v>
      </c>
    </row>
    <row r="215" spans="1:4" x14ac:dyDescent="0.2">
      <c r="A215" s="9" t="s">
        <v>16</v>
      </c>
      <c r="B215" s="9" t="s">
        <v>129</v>
      </c>
      <c r="C215" s="9" t="s">
        <v>10</v>
      </c>
      <c r="D215" s="51">
        <v>2790</v>
      </c>
    </row>
    <row r="216" spans="1:4" x14ac:dyDescent="0.2">
      <c r="A216" s="9" t="s">
        <v>18</v>
      </c>
      <c r="B216" s="9" t="s">
        <v>283</v>
      </c>
      <c r="C216" s="9" t="s">
        <v>10</v>
      </c>
      <c r="D216" s="51">
        <v>2754</v>
      </c>
    </row>
    <row r="217" spans="1:4" x14ac:dyDescent="0.2">
      <c r="A217" s="9" t="s">
        <v>18</v>
      </c>
      <c r="B217" s="9" t="s">
        <v>103</v>
      </c>
      <c r="C217" s="9" t="s">
        <v>10</v>
      </c>
      <c r="D217" s="51">
        <v>2695</v>
      </c>
    </row>
    <row r="218" spans="1:4" x14ac:dyDescent="0.2">
      <c r="A218" s="9" t="s">
        <v>18</v>
      </c>
      <c r="B218" s="9" t="s">
        <v>100</v>
      </c>
      <c r="C218" s="9" t="s">
        <v>10</v>
      </c>
      <c r="D218" s="51">
        <v>2684</v>
      </c>
    </row>
    <row r="219" spans="1:4" x14ac:dyDescent="0.2">
      <c r="A219" s="9" t="s">
        <v>16</v>
      </c>
      <c r="B219" s="9" t="s">
        <v>430</v>
      </c>
      <c r="C219" s="9" t="s">
        <v>10</v>
      </c>
      <c r="D219" s="51">
        <v>2628</v>
      </c>
    </row>
    <row r="220" spans="1:4" x14ac:dyDescent="0.2">
      <c r="A220" s="9" t="s">
        <v>18</v>
      </c>
      <c r="B220" s="9" t="s">
        <v>153</v>
      </c>
      <c r="C220" s="9" t="s">
        <v>10</v>
      </c>
      <c r="D220" s="51">
        <v>2565</v>
      </c>
    </row>
    <row r="221" spans="1:4" x14ac:dyDescent="0.2">
      <c r="A221" s="9" t="s">
        <v>18</v>
      </c>
      <c r="B221" s="9" t="s">
        <v>103</v>
      </c>
      <c r="C221" s="9" t="s">
        <v>10</v>
      </c>
      <c r="D221" s="51">
        <v>2563</v>
      </c>
    </row>
    <row r="222" spans="1:4" x14ac:dyDescent="0.2">
      <c r="A222" s="9" t="s">
        <v>17</v>
      </c>
      <c r="B222" s="9" t="s">
        <v>116</v>
      </c>
      <c r="C222" s="9" t="s">
        <v>10</v>
      </c>
      <c r="D222" s="51">
        <v>2550</v>
      </c>
    </row>
    <row r="223" spans="1:4" x14ac:dyDescent="0.2">
      <c r="A223" s="9" t="s">
        <v>18</v>
      </c>
      <c r="B223" s="9" t="s">
        <v>301</v>
      </c>
      <c r="C223" s="9" t="s">
        <v>10</v>
      </c>
      <c r="D223" s="51">
        <v>2520</v>
      </c>
    </row>
    <row r="224" spans="1:4" x14ac:dyDescent="0.2">
      <c r="A224" s="9" t="s">
        <v>16</v>
      </c>
      <c r="B224" s="9" t="s">
        <v>431</v>
      </c>
      <c r="C224" s="9" t="s">
        <v>10</v>
      </c>
      <c r="D224" s="51">
        <v>2482</v>
      </c>
    </row>
    <row r="225" spans="1:4" x14ac:dyDescent="0.2">
      <c r="A225" s="9" t="s">
        <v>16</v>
      </c>
      <c r="B225" s="9" t="s">
        <v>285</v>
      </c>
      <c r="C225" s="9" t="s">
        <v>10</v>
      </c>
      <c r="D225" s="51">
        <v>2457</v>
      </c>
    </row>
    <row r="226" spans="1:4" x14ac:dyDescent="0.2">
      <c r="A226" s="9" t="s">
        <v>18</v>
      </c>
      <c r="B226" s="9" t="s">
        <v>147</v>
      </c>
      <c r="C226" s="9" t="s">
        <v>10</v>
      </c>
      <c r="D226" s="51">
        <v>2457</v>
      </c>
    </row>
    <row r="227" spans="1:4" x14ac:dyDescent="0.2">
      <c r="A227" s="9" t="s">
        <v>16</v>
      </c>
      <c r="B227" s="9" t="s">
        <v>285</v>
      </c>
      <c r="C227" s="9" t="s">
        <v>10</v>
      </c>
      <c r="D227" s="51">
        <v>2370</v>
      </c>
    </row>
    <row r="228" spans="1:4" x14ac:dyDescent="0.2">
      <c r="A228" s="9" t="s">
        <v>16</v>
      </c>
      <c r="B228" s="9" t="s">
        <v>284</v>
      </c>
      <c r="C228" s="9" t="s">
        <v>10</v>
      </c>
      <c r="D228" s="51">
        <v>2300</v>
      </c>
    </row>
    <row r="229" spans="1:4" x14ac:dyDescent="0.2">
      <c r="A229" s="9" t="s">
        <v>16</v>
      </c>
      <c r="B229" s="9" t="s">
        <v>285</v>
      </c>
      <c r="C229" s="9" t="s">
        <v>10</v>
      </c>
      <c r="D229" s="51">
        <v>2220</v>
      </c>
    </row>
    <row r="230" spans="1:4" x14ac:dyDescent="0.2">
      <c r="A230" s="9" t="s">
        <v>16</v>
      </c>
      <c r="B230" s="9" t="s">
        <v>285</v>
      </c>
      <c r="C230" s="9" t="s">
        <v>10</v>
      </c>
      <c r="D230" s="10">
        <v>2210</v>
      </c>
    </row>
    <row r="231" spans="1:4" x14ac:dyDescent="0.2">
      <c r="A231" s="9" t="s">
        <v>18</v>
      </c>
      <c r="B231" s="9" t="s">
        <v>304</v>
      </c>
      <c r="C231" s="9" t="s">
        <v>10</v>
      </c>
      <c r="D231" s="51">
        <v>2209</v>
      </c>
    </row>
    <row r="232" spans="1:4" x14ac:dyDescent="0.2">
      <c r="A232" s="9" t="s">
        <v>18</v>
      </c>
      <c r="B232" s="9" t="s">
        <v>113</v>
      </c>
      <c r="C232" s="9" t="s">
        <v>10</v>
      </c>
      <c r="D232" s="51">
        <v>2190</v>
      </c>
    </row>
    <row r="233" spans="1:4" x14ac:dyDescent="0.2">
      <c r="A233" s="9" t="s">
        <v>17</v>
      </c>
      <c r="B233" s="9" t="s">
        <v>124</v>
      </c>
      <c r="C233" s="9" t="s">
        <v>10</v>
      </c>
      <c r="D233" s="51">
        <v>2184</v>
      </c>
    </row>
    <row r="234" spans="1:4" x14ac:dyDescent="0.2">
      <c r="A234" s="9" t="s">
        <v>18</v>
      </c>
      <c r="B234" s="9" t="s">
        <v>82</v>
      </c>
      <c r="C234" s="9" t="s">
        <v>10</v>
      </c>
      <c r="D234" s="51">
        <v>2030</v>
      </c>
    </row>
    <row r="235" spans="1:4" x14ac:dyDescent="0.2">
      <c r="A235" s="9" t="s">
        <v>16</v>
      </c>
      <c r="B235" s="9" t="s">
        <v>458</v>
      </c>
      <c r="C235" s="9" t="s">
        <v>10</v>
      </c>
      <c r="D235" s="51">
        <v>2000</v>
      </c>
    </row>
    <row r="236" spans="1:4" x14ac:dyDescent="0.2">
      <c r="A236" s="9" t="s">
        <v>16</v>
      </c>
      <c r="B236" s="9" t="s">
        <v>144</v>
      </c>
      <c r="C236" s="9" t="s">
        <v>10</v>
      </c>
      <c r="D236" s="51">
        <v>1989</v>
      </c>
    </row>
    <row r="237" spans="1:4" x14ac:dyDescent="0.2">
      <c r="A237" s="9" t="s">
        <v>17</v>
      </c>
      <c r="B237" s="9" t="s">
        <v>424</v>
      </c>
      <c r="C237" s="9" t="s">
        <v>10</v>
      </c>
      <c r="D237" s="51">
        <v>1972</v>
      </c>
    </row>
    <row r="238" spans="1:4" x14ac:dyDescent="0.2">
      <c r="A238" s="9" t="s">
        <v>16</v>
      </c>
      <c r="B238" s="9" t="s">
        <v>285</v>
      </c>
      <c r="C238" s="9" t="s">
        <v>10</v>
      </c>
      <c r="D238" s="51">
        <v>1965</v>
      </c>
    </row>
    <row r="239" spans="1:4" x14ac:dyDescent="0.2">
      <c r="A239" s="9" t="s">
        <v>17</v>
      </c>
      <c r="B239" s="9" t="s">
        <v>116</v>
      </c>
      <c r="C239" s="9" t="s">
        <v>10</v>
      </c>
      <c r="D239" s="51">
        <v>1938</v>
      </c>
    </row>
    <row r="240" spans="1:4" x14ac:dyDescent="0.2">
      <c r="A240" s="9" t="s">
        <v>18</v>
      </c>
      <c r="B240" s="9" t="s">
        <v>134</v>
      </c>
      <c r="C240" s="9" t="s">
        <v>10</v>
      </c>
      <c r="D240" s="51">
        <v>1872</v>
      </c>
    </row>
    <row r="241" spans="1:4" x14ac:dyDescent="0.2">
      <c r="A241" s="9" t="s">
        <v>16</v>
      </c>
      <c r="B241" s="9" t="s">
        <v>294</v>
      </c>
      <c r="C241" s="9" t="s">
        <v>10</v>
      </c>
      <c r="D241" s="51">
        <v>1872</v>
      </c>
    </row>
    <row r="242" spans="1:4" x14ac:dyDescent="0.2">
      <c r="A242" s="9" t="s">
        <v>17</v>
      </c>
      <c r="B242" s="9" t="s">
        <v>104</v>
      </c>
      <c r="C242" s="9" t="s">
        <v>10</v>
      </c>
      <c r="D242" s="51">
        <v>1824</v>
      </c>
    </row>
    <row r="243" spans="1:4" x14ac:dyDescent="0.2">
      <c r="A243" s="9" t="s">
        <v>18</v>
      </c>
      <c r="B243" s="9" t="s">
        <v>121</v>
      </c>
      <c r="C243" s="9" t="s">
        <v>10</v>
      </c>
      <c r="D243" s="51">
        <v>1816</v>
      </c>
    </row>
    <row r="244" spans="1:4" x14ac:dyDescent="0.2">
      <c r="A244" s="9" t="s">
        <v>18</v>
      </c>
      <c r="B244" s="9" t="s">
        <v>283</v>
      </c>
      <c r="C244" s="9" t="s">
        <v>10</v>
      </c>
      <c r="D244" s="51">
        <v>1805</v>
      </c>
    </row>
    <row r="245" spans="1:4" x14ac:dyDescent="0.2">
      <c r="A245" s="9" t="s">
        <v>16</v>
      </c>
      <c r="B245" s="9" t="s">
        <v>291</v>
      </c>
      <c r="C245" s="9" t="s">
        <v>10</v>
      </c>
      <c r="D245" s="51">
        <v>1804</v>
      </c>
    </row>
    <row r="246" spans="1:4" x14ac:dyDescent="0.2">
      <c r="A246" s="9" t="s">
        <v>18</v>
      </c>
      <c r="B246" s="9" t="s">
        <v>288</v>
      </c>
      <c r="C246" s="9" t="s">
        <v>10</v>
      </c>
      <c r="D246" s="51">
        <v>1798</v>
      </c>
    </row>
    <row r="247" spans="1:4" x14ac:dyDescent="0.2">
      <c r="A247" s="9" t="s">
        <v>18</v>
      </c>
      <c r="B247" s="9" t="s">
        <v>108</v>
      </c>
      <c r="C247" s="9" t="s">
        <v>10</v>
      </c>
      <c r="D247" s="51">
        <v>1751</v>
      </c>
    </row>
    <row r="248" spans="1:4" x14ac:dyDescent="0.2">
      <c r="A248" s="9" t="s">
        <v>18</v>
      </c>
      <c r="B248" s="9" t="s">
        <v>457</v>
      </c>
      <c r="C248" s="9" t="s">
        <v>10</v>
      </c>
      <c r="D248" s="51">
        <v>1736</v>
      </c>
    </row>
    <row r="249" spans="1:4" x14ac:dyDescent="0.2">
      <c r="A249" s="9" t="s">
        <v>18</v>
      </c>
      <c r="B249" s="9" t="s">
        <v>295</v>
      </c>
      <c r="C249" s="9" t="s">
        <v>10</v>
      </c>
      <c r="D249" s="51">
        <v>1720</v>
      </c>
    </row>
    <row r="250" spans="1:4" x14ac:dyDescent="0.2">
      <c r="A250" s="9" t="s">
        <v>16</v>
      </c>
      <c r="B250" s="9" t="s">
        <v>138</v>
      </c>
      <c r="C250" s="9" t="s">
        <v>10</v>
      </c>
      <c r="D250" s="51">
        <v>1683</v>
      </c>
    </row>
    <row r="251" spans="1:4" x14ac:dyDescent="0.2">
      <c r="A251" s="9" t="s">
        <v>18</v>
      </c>
      <c r="B251" s="9" t="s">
        <v>153</v>
      </c>
      <c r="C251" s="9" t="s">
        <v>10</v>
      </c>
      <c r="D251" s="51">
        <v>1647</v>
      </c>
    </row>
    <row r="252" spans="1:4" x14ac:dyDescent="0.2">
      <c r="A252" s="9" t="s">
        <v>17</v>
      </c>
      <c r="B252" s="9" t="s">
        <v>123</v>
      </c>
      <c r="C252" s="9" t="s">
        <v>10</v>
      </c>
      <c r="D252" s="51">
        <v>1600</v>
      </c>
    </row>
    <row r="253" spans="1:4" x14ac:dyDescent="0.2">
      <c r="A253" s="9" t="s">
        <v>18</v>
      </c>
      <c r="B253" s="9" t="s">
        <v>94</v>
      </c>
      <c r="C253" s="9" t="s">
        <v>10</v>
      </c>
      <c r="D253" s="51">
        <v>1575</v>
      </c>
    </row>
    <row r="254" spans="1:4" x14ac:dyDescent="0.2">
      <c r="A254" s="9" t="s">
        <v>17</v>
      </c>
      <c r="B254" s="9" t="s">
        <v>125</v>
      </c>
      <c r="C254" s="9" t="s">
        <v>10</v>
      </c>
      <c r="D254" s="51">
        <v>1548</v>
      </c>
    </row>
    <row r="255" spans="1:4" x14ac:dyDescent="0.2">
      <c r="A255" s="9" t="s">
        <v>16</v>
      </c>
      <c r="B255" s="9" t="s">
        <v>293</v>
      </c>
      <c r="C255" s="9" t="s">
        <v>10</v>
      </c>
      <c r="D255" s="51">
        <v>1548</v>
      </c>
    </row>
    <row r="256" spans="1:4" x14ac:dyDescent="0.2">
      <c r="A256" s="9" t="s">
        <v>16</v>
      </c>
      <c r="B256" s="9" t="s">
        <v>114</v>
      </c>
      <c r="C256" s="9" t="s">
        <v>10</v>
      </c>
      <c r="D256" s="51">
        <v>1500</v>
      </c>
    </row>
    <row r="257" spans="1:4" x14ac:dyDescent="0.2">
      <c r="A257" s="9" t="s">
        <v>16</v>
      </c>
      <c r="B257" s="9" t="s">
        <v>285</v>
      </c>
      <c r="C257" s="9" t="s">
        <v>10</v>
      </c>
      <c r="D257" s="51">
        <v>1469</v>
      </c>
    </row>
    <row r="258" spans="1:4" x14ac:dyDescent="0.2">
      <c r="A258" s="9" t="s">
        <v>17</v>
      </c>
      <c r="B258" s="9" t="s">
        <v>104</v>
      </c>
      <c r="C258" s="9" t="s">
        <v>10</v>
      </c>
      <c r="D258" s="51">
        <v>1456</v>
      </c>
    </row>
    <row r="259" spans="1:4" x14ac:dyDescent="0.2">
      <c r="A259" s="9" t="s">
        <v>18</v>
      </c>
      <c r="B259" s="9" t="s">
        <v>286</v>
      </c>
      <c r="C259" s="9" t="s">
        <v>10</v>
      </c>
      <c r="D259" s="51">
        <v>1456</v>
      </c>
    </row>
    <row r="260" spans="1:4" x14ac:dyDescent="0.2">
      <c r="A260" s="9" t="s">
        <v>17</v>
      </c>
      <c r="B260" s="9" t="s">
        <v>104</v>
      </c>
      <c r="C260" s="9" t="s">
        <v>10</v>
      </c>
      <c r="D260" s="51">
        <v>1456</v>
      </c>
    </row>
    <row r="261" spans="1:4" x14ac:dyDescent="0.2">
      <c r="A261" s="9" t="s">
        <v>17</v>
      </c>
      <c r="B261" s="9" t="s">
        <v>104</v>
      </c>
      <c r="C261" s="9" t="s">
        <v>10</v>
      </c>
      <c r="D261" s="51">
        <v>1440</v>
      </c>
    </row>
    <row r="262" spans="1:4" x14ac:dyDescent="0.2">
      <c r="A262" s="9" t="s">
        <v>18</v>
      </c>
      <c r="B262" s="9" t="s">
        <v>429</v>
      </c>
      <c r="C262" s="9" t="s">
        <v>10</v>
      </c>
      <c r="D262" s="51">
        <v>1430</v>
      </c>
    </row>
    <row r="263" spans="1:4" x14ac:dyDescent="0.2">
      <c r="A263" s="9" t="s">
        <v>18</v>
      </c>
      <c r="B263" s="9" t="s">
        <v>287</v>
      </c>
      <c r="C263" s="9" t="s">
        <v>10</v>
      </c>
      <c r="D263" s="51">
        <v>1420</v>
      </c>
    </row>
    <row r="264" spans="1:4" x14ac:dyDescent="0.2">
      <c r="A264" s="9" t="s">
        <v>18</v>
      </c>
      <c r="B264" s="9" t="s">
        <v>298</v>
      </c>
      <c r="C264" s="9" t="s">
        <v>10</v>
      </c>
      <c r="D264" s="51">
        <v>1369</v>
      </c>
    </row>
    <row r="265" spans="1:4" x14ac:dyDescent="0.2">
      <c r="A265" s="9" t="s">
        <v>18</v>
      </c>
      <c r="B265" s="9" t="s">
        <v>147</v>
      </c>
      <c r="C265" s="9" t="s">
        <v>10</v>
      </c>
      <c r="D265" s="51">
        <v>1365</v>
      </c>
    </row>
    <row r="266" spans="1:4" x14ac:dyDescent="0.2">
      <c r="A266" s="9" t="s">
        <v>18</v>
      </c>
      <c r="B266" s="9" t="s">
        <v>83</v>
      </c>
      <c r="C266" s="9" t="s">
        <v>10</v>
      </c>
      <c r="D266" s="51">
        <v>1280</v>
      </c>
    </row>
    <row r="267" spans="1:4" x14ac:dyDescent="0.2">
      <c r="A267" s="9" t="s">
        <v>16</v>
      </c>
      <c r="B267" s="9" t="s">
        <v>97</v>
      </c>
      <c r="C267" s="9" t="s">
        <v>10</v>
      </c>
      <c r="D267" s="51">
        <v>1273</v>
      </c>
    </row>
    <row r="268" spans="1:4" x14ac:dyDescent="0.2">
      <c r="A268" s="9" t="s">
        <v>18</v>
      </c>
      <c r="B268" s="9" t="s">
        <v>108</v>
      </c>
      <c r="C268" s="9" t="s">
        <v>10</v>
      </c>
      <c r="D268" s="51">
        <v>1260</v>
      </c>
    </row>
    <row r="269" spans="1:4" x14ac:dyDescent="0.2">
      <c r="A269" s="9" t="s">
        <v>18</v>
      </c>
      <c r="B269" s="9" t="s">
        <v>103</v>
      </c>
      <c r="C269" s="9" t="s">
        <v>10</v>
      </c>
      <c r="D269" s="51">
        <v>1199</v>
      </c>
    </row>
    <row r="270" spans="1:4" x14ac:dyDescent="0.2">
      <c r="A270" s="9" t="s">
        <v>18</v>
      </c>
      <c r="B270" s="9" t="s">
        <v>298</v>
      </c>
      <c r="C270" s="9" t="s">
        <v>10</v>
      </c>
      <c r="D270" s="51">
        <v>1184</v>
      </c>
    </row>
    <row r="271" spans="1:4" x14ac:dyDescent="0.2">
      <c r="A271" s="9" t="s">
        <v>16</v>
      </c>
      <c r="B271" s="9" t="s">
        <v>138</v>
      </c>
      <c r="C271" s="9" t="s">
        <v>10</v>
      </c>
      <c r="D271" s="51">
        <v>1170</v>
      </c>
    </row>
    <row r="272" spans="1:4" x14ac:dyDescent="0.2">
      <c r="A272" s="9" t="s">
        <v>17</v>
      </c>
      <c r="B272" s="9" t="s">
        <v>118</v>
      </c>
      <c r="C272" s="9" t="s">
        <v>10</v>
      </c>
      <c r="D272" s="51">
        <v>1168</v>
      </c>
    </row>
    <row r="273" spans="1:4" x14ac:dyDescent="0.2">
      <c r="A273" s="9" t="s">
        <v>17</v>
      </c>
      <c r="B273" s="9" t="s">
        <v>98</v>
      </c>
      <c r="C273" s="9" t="s">
        <v>10</v>
      </c>
      <c r="D273" s="51">
        <v>1156</v>
      </c>
    </row>
    <row r="274" spans="1:4" x14ac:dyDescent="0.2">
      <c r="A274" s="9" t="s">
        <v>17</v>
      </c>
      <c r="B274" s="9" t="s">
        <v>104</v>
      </c>
      <c r="C274" s="9" t="s">
        <v>10</v>
      </c>
      <c r="D274" s="51">
        <v>1104</v>
      </c>
    </row>
    <row r="275" spans="1:4" x14ac:dyDescent="0.2">
      <c r="A275" s="9" t="s">
        <v>17</v>
      </c>
      <c r="B275" s="9" t="s">
        <v>104</v>
      </c>
      <c r="C275" s="9" t="s">
        <v>10</v>
      </c>
      <c r="D275" s="51">
        <v>1056</v>
      </c>
    </row>
    <row r="276" spans="1:4" x14ac:dyDescent="0.2">
      <c r="A276" s="9" t="s">
        <v>18</v>
      </c>
      <c r="B276" s="9" t="s">
        <v>94</v>
      </c>
      <c r="C276" s="9" t="s">
        <v>10</v>
      </c>
      <c r="D276" s="51">
        <v>1020</v>
      </c>
    </row>
    <row r="277" spans="1:4" x14ac:dyDescent="0.2">
      <c r="A277" s="9" t="s">
        <v>18</v>
      </c>
      <c r="B277" s="9" t="s">
        <v>290</v>
      </c>
      <c r="C277" s="9" t="s">
        <v>10</v>
      </c>
      <c r="D277" s="51">
        <v>1008</v>
      </c>
    </row>
    <row r="278" spans="1:4" x14ac:dyDescent="0.2">
      <c r="A278" s="9" t="s">
        <v>18</v>
      </c>
      <c r="B278" s="9" t="s">
        <v>119</v>
      </c>
      <c r="C278" s="9" t="s">
        <v>10</v>
      </c>
      <c r="D278" s="51">
        <v>972</v>
      </c>
    </row>
    <row r="279" spans="1:4" x14ac:dyDescent="0.2">
      <c r="A279" s="9" t="s">
        <v>16</v>
      </c>
      <c r="B279" s="9" t="s">
        <v>99</v>
      </c>
      <c r="C279" s="9" t="s">
        <v>10</v>
      </c>
      <c r="D279" s="51">
        <v>960</v>
      </c>
    </row>
    <row r="280" spans="1:4" x14ac:dyDescent="0.2">
      <c r="A280" s="9" t="s">
        <v>18</v>
      </c>
      <c r="B280" s="9" t="s">
        <v>290</v>
      </c>
      <c r="C280" s="9" t="s">
        <v>10</v>
      </c>
      <c r="D280" s="51">
        <v>912</v>
      </c>
    </row>
    <row r="281" spans="1:4" x14ac:dyDescent="0.2">
      <c r="A281" s="9" t="s">
        <v>18</v>
      </c>
      <c r="B281" s="9" t="s">
        <v>290</v>
      </c>
      <c r="C281" s="9" t="s">
        <v>10</v>
      </c>
      <c r="D281" s="51">
        <v>912</v>
      </c>
    </row>
    <row r="282" spans="1:4" x14ac:dyDescent="0.2">
      <c r="A282" s="9" t="s">
        <v>17</v>
      </c>
      <c r="B282" s="9" t="s">
        <v>444</v>
      </c>
      <c r="C282" s="9" t="s">
        <v>10</v>
      </c>
      <c r="D282" s="51">
        <v>896</v>
      </c>
    </row>
    <row r="283" spans="1:4" x14ac:dyDescent="0.2">
      <c r="A283" s="9" t="s">
        <v>18</v>
      </c>
      <c r="B283" s="9" t="s">
        <v>432</v>
      </c>
      <c r="C283" s="9" t="s">
        <v>10</v>
      </c>
      <c r="D283" s="51">
        <v>890</v>
      </c>
    </row>
    <row r="284" spans="1:4" x14ac:dyDescent="0.2">
      <c r="A284" s="9" t="s">
        <v>18</v>
      </c>
      <c r="B284" s="9" t="s">
        <v>290</v>
      </c>
      <c r="C284" s="9" t="s">
        <v>10</v>
      </c>
      <c r="D284" s="51">
        <v>888</v>
      </c>
    </row>
    <row r="285" spans="1:4" x14ac:dyDescent="0.2">
      <c r="A285" s="9" t="s">
        <v>17</v>
      </c>
      <c r="B285" s="9" t="s">
        <v>98</v>
      </c>
      <c r="C285" s="9" t="s">
        <v>10</v>
      </c>
      <c r="D285" s="51">
        <v>884</v>
      </c>
    </row>
    <row r="286" spans="1:4" x14ac:dyDescent="0.2">
      <c r="A286" s="9" t="s">
        <v>18</v>
      </c>
      <c r="B286" s="9" t="s">
        <v>290</v>
      </c>
      <c r="C286" s="9" t="s">
        <v>10</v>
      </c>
      <c r="D286" s="51">
        <v>876</v>
      </c>
    </row>
    <row r="287" spans="1:4" x14ac:dyDescent="0.2">
      <c r="A287" s="9" t="s">
        <v>16</v>
      </c>
      <c r="B287" s="9" t="s">
        <v>107</v>
      </c>
      <c r="C287" s="9" t="s">
        <v>10</v>
      </c>
      <c r="D287" s="51">
        <v>855</v>
      </c>
    </row>
    <row r="288" spans="1:4" x14ac:dyDescent="0.2">
      <c r="A288" s="9" t="s">
        <v>18</v>
      </c>
      <c r="B288" s="9" t="s">
        <v>81</v>
      </c>
      <c r="C288" s="9" t="s">
        <v>10</v>
      </c>
      <c r="D288" s="51">
        <v>820</v>
      </c>
    </row>
    <row r="289" spans="1:4" x14ac:dyDescent="0.2">
      <c r="A289" s="9" t="s">
        <v>20</v>
      </c>
      <c r="B289" s="9" t="s">
        <v>154</v>
      </c>
      <c r="C289" s="9" t="s">
        <v>10</v>
      </c>
      <c r="D289" s="51">
        <v>801</v>
      </c>
    </row>
    <row r="290" spans="1:4" x14ac:dyDescent="0.2">
      <c r="A290" s="9" t="s">
        <v>17</v>
      </c>
      <c r="B290" s="9" t="s">
        <v>155</v>
      </c>
      <c r="C290" s="9" t="s">
        <v>10</v>
      </c>
      <c r="D290" s="51">
        <v>782</v>
      </c>
    </row>
    <row r="291" spans="1:4" x14ac:dyDescent="0.2">
      <c r="A291" s="9" t="s">
        <v>18</v>
      </c>
      <c r="B291" s="9" t="s">
        <v>127</v>
      </c>
      <c r="C291" s="9" t="s">
        <v>10</v>
      </c>
      <c r="D291" s="51">
        <v>720</v>
      </c>
    </row>
    <row r="292" spans="1:4" x14ac:dyDescent="0.2">
      <c r="A292" s="9" t="s">
        <v>19</v>
      </c>
      <c r="B292" s="9" t="s">
        <v>148</v>
      </c>
      <c r="C292" s="9" t="s">
        <v>10</v>
      </c>
      <c r="D292" s="51">
        <v>686</v>
      </c>
    </row>
    <row r="293" spans="1:4" x14ac:dyDescent="0.2">
      <c r="A293" s="9" t="s">
        <v>18</v>
      </c>
      <c r="B293" s="9" t="s">
        <v>137</v>
      </c>
      <c r="C293" s="9" t="s">
        <v>10</v>
      </c>
      <c r="D293" s="51">
        <v>684</v>
      </c>
    </row>
    <row r="294" spans="1:4" x14ac:dyDescent="0.2">
      <c r="A294" s="9" t="s">
        <v>18</v>
      </c>
      <c r="B294" s="9" t="s">
        <v>85</v>
      </c>
      <c r="C294" s="9" t="s">
        <v>10</v>
      </c>
      <c r="D294" s="51">
        <v>676</v>
      </c>
    </row>
    <row r="295" spans="1:4" x14ac:dyDescent="0.2">
      <c r="A295" s="9" t="s">
        <v>18</v>
      </c>
      <c r="B295" s="9" t="s">
        <v>88</v>
      </c>
      <c r="C295" s="9" t="s">
        <v>10</v>
      </c>
      <c r="D295" s="51">
        <v>650</v>
      </c>
    </row>
    <row r="296" spans="1:4" x14ac:dyDescent="0.2">
      <c r="A296" s="9" t="s">
        <v>18</v>
      </c>
      <c r="B296" s="9" t="s">
        <v>137</v>
      </c>
      <c r="C296" s="9" t="s">
        <v>10</v>
      </c>
      <c r="D296" s="51">
        <v>648</v>
      </c>
    </row>
    <row r="297" spans="1:4" x14ac:dyDescent="0.2">
      <c r="A297" s="9" t="s">
        <v>18</v>
      </c>
      <c r="B297" s="9" t="s">
        <v>112</v>
      </c>
      <c r="C297" s="9" t="s">
        <v>10</v>
      </c>
      <c r="D297" s="51">
        <v>640</v>
      </c>
    </row>
    <row r="298" spans="1:4" x14ac:dyDescent="0.2">
      <c r="A298" s="9" t="s">
        <v>18</v>
      </c>
      <c r="B298" s="9" t="s">
        <v>303</v>
      </c>
      <c r="C298" s="9" t="s">
        <v>10</v>
      </c>
      <c r="D298" s="51">
        <v>630</v>
      </c>
    </row>
    <row r="299" spans="1:4" x14ac:dyDescent="0.2">
      <c r="A299" s="9" t="s">
        <v>16</v>
      </c>
      <c r="B299" s="9" t="s">
        <v>87</v>
      </c>
      <c r="C299" s="9" t="s">
        <v>10</v>
      </c>
      <c r="D299" s="51">
        <v>549</v>
      </c>
    </row>
    <row r="300" spans="1:4" x14ac:dyDescent="0.2">
      <c r="A300" s="9" t="s">
        <v>16</v>
      </c>
      <c r="B300" s="9" t="s">
        <v>291</v>
      </c>
      <c r="C300" s="9" t="s">
        <v>10</v>
      </c>
      <c r="D300" s="51">
        <v>539</v>
      </c>
    </row>
    <row r="301" spans="1:4" x14ac:dyDescent="0.2">
      <c r="A301" s="9" t="s">
        <v>17</v>
      </c>
      <c r="B301" s="9" t="s">
        <v>130</v>
      </c>
      <c r="C301" s="9" t="s">
        <v>10</v>
      </c>
      <c r="D301" s="51">
        <v>525</v>
      </c>
    </row>
    <row r="302" spans="1:4" x14ac:dyDescent="0.2">
      <c r="A302" s="9" t="s">
        <v>17</v>
      </c>
      <c r="B302" s="9" t="s">
        <v>131</v>
      </c>
      <c r="C302" s="9" t="s">
        <v>10</v>
      </c>
      <c r="D302" s="51">
        <v>513</v>
      </c>
    </row>
    <row r="303" spans="1:4" x14ac:dyDescent="0.2">
      <c r="A303" s="9" t="s">
        <v>16</v>
      </c>
      <c r="B303" s="9" t="s">
        <v>132</v>
      </c>
      <c r="C303" s="9" t="s">
        <v>10</v>
      </c>
      <c r="D303" s="51">
        <v>460</v>
      </c>
    </row>
    <row r="304" spans="1:4" x14ac:dyDescent="0.2">
      <c r="A304" s="9" t="s">
        <v>18</v>
      </c>
      <c r="B304" s="9" t="s">
        <v>299</v>
      </c>
      <c r="C304" s="9" t="s">
        <v>10</v>
      </c>
      <c r="D304" s="51">
        <v>429</v>
      </c>
    </row>
    <row r="305" spans="1:4" x14ac:dyDescent="0.2">
      <c r="A305" s="9" t="s">
        <v>18</v>
      </c>
      <c r="B305" s="9" t="s">
        <v>133</v>
      </c>
      <c r="C305" s="9" t="s">
        <v>10</v>
      </c>
      <c r="D305" s="51">
        <v>400</v>
      </c>
    </row>
    <row r="306" spans="1:4" x14ac:dyDescent="0.2">
      <c r="A306" s="9" t="s">
        <v>18</v>
      </c>
      <c r="B306" s="9" t="s">
        <v>299</v>
      </c>
      <c r="C306" s="9" t="s">
        <v>10</v>
      </c>
      <c r="D306" s="51">
        <v>390</v>
      </c>
    </row>
    <row r="307" spans="1:4" x14ac:dyDescent="0.2">
      <c r="A307" s="9" t="s">
        <v>18</v>
      </c>
      <c r="B307" s="9" t="s">
        <v>302</v>
      </c>
      <c r="C307" s="9" t="s">
        <v>10</v>
      </c>
      <c r="D307" s="51">
        <v>360</v>
      </c>
    </row>
    <row r="308" spans="1:4" x14ac:dyDescent="0.2">
      <c r="A308" s="9" t="s">
        <v>18</v>
      </c>
      <c r="B308" s="9" t="s">
        <v>111</v>
      </c>
      <c r="C308" s="9" t="s">
        <v>10</v>
      </c>
      <c r="D308" s="51">
        <v>312</v>
      </c>
    </row>
    <row r="309" spans="1:4" x14ac:dyDescent="0.2">
      <c r="A309" s="9" t="s">
        <v>16</v>
      </c>
      <c r="B309" s="9" t="s">
        <v>458</v>
      </c>
      <c r="C309" s="9" t="s">
        <v>10</v>
      </c>
      <c r="D309" s="51">
        <v>312</v>
      </c>
    </row>
    <row r="310" spans="1:4" x14ac:dyDescent="0.2">
      <c r="A310" s="9" t="s">
        <v>16</v>
      </c>
      <c r="B310" s="9" t="s">
        <v>458</v>
      </c>
      <c r="C310" s="9" t="s">
        <v>10</v>
      </c>
      <c r="D310" s="51">
        <v>312</v>
      </c>
    </row>
    <row r="311" spans="1:4" x14ac:dyDescent="0.2">
      <c r="A311" s="9" t="s">
        <v>18</v>
      </c>
      <c r="B311" s="9" t="s">
        <v>139</v>
      </c>
      <c r="C311" s="9" t="s">
        <v>10</v>
      </c>
      <c r="D311" s="51">
        <v>253</v>
      </c>
    </row>
    <row r="312" spans="1:4" x14ac:dyDescent="0.2">
      <c r="A312" s="9" t="s">
        <v>17</v>
      </c>
      <c r="B312" s="9" t="s">
        <v>151</v>
      </c>
      <c r="C312" s="9" t="s">
        <v>10</v>
      </c>
      <c r="D312" s="51">
        <v>234</v>
      </c>
    </row>
    <row r="313" spans="1:4" x14ac:dyDescent="0.2">
      <c r="A313" s="9" t="s">
        <v>20</v>
      </c>
      <c r="B313" s="9" t="s">
        <v>152</v>
      </c>
      <c r="C313" s="9" t="s">
        <v>10</v>
      </c>
      <c r="D313" s="51">
        <v>216</v>
      </c>
    </row>
    <row r="314" spans="1:4" x14ac:dyDescent="0.2">
      <c r="A314" s="9" t="s">
        <v>18</v>
      </c>
      <c r="B314" s="9" t="s">
        <v>139</v>
      </c>
      <c r="C314" s="9" t="s">
        <v>10</v>
      </c>
      <c r="D314" s="51">
        <v>198</v>
      </c>
    </row>
    <row r="315" spans="1:4" x14ac:dyDescent="0.2">
      <c r="A315" s="9" t="s">
        <v>16</v>
      </c>
      <c r="B315" s="9" t="s">
        <v>305</v>
      </c>
      <c r="C315" s="9" t="s">
        <v>10</v>
      </c>
      <c r="D315" s="51">
        <v>187</v>
      </c>
    </row>
    <row r="316" spans="1:4" x14ac:dyDescent="0.2">
      <c r="A316" s="9" t="s">
        <v>19</v>
      </c>
      <c r="B316" s="9" t="s">
        <v>149</v>
      </c>
      <c r="C316" s="9" t="s">
        <v>10</v>
      </c>
      <c r="D316" s="51">
        <v>176</v>
      </c>
    </row>
    <row r="317" spans="1:4" x14ac:dyDescent="0.2">
      <c r="A317" s="9" t="s">
        <v>17</v>
      </c>
      <c r="B317" s="9" t="s">
        <v>156</v>
      </c>
      <c r="C317" s="9" t="s">
        <v>10</v>
      </c>
      <c r="D317" s="51">
        <v>168</v>
      </c>
    </row>
    <row r="318" spans="1:4" x14ac:dyDescent="0.2">
      <c r="A318" s="9" t="s">
        <v>18</v>
      </c>
      <c r="B318" s="9" t="s">
        <v>146</v>
      </c>
      <c r="C318" s="9" t="s">
        <v>10</v>
      </c>
      <c r="D318" s="51">
        <v>162</v>
      </c>
    </row>
    <row r="319" spans="1:4" x14ac:dyDescent="0.2">
      <c r="A319" s="9" t="s">
        <v>18</v>
      </c>
      <c r="B319" s="9" t="s">
        <v>308</v>
      </c>
      <c r="C319" s="9" t="s">
        <v>10</v>
      </c>
      <c r="D319" s="51">
        <v>160</v>
      </c>
    </row>
    <row r="320" spans="1:4" x14ac:dyDescent="0.2">
      <c r="A320" s="9" t="s">
        <v>18</v>
      </c>
      <c r="B320" s="9" t="s">
        <v>307</v>
      </c>
      <c r="C320" s="9" t="s">
        <v>10</v>
      </c>
      <c r="D320" s="51">
        <v>150</v>
      </c>
    </row>
    <row r="321" spans="1:4" x14ac:dyDescent="0.2">
      <c r="A321" s="9" t="s">
        <v>18</v>
      </c>
      <c r="B321" s="9" t="s">
        <v>468</v>
      </c>
      <c r="C321" s="9" t="s">
        <v>10</v>
      </c>
      <c r="D321" s="51">
        <v>136</v>
      </c>
    </row>
    <row r="322" spans="1:4" x14ac:dyDescent="0.2">
      <c r="A322" s="9" t="s">
        <v>17</v>
      </c>
      <c r="B322" s="9" t="s">
        <v>469</v>
      </c>
      <c r="C322" s="9" t="s">
        <v>10</v>
      </c>
      <c r="D322" s="51">
        <v>133</v>
      </c>
    </row>
    <row r="323" spans="1:4" x14ac:dyDescent="0.2">
      <c r="A323" s="9" t="s">
        <v>18</v>
      </c>
      <c r="B323" s="9" t="s">
        <v>143</v>
      </c>
      <c r="C323" s="9" t="s">
        <v>10</v>
      </c>
      <c r="D323" s="51">
        <v>120</v>
      </c>
    </row>
    <row r="324" spans="1:4" x14ac:dyDescent="0.2">
      <c r="A324" s="9" t="s">
        <v>18</v>
      </c>
      <c r="B324" s="9" t="s">
        <v>143</v>
      </c>
      <c r="C324" s="9" t="s">
        <v>10</v>
      </c>
      <c r="D324" s="51">
        <v>100</v>
      </c>
    </row>
    <row r="325" spans="1:4" x14ac:dyDescent="0.2">
      <c r="A325" s="9" t="s">
        <v>18</v>
      </c>
      <c r="B325" s="9" t="s">
        <v>308</v>
      </c>
      <c r="C325" s="9" t="s">
        <v>10</v>
      </c>
      <c r="D325" s="51">
        <v>80</v>
      </c>
    </row>
    <row r="326" spans="1:4" x14ac:dyDescent="0.2">
      <c r="A326" s="9" t="s">
        <v>19</v>
      </c>
      <c r="B326" s="9" t="s">
        <v>149</v>
      </c>
      <c r="C326" s="9" t="s">
        <v>10</v>
      </c>
      <c r="D326" s="51">
        <v>40</v>
      </c>
    </row>
    <row r="327" spans="1:4" x14ac:dyDescent="0.2">
      <c r="A327" s="9" t="s">
        <v>17</v>
      </c>
      <c r="B327" s="9" t="s">
        <v>470</v>
      </c>
      <c r="C327" s="9" t="s">
        <v>10</v>
      </c>
      <c r="D327" s="51">
        <v>21</v>
      </c>
    </row>
    <row r="328" spans="1:4" x14ac:dyDescent="0.2">
      <c r="A328" s="9" t="s">
        <v>17</v>
      </c>
      <c r="B328" s="9" t="s">
        <v>104</v>
      </c>
      <c r="C328" s="9" t="s">
        <v>10</v>
      </c>
      <c r="D328" s="51">
        <v>18</v>
      </c>
    </row>
    <row r="329" spans="1:4" x14ac:dyDescent="0.2">
      <c r="A329" s="9" t="s">
        <v>16</v>
      </c>
      <c r="B329" s="9" t="s">
        <v>159</v>
      </c>
      <c r="C329" s="9" t="s">
        <v>11</v>
      </c>
      <c r="D329" s="51">
        <v>21390</v>
      </c>
    </row>
    <row r="330" spans="1:4" x14ac:dyDescent="0.2">
      <c r="A330" s="9" t="s">
        <v>18</v>
      </c>
      <c r="B330" s="9" t="s">
        <v>313</v>
      </c>
      <c r="C330" s="9" t="s">
        <v>11</v>
      </c>
      <c r="D330" s="51">
        <v>13161</v>
      </c>
    </row>
    <row r="331" spans="1:4" x14ac:dyDescent="0.2">
      <c r="A331" s="9" t="s">
        <v>18</v>
      </c>
      <c r="B331" s="9" t="s">
        <v>160</v>
      </c>
      <c r="C331" s="9" t="s">
        <v>11</v>
      </c>
      <c r="D331" s="51">
        <v>9499</v>
      </c>
    </row>
    <row r="332" spans="1:4" x14ac:dyDescent="0.2">
      <c r="A332" s="9" t="s">
        <v>18</v>
      </c>
      <c r="B332" s="9" t="s">
        <v>313</v>
      </c>
      <c r="C332" s="9" t="s">
        <v>11</v>
      </c>
      <c r="D332" s="51">
        <v>7209</v>
      </c>
    </row>
    <row r="333" spans="1:4" x14ac:dyDescent="0.2">
      <c r="A333" s="9" t="s">
        <v>16</v>
      </c>
      <c r="B333" s="9" t="s">
        <v>309</v>
      </c>
      <c r="C333" s="9" t="s">
        <v>11</v>
      </c>
      <c r="D333" s="51">
        <v>7202</v>
      </c>
    </row>
    <row r="334" spans="1:4" x14ac:dyDescent="0.2">
      <c r="A334" s="9" t="s">
        <v>16</v>
      </c>
      <c r="B334" s="9" t="s">
        <v>309</v>
      </c>
      <c r="C334" s="9" t="s">
        <v>11</v>
      </c>
      <c r="D334" s="51">
        <v>6422</v>
      </c>
    </row>
    <row r="335" spans="1:4" x14ac:dyDescent="0.2">
      <c r="A335" s="9" t="s">
        <v>16</v>
      </c>
      <c r="B335" s="9" t="s">
        <v>174</v>
      </c>
      <c r="C335" s="9" t="s">
        <v>11</v>
      </c>
      <c r="D335" s="51">
        <v>6239</v>
      </c>
    </row>
    <row r="336" spans="1:4" x14ac:dyDescent="0.2">
      <c r="A336" s="9" t="s">
        <v>17</v>
      </c>
      <c r="B336" s="9" t="s">
        <v>167</v>
      </c>
      <c r="C336" s="9" t="s">
        <v>11</v>
      </c>
      <c r="D336" s="51">
        <v>6216</v>
      </c>
    </row>
    <row r="337" spans="1:4" x14ac:dyDescent="0.2">
      <c r="A337" s="9" t="s">
        <v>18</v>
      </c>
      <c r="B337" s="9" t="s">
        <v>176</v>
      </c>
      <c r="C337" s="9" t="s">
        <v>11</v>
      </c>
      <c r="D337" s="51">
        <v>6164</v>
      </c>
    </row>
    <row r="338" spans="1:4" x14ac:dyDescent="0.2">
      <c r="A338" s="9" t="s">
        <v>18</v>
      </c>
      <c r="B338" s="9" t="s">
        <v>176</v>
      </c>
      <c r="C338" s="9" t="s">
        <v>11</v>
      </c>
      <c r="D338" s="51">
        <v>6118</v>
      </c>
    </row>
    <row r="339" spans="1:4" x14ac:dyDescent="0.2">
      <c r="A339" s="9" t="s">
        <v>17</v>
      </c>
      <c r="B339" s="9" t="s">
        <v>315</v>
      </c>
      <c r="C339" s="9" t="s">
        <v>11</v>
      </c>
      <c r="D339" s="51">
        <v>3330</v>
      </c>
    </row>
    <row r="340" spans="1:4" x14ac:dyDescent="0.2">
      <c r="A340" s="9" t="s">
        <v>17</v>
      </c>
      <c r="B340" s="9" t="s">
        <v>459</v>
      </c>
      <c r="C340" s="9" t="s">
        <v>11</v>
      </c>
      <c r="D340" s="51">
        <v>3094</v>
      </c>
    </row>
    <row r="341" spans="1:4" x14ac:dyDescent="0.2">
      <c r="A341" s="9" t="s">
        <v>18</v>
      </c>
      <c r="B341" s="9" t="s">
        <v>158</v>
      </c>
      <c r="C341" s="9" t="s">
        <v>11</v>
      </c>
      <c r="D341" s="51">
        <v>2849</v>
      </c>
    </row>
    <row r="342" spans="1:4" x14ac:dyDescent="0.2">
      <c r="A342" s="9" t="s">
        <v>18</v>
      </c>
      <c r="B342" s="9" t="s">
        <v>312</v>
      </c>
      <c r="C342" s="9" t="s">
        <v>11</v>
      </c>
      <c r="D342" s="51">
        <v>2700</v>
      </c>
    </row>
    <row r="343" spans="1:4" x14ac:dyDescent="0.2">
      <c r="A343" s="9" t="s">
        <v>18</v>
      </c>
      <c r="B343" s="9" t="s">
        <v>176</v>
      </c>
      <c r="C343" s="9" t="s">
        <v>11</v>
      </c>
      <c r="D343" s="51">
        <v>2657</v>
      </c>
    </row>
    <row r="344" spans="1:4" x14ac:dyDescent="0.2">
      <c r="A344" s="9" t="s">
        <v>17</v>
      </c>
      <c r="B344" s="9" t="s">
        <v>310</v>
      </c>
      <c r="C344" s="9" t="s">
        <v>11</v>
      </c>
      <c r="D344" s="51">
        <v>2548</v>
      </c>
    </row>
    <row r="345" spans="1:4" x14ac:dyDescent="0.2">
      <c r="A345" s="9" t="s">
        <v>17</v>
      </c>
      <c r="B345" s="9" t="s">
        <v>315</v>
      </c>
      <c r="C345" s="9" t="s">
        <v>11</v>
      </c>
      <c r="D345" s="51">
        <v>2277</v>
      </c>
    </row>
    <row r="346" spans="1:4" x14ac:dyDescent="0.2">
      <c r="A346" s="9" t="s">
        <v>18</v>
      </c>
      <c r="B346" s="9" t="s">
        <v>316</v>
      </c>
      <c r="C346" s="9" t="s">
        <v>11</v>
      </c>
      <c r="D346" s="51">
        <v>2208</v>
      </c>
    </row>
    <row r="347" spans="1:4" x14ac:dyDescent="0.2">
      <c r="A347" s="9" t="s">
        <v>18</v>
      </c>
      <c r="B347" s="9" t="s">
        <v>176</v>
      </c>
      <c r="C347" s="9" t="s">
        <v>11</v>
      </c>
      <c r="D347" s="51">
        <v>2162</v>
      </c>
    </row>
    <row r="348" spans="1:4" x14ac:dyDescent="0.2">
      <c r="A348" s="9" t="s">
        <v>17</v>
      </c>
      <c r="B348" s="9" t="s">
        <v>172</v>
      </c>
      <c r="C348" s="9" t="s">
        <v>11</v>
      </c>
      <c r="D348" s="51">
        <v>2120</v>
      </c>
    </row>
    <row r="349" spans="1:4" x14ac:dyDescent="0.2">
      <c r="A349" s="9" t="s">
        <v>16</v>
      </c>
      <c r="B349" s="9" t="s">
        <v>358</v>
      </c>
      <c r="C349" s="9" t="s">
        <v>11</v>
      </c>
      <c r="D349" s="51">
        <v>2070</v>
      </c>
    </row>
    <row r="350" spans="1:4" x14ac:dyDescent="0.2">
      <c r="A350" s="9" t="s">
        <v>18</v>
      </c>
      <c r="B350" s="9" t="s">
        <v>157</v>
      </c>
      <c r="C350" s="9" t="s">
        <v>11</v>
      </c>
      <c r="D350" s="51">
        <v>1896</v>
      </c>
    </row>
    <row r="351" spans="1:4" x14ac:dyDescent="0.2">
      <c r="A351" s="9" t="s">
        <v>18</v>
      </c>
      <c r="B351" s="9" t="s">
        <v>312</v>
      </c>
      <c r="C351" s="9" t="s">
        <v>11</v>
      </c>
      <c r="D351" s="51">
        <v>1840</v>
      </c>
    </row>
    <row r="352" spans="1:4" x14ac:dyDescent="0.2">
      <c r="A352" s="9" t="s">
        <v>18</v>
      </c>
      <c r="B352" s="9" t="s">
        <v>157</v>
      </c>
      <c r="C352" s="9" t="s">
        <v>11</v>
      </c>
      <c r="D352" s="51">
        <v>1802</v>
      </c>
    </row>
    <row r="353" spans="1:4" x14ac:dyDescent="0.2">
      <c r="A353" s="9" t="s">
        <v>18</v>
      </c>
      <c r="B353" s="9" t="s">
        <v>164</v>
      </c>
      <c r="C353" s="9" t="s">
        <v>11</v>
      </c>
      <c r="D353" s="51">
        <v>1800</v>
      </c>
    </row>
    <row r="354" spans="1:4" x14ac:dyDescent="0.2">
      <c r="A354" s="9" t="s">
        <v>18</v>
      </c>
      <c r="B354" s="9" t="s">
        <v>311</v>
      </c>
      <c r="C354" s="9" t="s">
        <v>11</v>
      </c>
      <c r="D354" s="51">
        <v>1656</v>
      </c>
    </row>
    <row r="355" spans="1:4" x14ac:dyDescent="0.2">
      <c r="A355" s="9" t="s">
        <v>17</v>
      </c>
      <c r="B355" s="9" t="s">
        <v>169</v>
      </c>
      <c r="C355" s="9" t="s">
        <v>11</v>
      </c>
      <c r="D355" s="51">
        <v>1600</v>
      </c>
    </row>
    <row r="356" spans="1:4" x14ac:dyDescent="0.2">
      <c r="A356" s="9" t="s">
        <v>18</v>
      </c>
      <c r="B356" s="9" t="s">
        <v>161</v>
      </c>
      <c r="C356" s="9" t="s">
        <v>11</v>
      </c>
      <c r="D356" s="51">
        <v>1592</v>
      </c>
    </row>
    <row r="357" spans="1:4" x14ac:dyDescent="0.2">
      <c r="A357" s="9" t="s">
        <v>18</v>
      </c>
      <c r="B357" s="9" t="s">
        <v>316</v>
      </c>
      <c r="C357" s="9" t="s">
        <v>11</v>
      </c>
      <c r="D357" s="51">
        <v>1518</v>
      </c>
    </row>
    <row r="358" spans="1:4" x14ac:dyDescent="0.2">
      <c r="A358" s="9" t="s">
        <v>18</v>
      </c>
      <c r="B358" s="9" t="s">
        <v>168</v>
      </c>
      <c r="C358" s="9" t="s">
        <v>11</v>
      </c>
      <c r="D358" s="51">
        <v>1305</v>
      </c>
    </row>
    <row r="359" spans="1:4" x14ac:dyDescent="0.2">
      <c r="A359" s="9" t="s">
        <v>18</v>
      </c>
      <c r="B359" s="9" t="s">
        <v>176</v>
      </c>
      <c r="C359" s="9" t="s">
        <v>11</v>
      </c>
      <c r="D359" s="51">
        <v>1204</v>
      </c>
    </row>
    <row r="360" spans="1:4" x14ac:dyDescent="0.2">
      <c r="A360" s="9" t="s">
        <v>18</v>
      </c>
      <c r="B360" s="9" t="s">
        <v>162</v>
      </c>
      <c r="C360" s="9" t="s">
        <v>11</v>
      </c>
      <c r="D360" s="51">
        <v>988</v>
      </c>
    </row>
    <row r="361" spans="1:4" x14ac:dyDescent="0.2">
      <c r="A361" s="9" t="s">
        <v>18</v>
      </c>
      <c r="B361" s="9" t="s">
        <v>157</v>
      </c>
      <c r="C361" s="9" t="s">
        <v>11</v>
      </c>
      <c r="D361" s="51">
        <v>920</v>
      </c>
    </row>
    <row r="362" spans="1:4" x14ac:dyDescent="0.2">
      <c r="A362" s="9" t="s">
        <v>18</v>
      </c>
      <c r="B362" s="9" t="s">
        <v>173</v>
      </c>
      <c r="C362" s="9" t="s">
        <v>11</v>
      </c>
      <c r="D362" s="51">
        <v>851</v>
      </c>
    </row>
    <row r="363" spans="1:4" x14ac:dyDescent="0.2">
      <c r="A363" s="9" t="s">
        <v>17</v>
      </c>
      <c r="B363" s="9" t="s">
        <v>314</v>
      </c>
      <c r="C363" s="9" t="s">
        <v>11</v>
      </c>
      <c r="D363" s="51">
        <v>784</v>
      </c>
    </row>
    <row r="364" spans="1:4" x14ac:dyDescent="0.2">
      <c r="A364" s="9" t="s">
        <v>18</v>
      </c>
      <c r="B364" s="9" t="s">
        <v>316</v>
      </c>
      <c r="C364" s="9" t="s">
        <v>11</v>
      </c>
      <c r="D364" s="51">
        <v>644</v>
      </c>
    </row>
    <row r="365" spans="1:4" x14ac:dyDescent="0.2">
      <c r="A365" s="9" t="s">
        <v>18</v>
      </c>
      <c r="B365" s="9" t="s">
        <v>165</v>
      </c>
      <c r="C365" s="9" t="s">
        <v>11</v>
      </c>
      <c r="D365" s="51">
        <v>594</v>
      </c>
    </row>
    <row r="366" spans="1:4" x14ac:dyDescent="0.2">
      <c r="A366" s="9" t="s">
        <v>18</v>
      </c>
      <c r="B366" s="9" t="s">
        <v>175</v>
      </c>
      <c r="C366" s="9" t="s">
        <v>11</v>
      </c>
      <c r="D366" s="51">
        <v>525</v>
      </c>
    </row>
    <row r="367" spans="1:4" x14ac:dyDescent="0.2">
      <c r="A367" s="9" t="s">
        <v>17</v>
      </c>
      <c r="B367" s="9" t="s">
        <v>156</v>
      </c>
      <c r="C367" s="9" t="s">
        <v>11</v>
      </c>
      <c r="D367" s="51">
        <v>480</v>
      </c>
    </row>
    <row r="368" spans="1:4" x14ac:dyDescent="0.2">
      <c r="A368" s="9" t="s">
        <v>17</v>
      </c>
      <c r="B368" s="9" t="s">
        <v>314</v>
      </c>
      <c r="C368" s="9" t="s">
        <v>11</v>
      </c>
      <c r="D368" s="51">
        <v>468</v>
      </c>
    </row>
    <row r="369" spans="1:4" x14ac:dyDescent="0.2">
      <c r="A369" s="9" t="s">
        <v>17</v>
      </c>
      <c r="B369" s="9" t="s">
        <v>163</v>
      </c>
      <c r="C369" s="9" t="s">
        <v>11</v>
      </c>
      <c r="D369" s="51">
        <v>452</v>
      </c>
    </row>
    <row r="370" spans="1:4" x14ac:dyDescent="0.2">
      <c r="A370" s="9" t="s">
        <v>18</v>
      </c>
      <c r="B370" s="9" t="s">
        <v>170</v>
      </c>
      <c r="C370" s="9" t="s">
        <v>11</v>
      </c>
      <c r="D370" s="51">
        <v>375</v>
      </c>
    </row>
    <row r="371" spans="1:4" x14ac:dyDescent="0.2">
      <c r="A371" s="9" t="s">
        <v>18</v>
      </c>
      <c r="B371" s="9" t="s">
        <v>177</v>
      </c>
      <c r="C371" s="9" t="s">
        <v>11</v>
      </c>
      <c r="D371" s="51">
        <v>319</v>
      </c>
    </row>
    <row r="372" spans="1:4" x14ac:dyDescent="0.2">
      <c r="A372" s="9" t="s">
        <v>18</v>
      </c>
      <c r="B372" s="9" t="s">
        <v>317</v>
      </c>
      <c r="C372" s="9" t="s">
        <v>11</v>
      </c>
      <c r="D372" s="51">
        <v>315</v>
      </c>
    </row>
    <row r="373" spans="1:4" x14ac:dyDescent="0.2">
      <c r="A373" s="9" t="s">
        <v>20</v>
      </c>
      <c r="B373" s="9" t="s">
        <v>178</v>
      </c>
      <c r="C373" s="9" t="s">
        <v>11</v>
      </c>
      <c r="D373" s="51">
        <v>217</v>
      </c>
    </row>
    <row r="374" spans="1:4" x14ac:dyDescent="0.2">
      <c r="A374" s="9" t="s">
        <v>16</v>
      </c>
      <c r="B374" s="9" t="s">
        <v>166</v>
      </c>
      <c r="C374" s="9" t="s">
        <v>11</v>
      </c>
      <c r="D374" s="51">
        <v>80</v>
      </c>
    </row>
    <row r="375" spans="1:4" x14ac:dyDescent="0.2">
      <c r="A375" s="9" t="s">
        <v>18</v>
      </c>
      <c r="B375" s="9" t="s">
        <v>179</v>
      </c>
      <c r="C375" s="9" t="s">
        <v>13</v>
      </c>
      <c r="D375" s="51">
        <v>638</v>
      </c>
    </row>
    <row r="376" spans="1:4" x14ac:dyDescent="0.2">
      <c r="A376" s="9" t="s">
        <v>18</v>
      </c>
      <c r="B376" s="9" t="s">
        <v>360</v>
      </c>
      <c r="C376" s="9" t="s">
        <v>359</v>
      </c>
      <c r="D376" s="51">
        <v>14</v>
      </c>
    </row>
    <row r="377" spans="1:4" x14ac:dyDescent="0.2">
      <c r="A377" s="9" t="s">
        <v>16</v>
      </c>
      <c r="B377" s="9" t="s">
        <v>361</v>
      </c>
      <c r="C377" s="9" t="s">
        <v>359</v>
      </c>
      <c r="D377" s="51">
        <v>14</v>
      </c>
    </row>
    <row r="378" spans="1:4" x14ac:dyDescent="0.2">
      <c r="A378" s="9" t="s">
        <v>18</v>
      </c>
      <c r="B378" s="9" t="s">
        <v>365</v>
      </c>
      <c r="C378" s="9" t="s">
        <v>362</v>
      </c>
      <c r="D378" s="51">
        <v>450</v>
      </c>
    </row>
    <row r="379" spans="1:4" x14ac:dyDescent="0.2">
      <c r="A379" s="9" t="s">
        <v>16</v>
      </c>
      <c r="B379" s="9" t="s">
        <v>380</v>
      </c>
      <c r="C379" s="9" t="s">
        <v>362</v>
      </c>
      <c r="D379" s="51">
        <v>350</v>
      </c>
    </row>
    <row r="380" spans="1:4" x14ac:dyDescent="0.2">
      <c r="A380" s="9" t="s">
        <v>18</v>
      </c>
      <c r="B380" s="9" t="s">
        <v>364</v>
      </c>
      <c r="C380" s="9" t="s">
        <v>362</v>
      </c>
      <c r="D380" s="51">
        <v>315</v>
      </c>
    </row>
    <row r="381" spans="1:4" x14ac:dyDescent="0.2">
      <c r="A381" s="9" t="s">
        <v>16</v>
      </c>
      <c r="B381" s="9" t="s">
        <v>371</v>
      </c>
      <c r="C381" s="9" t="s">
        <v>362</v>
      </c>
      <c r="D381" s="51">
        <v>246</v>
      </c>
    </row>
    <row r="382" spans="1:4" x14ac:dyDescent="0.2">
      <c r="A382" s="9" t="s">
        <v>16</v>
      </c>
      <c r="B382" s="9" t="s">
        <v>369</v>
      </c>
      <c r="C382" s="9" t="s">
        <v>362</v>
      </c>
      <c r="D382" s="51">
        <v>245</v>
      </c>
    </row>
    <row r="383" spans="1:4" x14ac:dyDescent="0.2">
      <c r="A383" s="9" t="s">
        <v>16</v>
      </c>
      <c r="B383" s="9" t="s">
        <v>369</v>
      </c>
      <c r="C383" s="9" t="s">
        <v>362</v>
      </c>
      <c r="D383" s="51">
        <v>225</v>
      </c>
    </row>
    <row r="384" spans="1:4" x14ac:dyDescent="0.2">
      <c r="A384" s="9" t="s">
        <v>18</v>
      </c>
      <c r="B384" s="9" t="s">
        <v>367</v>
      </c>
      <c r="C384" s="9" t="s">
        <v>362</v>
      </c>
      <c r="D384" s="51">
        <v>210</v>
      </c>
    </row>
    <row r="385" spans="1:4" x14ac:dyDescent="0.2">
      <c r="A385" s="9" t="s">
        <v>18</v>
      </c>
      <c r="B385" s="9" t="s">
        <v>375</v>
      </c>
      <c r="C385" s="9" t="s">
        <v>362</v>
      </c>
      <c r="D385" s="51">
        <v>210</v>
      </c>
    </row>
    <row r="386" spans="1:4" x14ac:dyDescent="0.2">
      <c r="A386" s="9" t="s">
        <v>17</v>
      </c>
      <c r="B386" s="9" t="s">
        <v>368</v>
      </c>
      <c r="C386" s="9" t="s">
        <v>362</v>
      </c>
      <c r="D386" s="51">
        <v>196</v>
      </c>
    </row>
    <row r="387" spans="1:4" x14ac:dyDescent="0.2">
      <c r="A387" s="9" t="s">
        <v>16</v>
      </c>
      <c r="B387" s="9" t="s">
        <v>376</v>
      </c>
      <c r="C387" s="9" t="s">
        <v>362</v>
      </c>
      <c r="D387" s="51">
        <v>180</v>
      </c>
    </row>
    <row r="388" spans="1:4" x14ac:dyDescent="0.2">
      <c r="A388" s="9" t="s">
        <v>16</v>
      </c>
      <c r="B388" s="9" t="s">
        <v>370</v>
      </c>
      <c r="C388" s="9" t="s">
        <v>362</v>
      </c>
      <c r="D388" s="51">
        <v>160</v>
      </c>
    </row>
    <row r="389" spans="1:4" x14ac:dyDescent="0.2">
      <c r="A389" s="9" t="s">
        <v>16</v>
      </c>
      <c r="B389" s="9" t="s">
        <v>363</v>
      </c>
      <c r="C389" s="9" t="s">
        <v>362</v>
      </c>
      <c r="D389" s="51">
        <v>156</v>
      </c>
    </row>
    <row r="390" spans="1:4" x14ac:dyDescent="0.2">
      <c r="A390" s="9" t="s">
        <v>16</v>
      </c>
      <c r="B390" s="9" t="s">
        <v>378</v>
      </c>
      <c r="C390" s="9" t="s">
        <v>362</v>
      </c>
      <c r="D390" s="51">
        <v>150</v>
      </c>
    </row>
    <row r="391" spans="1:4" x14ac:dyDescent="0.2">
      <c r="A391" s="9" t="s">
        <v>17</v>
      </c>
      <c r="B391" s="9" t="s">
        <v>374</v>
      </c>
      <c r="C391" s="9" t="s">
        <v>362</v>
      </c>
      <c r="D391" s="51">
        <v>140</v>
      </c>
    </row>
    <row r="392" spans="1:4" x14ac:dyDescent="0.2">
      <c r="A392" s="9" t="s">
        <v>18</v>
      </c>
      <c r="B392" s="9" t="s">
        <v>460</v>
      </c>
      <c r="C392" s="9" t="s">
        <v>362</v>
      </c>
      <c r="D392" s="51">
        <v>140</v>
      </c>
    </row>
    <row r="393" spans="1:4" x14ac:dyDescent="0.2">
      <c r="A393" s="9" t="s">
        <v>18</v>
      </c>
      <c r="B393" s="9" t="s">
        <v>379</v>
      </c>
      <c r="C393" s="9" t="s">
        <v>362</v>
      </c>
      <c r="D393" s="51">
        <v>138</v>
      </c>
    </row>
    <row r="394" spans="1:4" x14ac:dyDescent="0.2">
      <c r="A394" s="9" t="s">
        <v>16</v>
      </c>
      <c r="B394" s="9" t="s">
        <v>378</v>
      </c>
      <c r="C394" s="9" t="s">
        <v>362</v>
      </c>
      <c r="D394" s="51">
        <v>125</v>
      </c>
    </row>
    <row r="395" spans="1:4" x14ac:dyDescent="0.2">
      <c r="A395" s="9" t="s">
        <v>16</v>
      </c>
      <c r="B395" s="9" t="s">
        <v>378</v>
      </c>
      <c r="C395" s="9" t="s">
        <v>362</v>
      </c>
      <c r="D395" s="51">
        <v>125</v>
      </c>
    </row>
    <row r="396" spans="1:4" x14ac:dyDescent="0.2">
      <c r="A396" s="9" t="s">
        <v>18</v>
      </c>
      <c r="B396" s="9" t="s">
        <v>366</v>
      </c>
      <c r="C396" s="9" t="s">
        <v>362</v>
      </c>
      <c r="D396" s="51">
        <v>112</v>
      </c>
    </row>
    <row r="397" spans="1:4" x14ac:dyDescent="0.2">
      <c r="A397" s="9" t="s">
        <v>18</v>
      </c>
      <c r="B397" s="9" t="s">
        <v>366</v>
      </c>
      <c r="C397" s="9" t="s">
        <v>362</v>
      </c>
      <c r="D397" s="51">
        <v>112</v>
      </c>
    </row>
    <row r="398" spans="1:4" x14ac:dyDescent="0.2">
      <c r="A398" s="9" t="s">
        <v>17</v>
      </c>
      <c r="B398" s="9" t="s">
        <v>377</v>
      </c>
      <c r="C398" s="9" t="s">
        <v>362</v>
      </c>
      <c r="D398" s="51">
        <v>102</v>
      </c>
    </row>
    <row r="399" spans="1:4" x14ac:dyDescent="0.2">
      <c r="A399" s="9" t="s">
        <v>17</v>
      </c>
      <c r="B399" s="9" t="s">
        <v>377</v>
      </c>
      <c r="C399" s="9" t="s">
        <v>362</v>
      </c>
      <c r="D399" s="51">
        <v>102</v>
      </c>
    </row>
    <row r="400" spans="1:4" x14ac:dyDescent="0.2">
      <c r="A400" s="9" t="s">
        <v>17</v>
      </c>
      <c r="B400" s="9" t="s">
        <v>373</v>
      </c>
      <c r="C400" s="9" t="s">
        <v>362</v>
      </c>
      <c r="D400" s="51">
        <v>98</v>
      </c>
    </row>
    <row r="401" spans="1:4" x14ac:dyDescent="0.2">
      <c r="A401" s="9" t="s">
        <v>17</v>
      </c>
      <c r="B401" s="9" t="s">
        <v>433</v>
      </c>
      <c r="C401" s="9" t="s">
        <v>362</v>
      </c>
      <c r="D401" s="51">
        <v>96</v>
      </c>
    </row>
    <row r="402" spans="1:4" x14ac:dyDescent="0.2">
      <c r="A402" s="9" t="s">
        <v>18</v>
      </c>
      <c r="B402" s="9" t="s">
        <v>249</v>
      </c>
      <c r="C402" s="9" t="s">
        <v>362</v>
      </c>
      <c r="D402" s="51">
        <v>80</v>
      </c>
    </row>
    <row r="403" spans="1:4" x14ac:dyDescent="0.2">
      <c r="A403" s="9" t="s">
        <v>16</v>
      </c>
      <c r="B403" s="9" t="s">
        <v>383</v>
      </c>
      <c r="C403" s="9" t="s">
        <v>362</v>
      </c>
      <c r="D403" s="51">
        <v>77</v>
      </c>
    </row>
    <row r="404" spans="1:4" x14ac:dyDescent="0.2">
      <c r="A404" s="9" t="s">
        <v>16</v>
      </c>
      <c r="B404" s="9" t="s">
        <v>372</v>
      </c>
      <c r="C404" s="9" t="s">
        <v>362</v>
      </c>
      <c r="D404" s="51">
        <v>77</v>
      </c>
    </row>
    <row r="405" spans="1:4" x14ac:dyDescent="0.2">
      <c r="A405" s="9" t="s">
        <v>16</v>
      </c>
      <c r="B405" s="9" t="s">
        <v>383</v>
      </c>
      <c r="C405" s="9" t="s">
        <v>362</v>
      </c>
      <c r="D405" s="51">
        <v>77</v>
      </c>
    </row>
    <row r="406" spans="1:4" x14ac:dyDescent="0.2">
      <c r="A406" s="9" t="s">
        <v>18</v>
      </c>
      <c r="B406" s="9" t="s">
        <v>386</v>
      </c>
      <c r="C406" s="9" t="s">
        <v>362</v>
      </c>
      <c r="D406" s="51">
        <v>70</v>
      </c>
    </row>
    <row r="407" spans="1:4" x14ac:dyDescent="0.2">
      <c r="A407" s="9" t="s">
        <v>18</v>
      </c>
      <c r="B407" s="9" t="s">
        <v>385</v>
      </c>
      <c r="C407" s="9" t="s">
        <v>362</v>
      </c>
      <c r="D407" s="51">
        <v>60</v>
      </c>
    </row>
    <row r="408" spans="1:4" x14ac:dyDescent="0.2">
      <c r="A408" s="9" t="s">
        <v>16</v>
      </c>
      <c r="B408" s="9" t="s">
        <v>381</v>
      </c>
      <c r="C408" s="9" t="s">
        <v>362</v>
      </c>
      <c r="D408" s="51">
        <v>49</v>
      </c>
    </row>
    <row r="409" spans="1:4" x14ac:dyDescent="0.2">
      <c r="A409" s="9" t="s">
        <v>16</v>
      </c>
      <c r="B409" s="9" t="s">
        <v>384</v>
      </c>
      <c r="C409" s="9" t="s">
        <v>362</v>
      </c>
      <c r="D409" s="51">
        <v>42</v>
      </c>
    </row>
    <row r="410" spans="1:4" x14ac:dyDescent="0.2">
      <c r="A410" s="9" t="s">
        <v>19</v>
      </c>
      <c r="B410" s="9" t="s">
        <v>382</v>
      </c>
      <c r="C410" s="9" t="s">
        <v>362</v>
      </c>
      <c r="D410" s="51">
        <v>28</v>
      </c>
    </row>
    <row r="411" spans="1:4" x14ac:dyDescent="0.2">
      <c r="A411" s="9" t="s">
        <v>20</v>
      </c>
      <c r="B411" s="9" t="s">
        <v>388</v>
      </c>
      <c r="C411" s="9" t="s">
        <v>362</v>
      </c>
      <c r="D411" s="51">
        <v>14</v>
      </c>
    </row>
    <row r="412" spans="1:4" x14ac:dyDescent="0.2">
      <c r="A412" s="9" t="s">
        <v>20</v>
      </c>
      <c r="B412" s="9" t="s">
        <v>387</v>
      </c>
      <c r="C412" s="9" t="s">
        <v>362</v>
      </c>
      <c r="D412" s="51">
        <v>14</v>
      </c>
    </row>
    <row r="413" spans="1:4" x14ac:dyDescent="0.2">
      <c r="A413" s="9" t="s">
        <v>16</v>
      </c>
      <c r="B413" s="9" t="s">
        <v>392</v>
      </c>
      <c r="C413" s="9" t="s">
        <v>389</v>
      </c>
      <c r="D413" s="51">
        <v>120</v>
      </c>
    </row>
    <row r="414" spans="1:4" x14ac:dyDescent="0.2">
      <c r="A414" s="9" t="s">
        <v>16</v>
      </c>
      <c r="B414" s="9" t="s">
        <v>392</v>
      </c>
      <c r="C414" s="9" t="s">
        <v>389</v>
      </c>
      <c r="D414" s="51">
        <v>120</v>
      </c>
    </row>
    <row r="415" spans="1:4" x14ac:dyDescent="0.2">
      <c r="A415" s="9" t="s">
        <v>16</v>
      </c>
      <c r="B415" s="9" t="s">
        <v>396</v>
      </c>
      <c r="C415" s="9" t="s">
        <v>389</v>
      </c>
      <c r="D415" s="51">
        <v>60</v>
      </c>
    </row>
    <row r="416" spans="1:4" x14ac:dyDescent="0.2">
      <c r="A416" s="9" t="s">
        <v>18</v>
      </c>
      <c r="B416" s="9" t="s">
        <v>393</v>
      </c>
      <c r="C416" s="9" t="s">
        <v>389</v>
      </c>
      <c r="D416" s="51">
        <v>56</v>
      </c>
    </row>
    <row r="417" spans="1:4" x14ac:dyDescent="0.2">
      <c r="A417" s="9" t="s">
        <v>16</v>
      </c>
      <c r="B417" s="9" t="s">
        <v>391</v>
      </c>
      <c r="C417" s="9" t="s">
        <v>389</v>
      </c>
      <c r="D417" s="51">
        <v>51</v>
      </c>
    </row>
    <row r="418" spans="1:4" x14ac:dyDescent="0.2">
      <c r="A418" s="9" t="s">
        <v>18</v>
      </c>
      <c r="B418" s="9" t="s">
        <v>397</v>
      </c>
      <c r="C418" s="9" t="s">
        <v>389</v>
      </c>
      <c r="D418" s="51">
        <v>44</v>
      </c>
    </row>
    <row r="419" spans="1:4" x14ac:dyDescent="0.2">
      <c r="A419" s="9" t="s">
        <v>18</v>
      </c>
      <c r="B419" s="9" t="s">
        <v>395</v>
      </c>
      <c r="C419" s="9" t="s">
        <v>389</v>
      </c>
      <c r="D419" s="51">
        <v>32</v>
      </c>
    </row>
    <row r="420" spans="1:4" x14ac:dyDescent="0.2">
      <c r="A420" s="9" t="s">
        <v>18</v>
      </c>
      <c r="B420" s="9" t="s">
        <v>397</v>
      </c>
      <c r="C420" s="9" t="s">
        <v>389</v>
      </c>
      <c r="D420" s="51">
        <v>23</v>
      </c>
    </row>
    <row r="421" spans="1:4" x14ac:dyDescent="0.2">
      <c r="A421" s="9" t="s">
        <v>18</v>
      </c>
      <c r="B421" s="9" t="s">
        <v>397</v>
      </c>
      <c r="C421" s="9" t="s">
        <v>389</v>
      </c>
      <c r="D421" s="51">
        <v>22</v>
      </c>
    </row>
    <row r="422" spans="1:4" x14ac:dyDescent="0.2">
      <c r="A422" s="9" t="s">
        <v>18</v>
      </c>
      <c r="B422" s="9" t="s">
        <v>394</v>
      </c>
      <c r="C422" s="9" t="s">
        <v>389</v>
      </c>
      <c r="D422" s="51">
        <v>16</v>
      </c>
    </row>
    <row r="423" spans="1:4" x14ac:dyDescent="0.2">
      <c r="A423" s="9" t="s">
        <v>18</v>
      </c>
      <c r="B423" s="9" t="s">
        <v>434</v>
      </c>
      <c r="C423" s="9" t="s">
        <v>389</v>
      </c>
      <c r="D423" s="51">
        <v>16</v>
      </c>
    </row>
    <row r="424" spans="1:4" x14ac:dyDescent="0.2">
      <c r="A424" s="9" t="s">
        <v>18</v>
      </c>
      <c r="B424" s="9" t="s">
        <v>398</v>
      </c>
      <c r="C424" s="9" t="s">
        <v>389</v>
      </c>
      <c r="D424" s="51">
        <v>10</v>
      </c>
    </row>
    <row r="425" spans="1:4" x14ac:dyDescent="0.2">
      <c r="A425" s="9" t="s">
        <v>16</v>
      </c>
      <c r="B425" s="9" t="s">
        <v>391</v>
      </c>
      <c r="C425" s="9" t="s">
        <v>389</v>
      </c>
      <c r="D425" s="51">
        <v>7</v>
      </c>
    </row>
    <row r="426" spans="1:4" x14ac:dyDescent="0.2">
      <c r="A426" s="9" t="s">
        <v>18</v>
      </c>
      <c r="B426" s="9" t="s">
        <v>390</v>
      </c>
      <c r="C426" s="9" t="s">
        <v>389</v>
      </c>
      <c r="D426" s="51">
        <v>7</v>
      </c>
    </row>
    <row r="427" spans="1:4" x14ac:dyDescent="0.2">
      <c r="A427" s="9" t="s">
        <v>17</v>
      </c>
      <c r="B427" s="9" t="s">
        <v>471</v>
      </c>
      <c r="C427" s="9" t="s">
        <v>446</v>
      </c>
      <c r="D427" s="51">
        <v>6</v>
      </c>
    </row>
    <row r="428" spans="1:4" x14ac:dyDescent="0.2">
      <c r="A428" s="9" t="s">
        <v>16</v>
      </c>
      <c r="B428" s="9" t="s">
        <v>445</v>
      </c>
      <c r="C428" s="9" t="s">
        <v>446</v>
      </c>
      <c r="D428" s="51">
        <v>5</v>
      </c>
    </row>
    <row r="429" spans="1:4" x14ac:dyDescent="0.2">
      <c r="A429" s="9" t="s">
        <v>16</v>
      </c>
      <c r="B429" s="9" t="s">
        <v>472</v>
      </c>
      <c r="C429" s="9" t="s">
        <v>447</v>
      </c>
      <c r="D429" s="51">
        <v>30</v>
      </c>
    </row>
    <row r="430" spans="1:4" x14ac:dyDescent="0.2">
      <c r="A430" s="9" t="s">
        <v>16</v>
      </c>
      <c r="B430" s="9" t="s">
        <v>473</v>
      </c>
      <c r="C430" s="9" t="s">
        <v>447</v>
      </c>
      <c r="D430" s="51">
        <v>24</v>
      </c>
    </row>
    <row r="431" spans="1:4" x14ac:dyDescent="0.2">
      <c r="A431" s="9" t="s">
        <v>16</v>
      </c>
      <c r="B431" s="9" t="s">
        <v>474</v>
      </c>
      <c r="C431" s="9" t="s">
        <v>447</v>
      </c>
      <c r="D431" s="51">
        <v>8</v>
      </c>
    </row>
    <row r="432" spans="1:4" x14ac:dyDescent="0.2">
      <c r="A432" s="9" t="s">
        <v>16</v>
      </c>
      <c r="B432" s="9" t="s">
        <v>448</v>
      </c>
      <c r="C432" s="9" t="s">
        <v>447</v>
      </c>
      <c r="D432" s="51">
        <v>8</v>
      </c>
    </row>
    <row r="433" spans="1:4" x14ac:dyDescent="0.2">
      <c r="A433" s="9" t="s">
        <v>17</v>
      </c>
      <c r="B433" s="9" t="s">
        <v>475</v>
      </c>
      <c r="C433" s="9" t="s">
        <v>476</v>
      </c>
      <c r="D433" s="51">
        <v>4</v>
      </c>
    </row>
    <row r="434" spans="1:4" x14ac:dyDescent="0.2">
      <c r="A434" s="9" t="s">
        <v>18</v>
      </c>
      <c r="B434" s="9" t="s">
        <v>318</v>
      </c>
      <c r="C434" s="9" t="s">
        <v>29</v>
      </c>
      <c r="D434" s="51">
        <v>6685</v>
      </c>
    </row>
    <row r="435" spans="1:4" x14ac:dyDescent="0.2">
      <c r="A435" s="9" t="s">
        <v>18</v>
      </c>
      <c r="B435" s="9" t="s">
        <v>435</v>
      </c>
      <c r="C435" s="9" t="s">
        <v>29</v>
      </c>
      <c r="D435" s="51">
        <v>4165</v>
      </c>
    </row>
    <row r="436" spans="1:4" x14ac:dyDescent="0.2">
      <c r="A436" s="9" t="s">
        <v>16</v>
      </c>
      <c r="B436" s="9" t="s">
        <v>193</v>
      </c>
      <c r="C436" s="9" t="s">
        <v>29</v>
      </c>
      <c r="D436" s="51">
        <v>3933</v>
      </c>
    </row>
    <row r="437" spans="1:4" x14ac:dyDescent="0.2">
      <c r="A437" s="9" t="s">
        <v>18</v>
      </c>
      <c r="B437" s="9" t="s">
        <v>318</v>
      </c>
      <c r="C437" s="9" t="s">
        <v>29</v>
      </c>
      <c r="D437" s="51">
        <v>3800</v>
      </c>
    </row>
    <row r="438" spans="1:4" x14ac:dyDescent="0.2">
      <c r="A438" s="9" t="s">
        <v>18</v>
      </c>
      <c r="B438" s="9" t="s">
        <v>318</v>
      </c>
      <c r="C438" s="9" t="s">
        <v>29</v>
      </c>
      <c r="D438" s="51">
        <v>3620</v>
      </c>
    </row>
    <row r="439" spans="1:4" x14ac:dyDescent="0.2">
      <c r="A439" s="9" t="s">
        <v>18</v>
      </c>
      <c r="B439" s="9" t="s">
        <v>187</v>
      </c>
      <c r="C439" s="9" t="s">
        <v>29</v>
      </c>
      <c r="D439" s="51">
        <v>3564</v>
      </c>
    </row>
    <row r="440" spans="1:4" x14ac:dyDescent="0.2">
      <c r="A440" s="9" t="s">
        <v>18</v>
      </c>
      <c r="B440" s="9" t="s">
        <v>318</v>
      </c>
      <c r="C440" s="9" t="s">
        <v>29</v>
      </c>
      <c r="D440" s="51">
        <v>3520</v>
      </c>
    </row>
    <row r="441" spans="1:4" x14ac:dyDescent="0.2">
      <c r="A441" s="9" t="s">
        <v>18</v>
      </c>
      <c r="B441" s="9" t="s">
        <v>318</v>
      </c>
      <c r="C441" s="9" t="s">
        <v>29</v>
      </c>
      <c r="D441" s="51">
        <v>3520</v>
      </c>
    </row>
    <row r="442" spans="1:4" x14ac:dyDescent="0.2">
      <c r="A442" s="9" t="s">
        <v>18</v>
      </c>
      <c r="B442" s="9" t="s">
        <v>188</v>
      </c>
      <c r="C442" s="9" t="s">
        <v>29</v>
      </c>
      <c r="D442" s="51">
        <v>3432</v>
      </c>
    </row>
    <row r="443" spans="1:4" x14ac:dyDescent="0.2">
      <c r="A443" s="9" t="s">
        <v>17</v>
      </c>
      <c r="B443" s="9" t="s">
        <v>186</v>
      </c>
      <c r="C443" s="9" t="s">
        <v>29</v>
      </c>
      <c r="D443" s="51">
        <v>2834</v>
      </c>
    </row>
    <row r="444" spans="1:4" x14ac:dyDescent="0.2">
      <c r="A444" s="9" t="s">
        <v>16</v>
      </c>
      <c r="B444" s="9" t="s">
        <v>185</v>
      </c>
      <c r="C444" s="9" t="s">
        <v>29</v>
      </c>
      <c r="D444" s="51">
        <v>2445</v>
      </c>
    </row>
    <row r="445" spans="1:4" x14ac:dyDescent="0.2">
      <c r="A445" s="9" t="s">
        <v>16</v>
      </c>
      <c r="B445" s="9" t="s">
        <v>182</v>
      </c>
      <c r="C445" s="9" t="s">
        <v>29</v>
      </c>
      <c r="D445" s="51">
        <v>2300</v>
      </c>
    </row>
    <row r="446" spans="1:4" x14ac:dyDescent="0.2">
      <c r="A446" s="9" t="s">
        <v>18</v>
      </c>
      <c r="B446" s="9" t="s">
        <v>187</v>
      </c>
      <c r="C446" s="9" t="s">
        <v>29</v>
      </c>
      <c r="D446" s="51">
        <v>2244</v>
      </c>
    </row>
    <row r="447" spans="1:4" x14ac:dyDescent="0.2">
      <c r="A447" s="9" t="s">
        <v>18</v>
      </c>
      <c r="B447" s="9" t="s">
        <v>181</v>
      </c>
      <c r="C447" s="9" t="s">
        <v>29</v>
      </c>
      <c r="D447" s="51">
        <v>2185</v>
      </c>
    </row>
    <row r="448" spans="1:4" x14ac:dyDescent="0.2">
      <c r="A448" s="9" t="s">
        <v>16</v>
      </c>
      <c r="B448" s="9" t="s">
        <v>189</v>
      </c>
      <c r="C448" s="9" t="s">
        <v>29</v>
      </c>
      <c r="D448" s="51">
        <v>1648</v>
      </c>
    </row>
    <row r="449" spans="1:4" x14ac:dyDescent="0.2">
      <c r="A449" s="9" t="s">
        <v>18</v>
      </c>
      <c r="B449" s="9" t="s">
        <v>192</v>
      </c>
      <c r="C449" s="9" t="s">
        <v>29</v>
      </c>
      <c r="D449" s="51">
        <v>1629</v>
      </c>
    </row>
    <row r="450" spans="1:4" x14ac:dyDescent="0.2">
      <c r="A450" s="9" t="s">
        <v>18</v>
      </c>
      <c r="B450" s="9" t="s">
        <v>318</v>
      </c>
      <c r="C450" s="9" t="s">
        <v>29</v>
      </c>
      <c r="D450" s="51">
        <v>1600</v>
      </c>
    </row>
    <row r="451" spans="1:4" x14ac:dyDescent="0.2">
      <c r="A451" s="9" t="s">
        <v>18</v>
      </c>
      <c r="B451" s="9" t="s">
        <v>183</v>
      </c>
      <c r="C451" s="9" t="s">
        <v>29</v>
      </c>
      <c r="D451" s="51">
        <v>1353</v>
      </c>
    </row>
    <row r="452" spans="1:4" x14ac:dyDescent="0.2">
      <c r="A452" s="9" t="s">
        <v>18</v>
      </c>
      <c r="B452" s="9" t="s">
        <v>318</v>
      </c>
      <c r="C452" s="9" t="s">
        <v>29</v>
      </c>
      <c r="D452" s="51">
        <v>1068</v>
      </c>
    </row>
    <row r="453" spans="1:4" x14ac:dyDescent="0.2">
      <c r="A453" s="9" t="s">
        <v>18</v>
      </c>
      <c r="B453" s="9" t="s">
        <v>192</v>
      </c>
      <c r="C453" s="9" t="s">
        <v>29</v>
      </c>
      <c r="D453" s="51">
        <v>1056</v>
      </c>
    </row>
    <row r="454" spans="1:4" x14ac:dyDescent="0.2">
      <c r="A454" s="9" t="s">
        <v>16</v>
      </c>
      <c r="B454" s="9" t="s">
        <v>319</v>
      </c>
      <c r="C454" s="9" t="s">
        <v>29</v>
      </c>
      <c r="D454" s="51">
        <v>1050</v>
      </c>
    </row>
    <row r="455" spans="1:4" x14ac:dyDescent="0.2">
      <c r="A455" s="9" t="s">
        <v>18</v>
      </c>
      <c r="B455" s="9" t="s">
        <v>183</v>
      </c>
      <c r="C455" s="9" t="s">
        <v>29</v>
      </c>
      <c r="D455" s="51">
        <v>1012</v>
      </c>
    </row>
    <row r="456" spans="1:4" x14ac:dyDescent="0.2">
      <c r="A456" s="9" t="s">
        <v>16</v>
      </c>
      <c r="B456" s="9" t="s">
        <v>182</v>
      </c>
      <c r="C456" s="9" t="s">
        <v>29</v>
      </c>
      <c r="D456" s="51">
        <v>984</v>
      </c>
    </row>
    <row r="457" spans="1:4" x14ac:dyDescent="0.2">
      <c r="A457" s="9" t="s">
        <v>18</v>
      </c>
      <c r="B457" s="9" t="s">
        <v>190</v>
      </c>
      <c r="C457" s="9" t="s">
        <v>29</v>
      </c>
      <c r="D457" s="51">
        <v>873</v>
      </c>
    </row>
    <row r="458" spans="1:4" x14ac:dyDescent="0.2">
      <c r="A458" s="9" t="s">
        <v>18</v>
      </c>
      <c r="B458" s="9" t="s">
        <v>188</v>
      </c>
      <c r="C458" s="9" t="s">
        <v>29</v>
      </c>
      <c r="D458" s="51">
        <v>850</v>
      </c>
    </row>
    <row r="459" spans="1:4" x14ac:dyDescent="0.2">
      <c r="A459" s="9" t="s">
        <v>16</v>
      </c>
      <c r="B459" s="9" t="s">
        <v>180</v>
      </c>
      <c r="C459" s="9" t="s">
        <v>29</v>
      </c>
      <c r="D459" s="51">
        <v>518</v>
      </c>
    </row>
    <row r="460" spans="1:4" x14ac:dyDescent="0.2">
      <c r="A460" s="9" t="s">
        <v>18</v>
      </c>
      <c r="B460" s="9" t="s">
        <v>184</v>
      </c>
      <c r="C460" s="9" t="s">
        <v>29</v>
      </c>
      <c r="D460" s="51">
        <v>497</v>
      </c>
    </row>
    <row r="461" spans="1:4" x14ac:dyDescent="0.2">
      <c r="A461" s="9" t="s">
        <v>19</v>
      </c>
      <c r="B461" s="9" t="s">
        <v>197</v>
      </c>
      <c r="C461" s="9" t="s">
        <v>29</v>
      </c>
      <c r="D461" s="51">
        <v>366</v>
      </c>
    </row>
    <row r="462" spans="1:4" x14ac:dyDescent="0.2">
      <c r="A462" s="9" t="s">
        <v>20</v>
      </c>
      <c r="B462" s="9" t="s">
        <v>191</v>
      </c>
      <c r="C462" s="9" t="s">
        <v>29</v>
      </c>
      <c r="D462" s="51">
        <v>356</v>
      </c>
    </row>
    <row r="463" spans="1:4" x14ac:dyDescent="0.2">
      <c r="A463" s="9" t="s">
        <v>16</v>
      </c>
      <c r="B463" s="9" t="s">
        <v>196</v>
      </c>
      <c r="C463" s="9" t="s">
        <v>29</v>
      </c>
      <c r="D463" s="51">
        <v>350</v>
      </c>
    </row>
    <row r="464" spans="1:4" x14ac:dyDescent="0.2">
      <c r="A464" s="9" t="s">
        <v>18</v>
      </c>
      <c r="B464" s="9" t="s">
        <v>194</v>
      </c>
      <c r="C464" s="9" t="s">
        <v>29</v>
      </c>
      <c r="D464" s="51">
        <v>316</v>
      </c>
    </row>
    <row r="465" spans="1:4" x14ac:dyDescent="0.2">
      <c r="A465" s="9" t="s">
        <v>17</v>
      </c>
      <c r="B465" s="9" t="s">
        <v>477</v>
      </c>
      <c r="C465" s="9" t="s">
        <v>29</v>
      </c>
      <c r="D465" s="51">
        <v>296</v>
      </c>
    </row>
    <row r="466" spans="1:4" x14ac:dyDescent="0.2">
      <c r="A466" s="9" t="s">
        <v>16</v>
      </c>
      <c r="B466" s="9" t="s">
        <v>195</v>
      </c>
      <c r="C466" s="9" t="s">
        <v>29</v>
      </c>
      <c r="D466" s="51">
        <v>204</v>
      </c>
    </row>
    <row r="467" spans="1:4" x14ac:dyDescent="0.2">
      <c r="A467" s="9" t="s">
        <v>20</v>
      </c>
      <c r="B467" s="9" t="s">
        <v>320</v>
      </c>
      <c r="C467" s="9" t="s">
        <v>29</v>
      </c>
      <c r="D467" s="51">
        <v>188</v>
      </c>
    </row>
    <row r="468" spans="1:4" x14ac:dyDescent="0.2">
      <c r="A468" s="9" t="s">
        <v>18</v>
      </c>
      <c r="B468" s="9" t="s">
        <v>184</v>
      </c>
      <c r="C468" s="9" t="s">
        <v>29</v>
      </c>
      <c r="D468" s="51">
        <v>128</v>
      </c>
    </row>
    <row r="469" spans="1:4" x14ac:dyDescent="0.2">
      <c r="A469" s="9" t="s">
        <v>16</v>
      </c>
      <c r="B469" s="9" t="s">
        <v>478</v>
      </c>
      <c r="C469" s="9" t="s">
        <v>29</v>
      </c>
      <c r="D469" s="51">
        <v>18</v>
      </c>
    </row>
    <row r="470" spans="1:4" x14ac:dyDescent="0.2">
      <c r="A470" s="9" t="s">
        <v>16</v>
      </c>
      <c r="B470" s="9" t="s">
        <v>399</v>
      </c>
      <c r="C470" s="9" t="s">
        <v>400</v>
      </c>
      <c r="D470" s="51">
        <v>9</v>
      </c>
    </row>
    <row r="471" spans="1:4" x14ac:dyDescent="0.2">
      <c r="A471" s="9" t="s">
        <v>17</v>
      </c>
      <c r="B471" s="9" t="s">
        <v>401</v>
      </c>
      <c r="C471" s="9" t="s">
        <v>402</v>
      </c>
      <c r="D471" s="51">
        <v>40</v>
      </c>
    </row>
    <row r="472" spans="1:4" x14ac:dyDescent="0.2">
      <c r="A472" s="9" t="s">
        <v>18</v>
      </c>
      <c r="B472" s="9" t="s">
        <v>403</v>
      </c>
      <c r="C472" s="9" t="s">
        <v>402</v>
      </c>
      <c r="D472" s="51">
        <v>26</v>
      </c>
    </row>
    <row r="473" spans="1:4" x14ac:dyDescent="0.2">
      <c r="A473" s="9" t="s">
        <v>17</v>
      </c>
      <c r="B473" s="9" t="s">
        <v>401</v>
      </c>
      <c r="C473" s="9" t="s">
        <v>402</v>
      </c>
      <c r="D473" s="51">
        <v>20</v>
      </c>
    </row>
    <row r="474" spans="1:4" x14ac:dyDescent="0.2">
      <c r="A474" s="9" t="s">
        <v>18</v>
      </c>
      <c r="B474" s="9" t="s">
        <v>403</v>
      </c>
      <c r="C474" s="9" t="s">
        <v>402</v>
      </c>
      <c r="D474" s="51">
        <v>20</v>
      </c>
    </row>
    <row r="475" spans="1:4" x14ac:dyDescent="0.2">
      <c r="A475" s="9" t="s">
        <v>18</v>
      </c>
      <c r="B475" s="9" t="s">
        <v>403</v>
      </c>
      <c r="C475" s="9" t="s">
        <v>402</v>
      </c>
      <c r="D475" s="51">
        <v>20</v>
      </c>
    </row>
    <row r="476" spans="1:4" x14ac:dyDescent="0.2">
      <c r="A476" s="9" t="s">
        <v>17</v>
      </c>
      <c r="B476" s="9" t="s">
        <v>479</v>
      </c>
      <c r="C476" s="9" t="s">
        <v>402</v>
      </c>
      <c r="D476" s="51">
        <v>3</v>
      </c>
    </row>
    <row r="477" spans="1:4" x14ac:dyDescent="0.2">
      <c r="A477" s="9" t="s">
        <v>17</v>
      </c>
      <c r="B477" s="9" t="s">
        <v>321</v>
      </c>
      <c r="C477" s="9" t="s">
        <v>12</v>
      </c>
      <c r="D477" s="51">
        <v>6293</v>
      </c>
    </row>
    <row r="478" spans="1:4" x14ac:dyDescent="0.2">
      <c r="A478" s="9" t="s">
        <v>17</v>
      </c>
      <c r="B478" s="9" t="s">
        <v>321</v>
      </c>
      <c r="C478" s="9" t="s">
        <v>12</v>
      </c>
      <c r="D478" s="51">
        <v>5712</v>
      </c>
    </row>
    <row r="479" spans="1:4" x14ac:dyDescent="0.2">
      <c r="A479" s="9" t="s">
        <v>18</v>
      </c>
      <c r="B479" s="9" t="s">
        <v>313</v>
      </c>
      <c r="C479" s="9" t="s">
        <v>12</v>
      </c>
      <c r="D479" s="51">
        <v>5382</v>
      </c>
    </row>
    <row r="480" spans="1:4" x14ac:dyDescent="0.2">
      <c r="A480" s="9" t="s">
        <v>17</v>
      </c>
      <c r="B480" s="9" t="s">
        <v>321</v>
      </c>
      <c r="C480" s="9" t="s">
        <v>12</v>
      </c>
      <c r="D480" s="51">
        <v>4185</v>
      </c>
    </row>
    <row r="481" spans="1:4" x14ac:dyDescent="0.2">
      <c r="A481" s="9" t="s">
        <v>18</v>
      </c>
      <c r="B481" s="9" t="s">
        <v>313</v>
      </c>
      <c r="C481" s="9" t="s">
        <v>12</v>
      </c>
      <c r="D481" s="51">
        <v>3540</v>
      </c>
    </row>
    <row r="482" spans="1:4" x14ac:dyDescent="0.2">
      <c r="A482" s="9" t="s">
        <v>18</v>
      </c>
      <c r="B482" s="9" t="s">
        <v>198</v>
      </c>
      <c r="C482" s="9" t="s">
        <v>12</v>
      </c>
      <c r="D482" s="51">
        <v>3190</v>
      </c>
    </row>
    <row r="483" spans="1:4" x14ac:dyDescent="0.2">
      <c r="A483" s="9" t="s">
        <v>18</v>
      </c>
      <c r="B483" s="9" t="s">
        <v>313</v>
      </c>
      <c r="C483" s="9" t="s">
        <v>12</v>
      </c>
      <c r="D483" s="51">
        <v>2720</v>
      </c>
    </row>
    <row r="484" spans="1:4" x14ac:dyDescent="0.2">
      <c r="A484" s="9" t="s">
        <v>17</v>
      </c>
      <c r="B484" s="9" t="s">
        <v>204</v>
      </c>
      <c r="C484" s="9" t="s">
        <v>12</v>
      </c>
      <c r="D484" s="51">
        <v>2691</v>
      </c>
    </row>
    <row r="485" spans="1:4" x14ac:dyDescent="0.2">
      <c r="A485" s="9" t="s">
        <v>18</v>
      </c>
      <c r="B485" s="9" t="s">
        <v>313</v>
      </c>
      <c r="C485" s="9" t="s">
        <v>12</v>
      </c>
      <c r="D485" s="51">
        <v>2522</v>
      </c>
    </row>
    <row r="486" spans="1:4" x14ac:dyDescent="0.2">
      <c r="A486" s="9" t="s">
        <v>18</v>
      </c>
      <c r="B486" s="9" t="s">
        <v>202</v>
      </c>
      <c r="C486" s="9" t="s">
        <v>12</v>
      </c>
      <c r="D486" s="51">
        <v>2112</v>
      </c>
    </row>
    <row r="487" spans="1:4" x14ac:dyDescent="0.2">
      <c r="A487" s="9" t="s">
        <v>18</v>
      </c>
      <c r="B487" s="9" t="s">
        <v>199</v>
      </c>
      <c r="C487" s="9" t="s">
        <v>12</v>
      </c>
      <c r="D487" s="51">
        <v>1988</v>
      </c>
    </row>
    <row r="488" spans="1:4" x14ac:dyDescent="0.2">
      <c r="A488" s="9" t="s">
        <v>18</v>
      </c>
      <c r="B488" s="9" t="s">
        <v>313</v>
      </c>
      <c r="C488" s="9" t="s">
        <v>12</v>
      </c>
      <c r="D488" s="51">
        <v>1850</v>
      </c>
    </row>
    <row r="489" spans="1:4" x14ac:dyDescent="0.2">
      <c r="A489" s="9" t="s">
        <v>18</v>
      </c>
      <c r="B489" s="9" t="s">
        <v>318</v>
      </c>
      <c r="C489" s="9" t="s">
        <v>12</v>
      </c>
      <c r="D489" s="51">
        <v>1725</v>
      </c>
    </row>
    <row r="490" spans="1:4" x14ac:dyDescent="0.2">
      <c r="A490" s="9" t="s">
        <v>16</v>
      </c>
      <c r="B490" s="9" t="s">
        <v>322</v>
      </c>
      <c r="C490" s="9" t="s">
        <v>12</v>
      </c>
      <c r="D490" s="51">
        <v>1596</v>
      </c>
    </row>
    <row r="491" spans="1:4" x14ac:dyDescent="0.2">
      <c r="A491" s="9" t="s">
        <v>18</v>
      </c>
      <c r="B491" s="9" t="s">
        <v>201</v>
      </c>
      <c r="C491" s="9" t="s">
        <v>12</v>
      </c>
      <c r="D491" s="51">
        <v>1440</v>
      </c>
    </row>
    <row r="492" spans="1:4" x14ac:dyDescent="0.2">
      <c r="A492" s="9" t="s">
        <v>18</v>
      </c>
      <c r="B492" s="9" t="s">
        <v>200</v>
      </c>
      <c r="C492" s="9" t="s">
        <v>12</v>
      </c>
      <c r="D492" s="51">
        <v>1435</v>
      </c>
    </row>
    <row r="493" spans="1:4" x14ac:dyDescent="0.2">
      <c r="A493" s="9" t="s">
        <v>18</v>
      </c>
      <c r="B493" s="9" t="s">
        <v>201</v>
      </c>
      <c r="C493" s="9" t="s">
        <v>12</v>
      </c>
      <c r="D493" s="51">
        <v>1104</v>
      </c>
    </row>
    <row r="494" spans="1:4" x14ac:dyDescent="0.2">
      <c r="A494" s="9" t="s">
        <v>18</v>
      </c>
      <c r="B494" s="9" t="s">
        <v>199</v>
      </c>
      <c r="C494" s="9" t="s">
        <v>12</v>
      </c>
      <c r="D494" s="51">
        <v>756</v>
      </c>
    </row>
    <row r="495" spans="1:4" x14ac:dyDescent="0.2">
      <c r="A495" s="9" t="s">
        <v>18</v>
      </c>
      <c r="B495" s="9" t="s">
        <v>205</v>
      </c>
      <c r="C495" s="9" t="s">
        <v>12</v>
      </c>
      <c r="D495" s="51">
        <v>640</v>
      </c>
    </row>
    <row r="496" spans="1:4" x14ac:dyDescent="0.2">
      <c r="A496" s="9" t="s">
        <v>17</v>
      </c>
      <c r="B496" s="9" t="s">
        <v>203</v>
      </c>
      <c r="C496" s="9" t="s">
        <v>12</v>
      </c>
      <c r="D496" s="51">
        <v>632</v>
      </c>
    </row>
    <row r="497" spans="1:4" x14ac:dyDescent="0.2">
      <c r="A497" s="9" t="s">
        <v>17</v>
      </c>
      <c r="B497" s="9" t="s">
        <v>206</v>
      </c>
      <c r="C497" s="9" t="s">
        <v>12</v>
      </c>
      <c r="D497" s="51">
        <v>16</v>
      </c>
    </row>
    <row r="498" spans="1:4" x14ac:dyDescent="0.2">
      <c r="A498" s="9" t="s">
        <v>16</v>
      </c>
      <c r="B498" s="9" t="s">
        <v>436</v>
      </c>
      <c r="C498" s="9" t="s">
        <v>12</v>
      </c>
      <c r="D498" s="51">
        <v>14</v>
      </c>
    </row>
    <row r="499" spans="1:4" x14ac:dyDescent="0.2">
      <c r="A499" s="9" t="s">
        <v>18</v>
      </c>
      <c r="B499" s="9" t="s">
        <v>210</v>
      </c>
      <c r="C499" s="9" t="s">
        <v>7</v>
      </c>
      <c r="D499" s="51">
        <v>600</v>
      </c>
    </row>
    <row r="500" spans="1:4" x14ac:dyDescent="0.2">
      <c r="A500" s="9" t="s">
        <v>18</v>
      </c>
      <c r="B500" s="9" t="s">
        <v>218</v>
      </c>
      <c r="C500" s="9" t="s">
        <v>7</v>
      </c>
      <c r="D500" s="51">
        <v>513</v>
      </c>
    </row>
    <row r="501" spans="1:4" x14ac:dyDescent="0.2">
      <c r="A501" s="9" t="s">
        <v>17</v>
      </c>
      <c r="B501" s="9" t="s">
        <v>335</v>
      </c>
      <c r="C501" s="9" t="s">
        <v>7</v>
      </c>
      <c r="D501" s="51">
        <v>450</v>
      </c>
    </row>
    <row r="502" spans="1:4" x14ac:dyDescent="0.2">
      <c r="A502" s="9" t="s">
        <v>18</v>
      </c>
      <c r="B502" s="9" t="s">
        <v>207</v>
      </c>
      <c r="C502" s="9" t="s">
        <v>7</v>
      </c>
      <c r="D502" s="51">
        <v>441</v>
      </c>
    </row>
    <row r="503" spans="1:4" x14ac:dyDescent="0.2">
      <c r="A503" s="9" t="s">
        <v>18</v>
      </c>
      <c r="B503" s="9" t="s">
        <v>227</v>
      </c>
      <c r="C503" s="9" t="s">
        <v>7</v>
      </c>
      <c r="D503" s="51">
        <v>420</v>
      </c>
    </row>
    <row r="504" spans="1:4" x14ac:dyDescent="0.2">
      <c r="A504" s="9" t="s">
        <v>16</v>
      </c>
      <c r="B504" s="9" t="s">
        <v>240</v>
      </c>
      <c r="C504" s="9" t="s">
        <v>7</v>
      </c>
      <c r="D504" s="51">
        <v>368</v>
      </c>
    </row>
    <row r="505" spans="1:4" x14ac:dyDescent="0.2">
      <c r="A505" s="9" t="s">
        <v>18</v>
      </c>
      <c r="B505" s="9" t="s">
        <v>211</v>
      </c>
      <c r="C505" s="9" t="s">
        <v>7</v>
      </c>
      <c r="D505" s="51">
        <v>368</v>
      </c>
    </row>
    <row r="506" spans="1:4" x14ac:dyDescent="0.2">
      <c r="A506" s="9" t="s">
        <v>17</v>
      </c>
      <c r="B506" s="9" t="s">
        <v>335</v>
      </c>
      <c r="C506" s="9" t="s">
        <v>7</v>
      </c>
      <c r="D506" s="51">
        <v>368</v>
      </c>
    </row>
    <row r="507" spans="1:4" x14ac:dyDescent="0.2">
      <c r="A507" s="9" t="s">
        <v>18</v>
      </c>
      <c r="B507" s="9" t="s">
        <v>227</v>
      </c>
      <c r="C507" s="9" t="s">
        <v>7</v>
      </c>
      <c r="D507" s="51">
        <v>364</v>
      </c>
    </row>
    <row r="508" spans="1:4" x14ac:dyDescent="0.2">
      <c r="A508" s="9" t="s">
        <v>18</v>
      </c>
      <c r="B508" s="9" t="s">
        <v>215</v>
      </c>
      <c r="C508" s="9" t="s">
        <v>7</v>
      </c>
      <c r="D508" s="51">
        <v>328</v>
      </c>
    </row>
    <row r="509" spans="1:4" x14ac:dyDescent="0.2">
      <c r="A509" s="9" t="s">
        <v>18</v>
      </c>
      <c r="B509" s="9" t="s">
        <v>249</v>
      </c>
      <c r="C509" s="9" t="s">
        <v>7</v>
      </c>
      <c r="D509" s="51">
        <v>324</v>
      </c>
    </row>
    <row r="510" spans="1:4" x14ac:dyDescent="0.2">
      <c r="A510" s="9" t="s">
        <v>16</v>
      </c>
      <c r="B510" s="9" t="s">
        <v>240</v>
      </c>
      <c r="C510" s="9" t="s">
        <v>7</v>
      </c>
      <c r="D510" s="51">
        <v>322</v>
      </c>
    </row>
    <row r="511" spans="1:4" x14ac:dyDescent="0.2">
      <c r="A511" s="9" t="s">
        <v>18</v>
      </c>
      <c r="B511" s="9" t="s">
        <v>211</v>
      </c>
      <c r="C511" s="9" t="s">
        <v>7</v>
      </c>
      <c r="D511" s="51">
        <v>270</v>
      </c>
    </row>
    <row r="512" spans="1:4" x14ac:dyDescent="0.2">
      <c r="A512" s="9" t="s">
        <v>18</v>
      </c>
      <c r="B512" s="9" t="s">
        <v>336</v>
      </c>
      <c r="C512" s="9" t="s">
        <v>7</v>
      </c>
      <c r="D512" s="51">
        <v>264</v>
      </c>
    </row>
    <row r="513" spans="1:4" x14ac:dyDescent="0.2">
      <c r="A513" s="9" t="s">
        <v>17</v>
      </c>
      <c r="B513" s="9" t="s">
        <v>335</v>
      </c>
      <c r="C513" s="9" t="s">
        <v>7</v>
      </c>
      <c r="D513" s="51">
        <v>248</v>
      </c>
    </row>
    <row r="514" spans="1:4" x14ac:dyDescent="0.2">
      <c r="A514" s="9" t="s">
        <v>17</v>
      </c>
      <c r="B514" s="9" t="s">
        <v>213</v>
      </c>
      <c r="C514" s="9" t="s">
        <v>7</v>
      </c>
      <c r="D514" s="51">
        <v>234</v>
      </c>
    </row>
    <row r="515" spans="1:4" x14ac:dyDescent="0.2">
      <c r="A515" s="9" t="s">
        <v>17</v>
      </c>
      <c r="B515" s="9" t="s">
        <v>331</v>
      </c>
      <c r="C515" s="9" t="s">
        <v>7</v>
      </c>
      <c r="D515" s="51">
        <v>234</v>
      </c>
    </row>
    <row r="516" spans="1:4" x14ac:dyDescent="0.2">
      <c r="A516" s="9" t="s">
        <v>18</v>
      </c>
      <c r="B516" s="9" t="s">
        <v>216</v>
      </c>
      <c r="C516" s="9" t="s">
        <v>7</v>
      </c>
      <c r="D516" s="51">
        <v>230</v>
      </c>
    </row>
    <row r="517" spans="1:4" x14ac:dyDescent="0.2">
      <c r="A517" s="9" t="s">
        <v>18</v>
      </c>
      <c r="B517" s="9" t="s">
        <v>214</v>
      </c>
      <c r="C517" s="9" t="s">
        <v>7</v>
      </c>
      <c r="D517" s="51">
        <v>217</v>
      </c>
    </row>
    <row r="518" spans="1:4" x14ac:dyDescent="0.2">
      <c r="A518" s="9" t="s">
        <v>17</v>
      </c>
      <c r="B518" s="9" t="s">
        <v>213</v>
      </c>
      <c r="C518" s="9" t="s">
        <v>7</v>
      </c>
      <c r="D518" s="51">
        <v>208</v>
      </c>
    </row>
    <row r="519" spans="1:4" x14ac:dyDescent="0.2">
      <c r="A519" s="9" t="s">
        <v>17</v>
      </c>
      <c r="B519" s="9" t="s">
        <v>331</v>
      </c>
      <c r="C519" s="9" t="s">
        <v>7</v>
      </c>
      <c r="D519" s="51">
        <v>208</v>
      </c>
    </row>
    <row r="520" spans="1:4" x14ac:dyDescent="0.2">
      <c r="A520" s="9" t="s">
        <v>18</v>
      </c>
      <c r="B520" s="9" t="s">
        <v>212</v>
      </c>
      <c r="C520" s="9" t="s">
        <v>7</v>
      </c>
      <c r="D520" s="51">
        <v>207</v>
      </c>
    </row>
    <row r="521" spans="1:4" x14ac:dyDescent="0.2">
      <c r="A521" s="9" t="s">
        <v>18</v>
      </c>
      <c r="B521" s="9" t="s">
        <v>328</v>
      </c>
      <c r="C521" s="9" t="s">
        <v>7</v>
      </c>
      <c r="D521" s="51">
        <v>204</v>
      </c>
    </row>
    <row r="522" spans="1:4" x14ac:dyDescent="0.2">
      <c r="A522" s="9" t="s">
        <v>18</v>
      </c>
      <c r="B522" s="9" t="s">
        <v>239</v>
      </c>
      <c r="C522" s="9" t="s">
        <v>7</v>
      </c>
      <c r="D522" s="51">
        <v>203</v>
      </c>
    </row>
    <row r="523" spans="1:4" x14ac:dyDescent="0.2">
      <c r="A523" s="9" t="s">
        <v>18</v>
      </c>
      <c r="B523" s="9" t="s">
        <v>330</v>
      </c>
      <c r="C523" s="9" t="s">
        <v>7</v>
      </c>
      <c r="D523" s="51">
        <v>192</v>
      </c>
    </row>
    <row r="524" spans="1:4" x14ac:dyDescent="0.2">
      <c r="A524" s="9" t="s">
        <v>17</v>
      </c>
      <c r="B524" s="9" t="s">
        <v>326</v>
      </c>
      <c r="C524" s="9" t="s">
        <v>7</v>
      </c>
      <c r="D524" s="51">
        <v>189</v>
      </c>
    </row>
    <row r="525" spans="1:4" x14ac:dyDescent="0.2">
      <c r="A525" s="9" t="s">
        <v>17</v>
      </c>
      <c r="B525" s="9" t="s">
        <v>326</v>
      </c>
      <c r="C525" s="9" t="s">
        <v>7</v>
      </c>
      <c r="D525" s="51">
        <v>189</v>
      </c>
    </row>
    <row r="526" spans="1:4" x14ac:dyDescent="0.2">
      <c r="A526" s="9" t="s">
        <v>18</v>
      </c>
      <c r="B526" s="9" t="s">
        <v>212</v>
      </c>
      <c r="C526" s="9" t="s">
        <v>7</v>
      </c>
      <c r="D526" s="51">
        <v>184</v>
      </c>
    </row>
    <row r="527" spans="1:4" x14ac:dyDescent="0.2">
      <c r="A527" s="9" t="s">
        <v>16</v>
      </c>
      <c r="B527" s="9" t="s">
        <v>245</v>
      </c>
      <c r="C527" s="9" t="s">
        <v>7</v>
      </c>
      <c r="D527" s="51">
        <v>184</v>
      </c>
    </row>
    <row r="528" spans="1:4" x14ac:dyDescent="0.2">
      <c r="A528" s="9" t="s">
        <v>17</v>
      </c>
      <c r="B528" s="9" t="s">
        <v>331</v>
      </c>
      <c r="C528" s="9" t="s">
        <v>7</v>
      </c>
      <c r="D528" s="51">
        <v>182</v>
      </c>
    </row>
    <row r="529" spans="1:4" x14ac:dyDescent="0.2">
      <c r="A529" s="9" t="s">
        <v>18</v>
      </c>
      <c r="B529" s="9" t="s">
        <v>221</v>
      </c>
      <c r="C529" s="9" t="s">
        <v>7</v>
      </c>
      <c r="D529" s="51">
        <v>182</v>
      </c>
    </row>
    <row r="530" spans="1:4" x14ac:dyDescent="0.2">
      <c r="A530" s="9" t="s">
        <v>17</v>
      </c>
      <c r="B530" s="9" t="s">
        <v>326</v>
      </c>
      <c r="C530" s="9" t="s">
        <v>7</v>
      </c>
      <c r="D530" s="51">
        <v>182</v>
      </c>
    </row>
    <row r="531" spans="1:4" x14ac:dyDescent="0.2">
      <c r="A531" s="9" t="s">
        <v>17</v>
      </c>
      <c r="B531" s="9" t="s">
        <v>335</v>
      </c>
      <c r="C531" s="9" t="s">
        <v>7</v>
      </c>
      <c r="D531" s="51">
        <v>180</v>
      </c>
    </row>
    <row r="532" spans="1:4" x14ac:dyDescent="0.2">
      <c r="A532" s="9" t="s">
        <v>16</v>
      </c>
      <c r="B532" s="9" t="s">
        <v>209</v>
      </c>
      <c r="C532" s="9" t="s">
        <v>7</v>
      </c>
      <c r="D532" s="51">
        <v>176</v>
      </c>
    </row>
    <row r="533" spans="1:4" x14ac:dyDescent="0.2">
      <c r="A533" s="9" t="s">
        <v>17</v>
      </c>
      <c r="B533" s="9" t="s">
        <v>334</v>
      </c>
      <c r="C533" s="9" t="s">
        <v>7</v>
      </c>
      <c r="D533" s="51">
        <v>175</v>
      </c>
    </row>
    <row r="534" spans="1:4" x14ac:dyDescent="0.2">
      <c r="A534" s="9" t="s">
        <v>17</v>
      </c>
      <c r="B534" s="9" t="s">
        <v>225</v>
      </c>
      <c r="C534" s="9" t="s">
        <v>7</v>
      </c>
      <c r="D534" s="51">
        <v>175</v>
      </c>
    </row>
    <row r="535" spans="1:4" x14ac:dyDescent="0.2">
      <c r="A535" s="9" t="s">
        <v>18</v>
      </c>
      <c r="B535" s="9" t="s">
        <v>234</v>
      </c>
      <c r="C535" s="9" t="s">
        <v>7</v>
      </c>
      <c r="D535" s="51">
        <v>168</v>
      </c>
    </row>
    <row r="536" spans="1:4" x14ac:dyDescent="0.2">
      <c r="A536" s="9" t="s">
        <v>17</v>
      </c>
      <c r="B536" s="9" t="s">
        <v>271</v>
      </c>
      <c r="C536" s="9" t="s">
        <v>7</v>
      </c>
      <c r="D536" s="51">
        <v>168</v>
      </c>
    </row>
    <row r="537" spans="1:4" x14ac:dyDescent="0.2">
      <c r="A537" s="9" t="s">
        <v>18</v>
      </c>
      <c r="B537" s="9" t="s">
        <v>330</v>
      </c>
      <c r="C537" s="9" t="s">
        <v>7</v>
      </c>
      <c r="D537" s="51">
        <v>168</v>
      </c>
    </row>
    <row r="538" spans="1:4" x14ac:dyDescent="0.2">
      <c r="A538" s="9" t="s">
        <v>18</v>
      </c>
      <c r="B538" s="9" t="s">
        <v>330</v>
      </c>
      <c r="C538" s="9" t="s">
        <v>7</v>
      </c>
      <c r="D538" s="51">
        <v>168</v>
      </c>
    </row>
    <row r="539" spans="1:4" x14ac:dyDescent="0.2">
      <c r="A539" s="9" t="s">
        <v>16</v>
      </c>
      <c r="B539" s="9" t="s">
        <v>223</v>
      </c>
      <c r="C539" s="9" t="s">
        <v>7</v>
      </c>
      <c r="D539" s="51">
        <v>168</v>
      </c>
    </row>
    <row r="540" spans="1:4" x14ac:dyDescent="0.2">
      <c r="A540" s="9" t="s">
        <v>18</v>
      </c>
      <c r="B540" s="9" t="s">
        <v>222</v>
      </c>
      <c r="C540" s="9" t="s">
        <v>7</v>
      </c>
      <c r="D540" s="51">
        <v>162</v>
      </c>
    </row>
    <row r="541" spans="1:4" x14ac:dyDescent="0.2">
      <c r="A541" s="9" t="s">
        <v>17</v>
      </c>
      <c r="B541" s="9" t="s">
        <v>324</v>
      </c>
      <c r="C541" s="9" t="s">
        <v>7</v>
      </c>
      <c r="D541" s="51">
        <v>161</v>
      </c>
    </row>
    <row r="542" spans="1:4" x14ac:dyDescent="0.2">
      <c r="A542" s="9" t="s">
        <v>17</v>
      </c>
      <c r="B542" s="9" t="s">
        <v>327</v>
      </c>
      <c r="C542" s="9" t="s">
        <v>7</v>
      </c>
      <c r="D542" s="51">
        <v>161</v>
      </c>
    </row>
    <row r="543" spans="1:4" x14ac:dyDescent="0.2">
      <c r="A543" s="9" t="s">
        <v>17</v>
      </c>
      <c r="B543" s="9" t="s">
        <v>334</v>
      </c>
      <c r="C543" s="9" t="s">
        <v>7</v>
      </c>
      <c r="D543" s="51">
        <v>161</v>
      </c>
    </row>
    <row r="544" spans="1:4" x14ac:dyDescent="0.2">
      <c r="A544" s="9" t="s">
        <v>18</v>
      </c>
      <c r="B544" s="9" t="s">
        <v>228</v>
      </c>
      <c r="C544" s="9" t="s">
        <v>7</v>
      </c>
      <c r="D544" s="51">
        <v>161</v>
      </c>
    </row>
    <row r="545" spans="1:4" x14ac:dyDescent="0.2">
      <c r="A545" s="9" t="s">
        <v>18</v>
      </c>
      <c r="B545" s="9" t="s">
        <v>208</v>
      </c>
      <c r="C545" s="9" t="s">
        <v>7</v>
      </c>
      <c r="D545" s="51">
        <v>161</v>
      </c>
    </row>
    <row r="546" spans="1:4" x14ac:dyDescent="0.2">
      <c r="A546" s="9" t="s">
        <v>18</v>
      </c>
      <c r="B546" s="9" t="s">
        <v>212</v>
      </c>
      <c r="C546" s="9" t="s">
        <v>7</v>
      </c>
      <c r="D546" s="51">
        <v>161</v>
      </c>
    </row>
    <row r="547" spans="1:4" x14ac:dyDescent="0.2">
      <c r="A547" s="9" t="s">
        <v>17</v>
      </c>
      <c r="B547" s="9" t="s">
        <v>331</v>
      </c>
      <c r="C547" s="9" t="s">
        <v>7</v>
      </c>
      <c r="D547" s="51">
        <v>161</v>
      </c>
    </row>
    <row r="548" spans="1:4" x14ac:dyDescent="0.2">
      <c r="A548" s="9" t="s">
        <v>17</v>
      </c>
      <c r="B548" s="9" t="s">
        <v>335</v>
      </c>
      <c r="C548" s="9" t="s">
        <v>7</v>
      </c>
      <c r="D548" s="51">
        <v>161</v>
      </c>
    </row>
    <row r="549" spans="1:4" x14ac:dyDescent="0.2">
      <c r="A549" s="9" t="s">
        <v>17</v>
      </c>
      <c r="B549" s="9" t="s">
        <v>331</v>
      </c>
      <c r="C549" s="9" t="s">
        <v>7</v>
      </c>
      <c r="D549" s="51">
        <v>161</v>
      </c>
    </row>
    <row r="550" spans="1:4" x14ac:dyDescent="0.2">
      <c r="A550" s="9" t="s">
        <v>17</v>
      </c>
      <c r="B550" s="9" t="s">
        <v>335</v>
      </c>
      <c r="C550" s="9" t="s">
        <v>7</v>
      </c>
      <c r="D550" s="51">
        <v>160</v>
      </c>
    </row>
    <row r="551" spans="1:4" x14ac:dyDescent="0.2">
      <c r="A551" s="9" t="s">
        <v>17</v>
      </c>
      <c r="B551" s="9" t="s">
        <v>335</v>
      </c>
      <c r="C551" s="9" t="s">
        <v>7</v>
      </c>
      <c r="D551" s="51">
        <v>160</v>
      </c>
    </row>
    <row r="552" spans="1:4" x14ac:dyDescent="0.2">
      <c r="A552" s="9" t="s">
        <v>17</v>
      </c>
      <c r="B552" s="9" t="s">
        <v>335</v>
      </c>
      <c r="C552" s="9" t="s">
        <v>7</v>
      </c>
      <c r="D552" s="51">
        <v>160</v>
      </c>
    </row>
    <row r="553" spans="1:4" x14ac:dyDescent="0.2">
      <c r="A553" s="9" t="s">
        <v>17</v>
      </c>
      <c r="B553" s="9" t="s">
        <v>335</v>
      </c>
      <c r="C553" s="9" t="s">
        <v>7</v>
      </c>
      <c r="D553" s="51">
        <v>160</v>
      </c>
    </row>
    <row r="554" spans="1:4" x14ac:dyDescent="0.2">
      <c r="A554" s="9" t="s">
        <v>17</v>
      </c>
      <c r="B554" s="9" t="s">
        <v>335</v>
      </c>
      <c r="C554" s="9" t="s">
        <v>7</v>
      </c>
      <c r="D554" s="51">
        <v>160</v>
      </c>
    </row>
    <row r="555" spans="1:4" x14ac:dyDescent="0.2">
      <c r="A555" s="9" t="s">
        <v>17</v>
      </c>
      <c r="B555" s="9" t="s">
        <v>335</v>
      </c>
      <c r="C555" s="9" t="s">
        <v>7</v>
      </c>
      <c r="D555" s="51">
        <v>160</v>
      </c>
    </row>
    <row r="556" spans="1:4" x14ac:dyDescent="0.2">
      <c r="A556" s="9" t="s">
        <v>17</v>
      </c>
      <c r="B556" s="9" t="s">
        <v>335</v>
      </c>
      <c r="C556" s="9" t="s">
        <v>7</v>
      </c>
      <c r="D556" s="51">
        <v>160</v>
      </c>
    </row>
    <row r="557" spans="1:4" x14ac:dyDescent="0.2">
      <c r="A557" s="9" t="s">
        <v>17</v>
      </c>
      <c r="B557" s="9" t="s">
        <v>335</v>
      </c>
      <c r="C557" s="9" t="s">
        <v>7</v>
      </c>
      <c r="D557" s="51">
        <v>160</v>
      </c>
    </row>
    <row r="558" spans="1:4" x14ac:dyDescent="0.2">
      <c r="A558" s="9" t="s">
        <v>17</v>
      </c>
      <c r="B558" s="9" t="s">
        <v>335</v>
      </c>
      <c r="C558" s="9" t="s">
        <v>7</v>
      </c>
      <c r="D558" s="51">
        <v>160</v>
      </c>
    </row>
    <row r="559" spans="1:4" x14ac:dyDescent="0.2">
      <c r="A559" s="9" t="s">
        <v>16</v>
      </c>
      <c r="B559" s="9" t="s">
        <v>325</v>
      </c>
      <c r="C559" s="9" t="s">
        <v>7</v>
      </c>
      <c r="D559" s="51">
        <v>156</v>
      </c>
    </row>
    <row r="560" spans="1:4" x14ac:dyDescent="0.2">
      <c r="A560" s="9" t="s">
        <v>16</v>
      </c>
      <c r="B560" s="9" t="s">
        <v>231</v>
      </c>
      <c r="C560" s="9" t="s">
        <v>7</v>
      </c>
      <c r="D560" s="51">
        <v>156</v>
      </c>
    </row>
    <row r="561" spans="1:4" x14ac:dyDescent="0.2">
      <c r="A561" s="9" t="s">
        <v>17</v>
      </c>
      <c r="B561" s="9" t="s">
        <v>331</v>
      </c>
      <c r="C561" s="9" t="s">
        <v>7</v>
      </c>
      <c r="D561" s="51">
        <v>156</v>
      </c>
    </row>
    <row r="562" spans="1:4" x14ac:dyDescent="0.2">
      <c r="A562" s="9" t="s">
        <v>17</v>
      </c>
      <c r="B562" s="9" t="s">
        <v>326</v>
      </c>
      <c r="C562" s="9" t="s">
        <v>7</v>
      </c>
      <c r="D562" s="51">
        <v>154</v>
      </c>
    </row>
    <row r="563" spans="1:4" x14ac:dyDescent="0.2">
      <c r="A563" s="9" t="s">
        <v>17</v>
      </c>
      <c r="B563" s="9" t="s">
        <v>333</v>
      </c>
      <c r="C563" s="9" t="s">
        <v>7</v>
      </c>
      <c r="D563" s="51">
        <v>154</v>
      </c>
    </row>
    <row r="564" spans="1:4" x14ac:dyDescent="0.2">
      <c r="A564" s="9" t="s">
        <v>17</v>
      </c>
      <c r="B564" s="9" t="s">
        <v>326</v>
      </c>
      <c r="C564" s="9" t="s">
        <v>7</v>
      </c>
      <c r="D564" s="51">
        <v>154</v>
      </c>
    </row>
    <row r="565" spans="1:4" x14ac:dyDescent="0.2">
      <c r="A565" s="9" t="s">
        <v>17</v>
      </c>
      <c r="B565" s="9" t="s">
        <v>333</v>
      </c>
      <c r="C565" s="9" t="s">
        <v>7</v>
      </c>
      <c r="D565" s="51">
        <v>154</v>
      </c>
    </row>
    <row r="566" spans="1:4" x14ac:dyDescent="0.2">
      <c r="A566" s="9" t="s">
        <v>17</v>
      </c>
      <c r="B566" s="9" t="s">
        <v>335</v>
      </c>
      <c r="C566" s="9" t="s">
        <v>7</v>
      </c>
      <c r="D566" s="51">
        <v>152</v>
      </c>
    </row>
    <row r="567" spans="1:4" x14ac:dyDescent="0.2">
      <c r="A567" s="9" t="s">
        <v>17</v>
      </c>
      <c r="B567" s="9" t="s">
        <v>335</v>
      </c>
      <c r="C567" s="9" t="s">
        <v>7</v>
      </c>
      <c r="D567" s="51">
        <v>152</v>
      </c>
    </row>
    <row r="568" spans="1:4" x14ac:dyDescent="0.2">
      <c r="A568" s="9" t="s">
        <v>17</v>
      </c>
      <c r="B568" s="9" t="s">
        <v>335</v>
      </c>
      <c r="C568" s="9" t="s">
        <v>7</v>
      </c>
      <c r="D568" s="51">
        <v>152</v>
      </c>
    </row>
    <row r="569" spans="1:4" x14ac:dyDescent="0.2">
      <c r="A569" s="9" t="s">
        <v>17</v>
      </c>
      <c r="B569" s="9" t="s">
        <v>335</v>
      </c>
      <c r="C569" s="9" t="s">
        <v>7</v>
      </c>
      <c r="D569" s="51">
        <v>152</v>
      </c>
    </row>
    <row r="570" spans="1:4" x14ac:dyDescent="0.2">
      <c r="A570" s="9" t="s">
        <v>17</v>
      </c>
      <c r="B570" s="9" t="s">
        <v>335</v>
      </c>
      <c r="C570" s="9" t="s">
        <v>7</v>
      </c>
      <c r="D570" s="51">
        <v>152</v>
      </c>
    </row>
    <row r="571" spans="1:4" x14ac:dyDescent="0.2">
      <c r="A571" s="9" t="s">
        <v>17</v>
      </c>
      <c r="B571" s="9" t="s">
        <v>335</v>
      </c>
      <c r="C571" s="9" t="s">
        <v>7</v>
      </c>
      <c r="D571" s="51">
        <v>144</v>
      </c>
    </row>
    <row r="572" spans="1:4" x14ac:dyDescent="0.2">
      <c r="A572" s="9" t="s">
        <v>17</v>
      </c>
      <c r="B572" s="9" t="s">
        <v>326</v>
      </c>
      <c r="C572" s="9" t="s">
        <v>7</v>
      </c>
      <c r="D572" s="51">
        <v>140</v>
      </c>
    </row>
    <row r="573" spans="1:4" x14ac:dyDescent="0.2">
      <c r="A573" s="9" t="s">
        <v>17</v>
      </c>
      <c r="B573" s="9" t="s">
        <v>335</v>
      </c>
      <c r="C573" s="9" t="s">
        <v>7</v>
      </c>
      <c r="D573" s="51">
        <v>140</v>
      </c>
    </row>
    <row r="574" spans="1:4" x14ac:dyDescent="0.2">
      <c r="A574" s="9" t="s">
        <v>18</v>
      </c>
      <c r="B574" s="9" t="s">
        <v>249</v>
      </c>
      <c r="C574" s="9" t="s">
        <v>7</v>
      </c>
      <c r="D574" s="51">
        <v>138</v>
      </c>
    </row>
    <row r="575" spans="1:4" x14ac:dyDescent="0.2">
      <c r="A575" s="9" t="s">
        <v>18</v>
      </c>
      <c r="B575" s="9" t="s">
        <v>331</v>
      </c>
      <c r="C575" s="9" t="s">
        <v>7</v>
      </c>
      <c r="D575" s="51">
        <v>138</v>
      </c>
    </row>
    <row r="576" spans="1:4" x14ac:dyDescent="0.2">
      <c r="A576" s="9" t="s">
        <v>18</v>
      </c>
      <c r="B576" s="9" t="s">
        <v>331</v>
      </c>
      <c r="C576" s="9" t="s">
        <v>7</v>
      </c>
      <c r="D576" s="51">
        <v>138</v>
      </c>
    </row>
    <row r="577" spans="1:4" x14ac:dyDescent="0.2">
      <c r="A577" s="9" t="s">
        <v>16</v>
      </c>
      <c r="B577" s="9" t="s">
        <v>325</v>
      </c>
      <c r="C577" s="9" t="s">
        <v>7</v>
      </c>
      <c r="D577" s="51">
        <v>138</v>
      </c>
    </row>
    <row r="578" spans="1:4" x14ac:dyDescent="0.2">
      <c r="A578" s="9" t="s">
        <v>18</v>
      </c>
      <c r="B578" s="9" t="s">
        <v>331</v>
      </c>
      <c r="C578" s="9" t="s">
        <v>7</v>
      </c>
      <c r="D578" s="51">
        <v>138</v>
      </c>
    </row>
    <row r="579" spans="1:4" x14ac:dyDescent="0.2">
      <c r="A579" s="9" t="s">
        <v>18</v>
      </c>
      <c r="B579" s="9" t="s">
        <v>480</v>
      </c>
      <c r="C579" s="9" t="s">
        <v>7</v>
      </c>
      <c r="D579" s="51">
        <v>136</v>
      </c>
    </row>
    <row r="580" spans="1:4" x14ac:dyDescent="0.2">
      <c r="A580" s="9" t="s">
        <v>17</v>
      </c>
      <c r="B580" s="9" t="s">
        <v>335</v>
      </c>
      <c r="C580" s="9" t="s">
        <v>7</v>
      </c>
      <c r="D580" s="51">
        <v>128</v>
      </c>
    </row>
    <row r="581" spans="1:4" x14ac:dyDescent="0.2">
      <c r="A581" s="9" t="s">
        <v>17</v>
      </c>
      <c r="B581" s="9" t="s">
        <v>335</v>
      </c>
      <c r="C581" s="9" t="s">
        <v>7</v>
      </c>
      <c r="D581" s="51">
        <v>128</v>
      </c>
    </row>
    <row r="582" spans="1:4" x14ac:dyDescent="0.2">
      <c r="A582" s="9" t="s">
        <v>17</v>
      </c>
      <c r="B582" s="9" t="s">
        <v>335</v>
      </c>
      <c r="C582" s="9" t="s">
        <v>7</v>
      </c>
      <c r="D582" s="51">
        <v>128</v>
      </c>
    </row>
    <row r="583" spans="1:4" x14ac:dyDescent="0.2">
      <c r="A583" s="9" t="s">
        <v>18</v>
      </c>
      <c r="B583" s="9" t="s">
        <v>437</v>
      </c>
      <c r="C583" s="9" t="s">
        <v>7</v>
      </c>
      <c r="D583" s="51">
        <v>128</v>
      </c>
    </row>
    <row r="584" spans="1:4" x14ac:dyDescent="0.2">
      <c r="A584" s="9" t="s">
        <v>17</v>
      </c>
      <c r="B584" s="9" t="s">
        <v>326</v>
      </c>
      <c r="C584" s="9" t="s">
        <v>7</v>
      </c>
      <c r="D584" s="51">
        <v>126</v>
      </c>
    </row>
    <row r="585" spans="1:4" x14ac:dyDescent="0.2">
      <c r="A585" s="9" t="s">
        <v>17</v>
      </c>
      <c r="B585" s="9" t="s">
        <v>323</v>
      </c>
      <c r="C585" s="9" t="s">
        <v>7</v>
      </c>
      <c r="D585" s="51">
        <v>125</v>
      </c>
    </row>
    <row r="586" spans="1:4" x14ac:dyDescent="0.2">
      <c r="A586" s="9" t="s">
        <v>17</v>
      </c>
      <c r="B586" s="9" t="s">
        <v>326</v>
      </c>
      <c r="C586" s="9" t="s">
        <v>7</v>
      </c>
      <c r="D586" s="51">
        <v>120</v>
      </c>
    </row>
    <row r="587" spans="1:4" x14ac:dyDescent="0.2">
      <c r="A587" s="9" t="s">
        <v>17</v>
      </c>
      <c r="B587" s="9" t="s">
        <v>335</v>
      </c>
      <c r="C587" s="9" t="s">
        <v>7</v>
      </c>
      <c r="D587" s="51">
        <v>120</v>
      </c>
    </row>
    <row r="588" spans="1:4" x14ac:dyDescent="0.2">
      <c r="A588" s="9" t="s">
        <v>17</v>
      </c>
      <c r="B588" s="9" t="s">
        <v>326</v>
      </c>
      <c r="C588" s="9" t="s">
        <v>7</v>
      </c>
      <c r="D588" s="51">
        <v>120</v>
      </c>
    </row>
    <row r="589" spans="1:4" x14ac:dyDescent="0.2">
      <c r="A589" s="9" t="s">
        <v>17</v>
      </c>
      <c r="B589" s="9" t="s">
        <v>244</v>
      </c>
      <c r="C589" s="9" t="s">
        <v>7</v>
      </c>
      <c r="D589" s="51">
        <v>120</v>
      </c>
    </row>
    <row r="590" spans="1:4" x14ac:dyDescent="0.2">
      <c r="A590" s="9" t="s">
        <v>17</v>
      </c>
      <c r="B590" s="9" t="s">
        <v>481</v>
      </c>
      <c r="C590" s="9" t="s">
        <v>7</v>
      </c>
      <c r="D590" s="51">
        <v>119</v>
      </c>
    </row>
    <row r="591" spans="1:4" x14ac:dyDescent="0.2">
      <c r="A591" s="9" t="s">
        <v>17</v>
      </c>
      <c r="B591" s="9" t="s">
        <v>326</v>
      </c>
      <c r="C591" s="9" t="s">
        <v>7</v>
      </c>
      <c r="D591" s="51">
        <v>119</v>
      </c>
    </row>
    <row r="592" spans="1:4" x14ac:dyDescent="0.2">
      <c r="A592" s="9" t="s">
        <v>17</v>
      </c>
      <c r="B592" s="9" t="s">
        <v>334</v>
      </c>
      <c r="C592" s="9" t="s">
        <v>7</v>
      </c>
      <c r="D592" s="51">
        <v>108</v>
      </c>
    </row>
    <row r="593" spans="1:4" x14ac:dyDescent="0.2">
      <c r="A593" s="9" t="s">
        <v>17</v>
      </c>
      <c r="B593" s="9" t="s">
        <v>233</v>
      </c>
      <c r="C593" s="9" t="s">
        <v>7</v>
      </c>
      <c r="D593" s="51">
        <v>105</v>
      </c>
    </row>
    <row r="594" spans="1:4" x14ac:dyDescent="0.2">
      <c r="A594" s="9" t="s">
        <v>16</v>
      </c>
      <c r="B594" s="9" t="s">
        <v>224</v>
      </c>
      <c r="C594" s="9" t="s">
        <v>7</v>
      </c>
      <c r="D594" s="51">
        <v>102</v>
      </c>
    </row>
    <row r="595" spans="1:4" x14ac:dyDescent="0.2">
      <c r="A595" s="9" t="s">
        <v>18</v>
      </c>
      <c r="B595" s="9" t="s">
        <v>228</v>
      </c>
      <c r="C595" s="9" t="s">
        <v>7</v>
      </c>
      <c r="D595" s="51">
        <v>98</v>
      </c>
    </row>
    <row r="596" spans="1:4" x14ac:dyDescent="0.2">
      <c r="A596" s="9" t="s">
        <v>18</v>
      </c>
      <c r="B596" s="9" t="s">
        <v>226</v>
      </c>
      <c r="C596" s="9" t="s">
        <v>7</v>
      </c>
      <c r="D596" s="51">
        <v>91</v>
      </c>
    </row>
    <row r="597" spans="1:4" x14ac:dyDescent="0.2">
      <c r="A597" s="9" t="s">
        <v>16</v>
      </c>
      <c r="B597" s="9" t="s">
        <v>250</v>
      </c>
      <c r="C597" s="9" t="s">
        <v>7</v>
      </c>
      <c r="D597" s="51">
        <v>91</v>
      </c>
    </row>
    <row r="598" spans="1:4" x14ac:dyDescent="0.2">
      <c r="A598" s="9" t="s">
        <v>17</v>
      </c>
      <c r="B598" s="9" t="s">
        <v>482</v>
      </c>
      <c r="C598" s="9" t="s">
        <v>7</v>
      </c>
      <c r="D598" s="51">
        <v>90</v>
      </c>
    </row>
    <row r="599" spans="1:4" x14ac:dyDescent="0.2">
      <c r="A599" s="9" t="s">
        <v>16</v>
      </c>
      <c r="B599" s="9" t="s">
        <v>454</v>
      </c>
      <c r="C599" s="9" t="s">
        <v>7</v>
      </c>
      <c r="D599" s="51">
        <v>90</v>
      </c>
    </row>
    <row r="600" spans="1:4" x14ac:dyDescent="0.2">
      <c r="A600" s="9" t="s">
        <v>17</v>
      </c>
      <c r="B600" s="9" t="s">
        <v>242</v>
      </c>
      <c r="C600" s="9" t="s">
        <v>7</v>
      </c>
      <c r="D600" s="51">
        <v>84</v>
      </c>
    </row>
    <row r="601" spans="1:4" x14ac:dyDescent="0.2">
      <c r="A601" s="9" t="s">
        <v>18</v>
      </c>
      <c r="B601" s="9" t="s">
        <v>439</v>
      </c>
      <c r="C601" s="9" t="s">
        <v>7</v>
      </c>
      <c r="D601" s="51">
        <v>84</v>
      </c>
    </row>
    <row r="602" spans="1:4" x14ac:dyDescent="0.2">
      <c r="A602" s="9" t="s">
        <v>17</v>
      </c>
      <c r="B602" s="9" t="s">
        <v>341</v>
      </c>
      <c r="C602" s="9" t="s">
        <v>7</v>
      </c>
      <c r="D602" s="51">
        <v>84</v>
      </c>
    </row>
    <row r="603" spans="1:4" x14ac:dyDescent="0.2">
      <c r="A603" s="9" t="s">
        <v>17</v>
      </c>
      <c r="B603" s="9" t="s">
        <v>326</v>
      </c>
      <c r="C603" s="9" t="s">
        <v>7</v>
      </c>
      <c r="D603" s="51">
        <v>81</v>
      </c>
    </row>
    <row r="604" spans="1:4" x14ac:dyDescent="0.2">
      <c r="A604" s="9" t="s">
        <v>18</v>
      </c>
      <c r="B604" s="9" t="s">
        <v>237</v>
      </c>
      <c r="C604" s="9" t="s">
        <v>7</v>
      </c>
      <c r="D604" s="51">
        <v>80</v>
      </c>
    </row>
    <row r="605" spans="1:4" x14ac:dyDescent="0.2">
      <c r="A605" s="9" t="s">
        <v>17</v>
      </c>
      <c r="B605" s="9" t="s">
        <v>482</v>
      </c>
      <c r="C605" s="9" t="s">
        <v>7</v>
      </c>
      <c r="D605" s="51">
        <v>80</v>
      </c>
    </row>
    <row r="606" spans="1:4" x14ac:dyDescent="0.2">
      <c r="A606" s="9" t="s">
        <v>17</v>
      </c>
      <c r="B606" s="9" t="s">
        <v>482</v>
      </c>
      <c r="C606" s="9" t="s">
        <v>7</v>
      </c>
      <c r="D606" s="51">
        <v>80</v>
      </c>
    </row>
    <row r="607" spans="1:4" x14ac:dyDescent="0.2">
      <c r="A607" s="9" t="s">
        <v>18</v>
      </c>
      <c r="B607" s="9" t="s">
        <v>227</v>
      </c>
      <c r="C607" s="9" t="s">
        <v>7</v>
      </c>
      <c r="D607" s="51">
        <v>77</v>
      </c>
    </row>
    <row r="608" spans="1:4" x14ac:dyDescent="0.2">
      <c r="A608" s="9" t="s">
        <v>18</v>
      </c>
      <c r="B608" s="9" t="s">
        <v>220</v>
      </c>
      <c r="C608" s="9" t="s">
        <v>7</v>
      </c>
      <c r="D608" s="51">
        <v>77</v>
      </c>
    </row>
    <row r="609" spans="1:4" x14ac:dyDescent="0.2">
      <c r="A609" s="9" t="s">
        <v>18</v>
      </c>
      <c r="B609" s="9" t="s">
        <v>332</v>
      </c>
      <c r="C609" s="9" t="s">
        <v>7</v>
      </c>
      <c r="D609" s="51">
        <v>77</v>
      </c>
    </row>
    <row r="610" spans="1:4" x14ac:dyDescent="0.2">
      <c r="A610" s="9" t="s">
        <v>18</v>
      </c>
      <c r="B610" s="9" t="s">
        <v>437</v>
      </c>
      <c r="C610" s="9" t="s">
        <v>7</v>
      </c>
      <c r="D610" s="51">
        <v>72</v>
      </c>
    </row>
    <row r="611" spans="1:4" x14ac:dyDescent="0.2">
      <c r="A611" s="9" t="s">
        <v>17</v>
      </c>
      <c r="B611" s="9" t="s">
        <v>340</v>
      </c>
      <c r="C611" s="9" t="s">
        <v>7</v>
      </c>
      <c r="D611" s="51">
        <v>72</v>
      </c>
    </row>
    <row r="612" spans="1:4" x14ac:dyDescent="0.2">
      <c r="A612" s="9" t="s">
        <v>17</v>
      </c>
      <c r="B612" s="9" t="s">
        <v>340</v>
      </c>
      <c r="C612" s="9" t="s">
        <v>7</v>
      </c>
      <c r="D612" s="51">
        <v>72</v>
      </c>
    </row>
    <row r="613" spans="1:4" x14ac:dyDescent="0.2">
      <c r="A613" s="9" t="s">
        <v>18</v>
      </c>
      <c r="B613" s="9" t="s">
        <v>337</v>
      </c>
      <c r="C613" s="9" t="s">
        <v>7</v>
      </c>
      <c r="D613" s="51">
        <v>72</v>
      </c>
    </row>
    <row r="614" spans="1:4" x14ac:dyDescent="0.2">
      <c r="A614" s="9" t="s">
        <v>17</v>
      </c>
      <c r="B614" s="9" t="s">
        <v>335</v>
      </c>
      <c r="C614" s="9" t="s">
        <v>7</v>
      </c>
      <c r="D614" s="51">
        <v>70</v>
      </c>
    </row>
    <row r="615" spans="1:4" x14ac:dyDescent="0.2">
      <c r="A615" s="9" t="s">
        <v>18</v>
      </c>
      <c r="B615" s="9" t="s">
        <v>438</v>
      </c>
      <c r="C615" s="9" t="s">
        <v>7</v>
      </c>
      <c r="D615" s="51">
        <v>63</v>
      </c>
    </row>
    <row r="616" spans="1:4" x14ac:dyDescent="0.2">
      <c r="A616" s="9" t="s">
        <v>18</v>
      </c>
      <c r="B616" s="9" t="s">
        <v>236</v>
      </c>
      <c r="C616" s="9" t="s">
        <v>7</v>
      </c>
      <c r="D616" s="51">
        <v>63</v>
      </c>
    </row>
    <row r="617" spans="1:4" x14ac:dyDescent="0.2">
      <c r="A617" s="9" t="s">
        <v>18</v>
      </c>
      <c r="B617" s="9" t="s">
        <v>227</v>
      </c>
      <c r="C617" s="9" t="s">
        <v>7</v>
      </c>
      <c r="D617" s="51">
        <v>63</v>
      </c>
    </row>
    <row r="618" spans="1:4" x14ac:dyDescent="0.2">
      <c r="A618" s="9" t="s">
        <v>17</v>
      </c>
      <c r="B618" s="9" t="s">
        <v>482</v>
      </c>
      <c r="C618" s="9" t="s">
        <v>7</v>
      </c>
      <c r="D618" s="51">
        <v>60</v>
      </c>
    </row>
    <row r="619" spans="1:4" x14ac:dyDescent="0.2">
      <c r="A619" s="9" t="s">
        <v>17</v>
      </c>
      <c r="B619" s="9" t="s">
        <v>483</v>
      </c>
      <c r="C619" s="9" t="s">
        <v>7</v>
      </c>
      <c r="D619" s="51">
        <v>60</v>
      </c>
    </row>
    <row r="620" spans="1:4" x14ac:dyDescent="0.2">
      <c r="A620" s="9" t="s">
        <v>18</v>
      </c>
      <c r="B620" s="9" t="s">
        <v>329</v>
      </c>
      <c r="C620" s="9" t="s">
        <v>7</v>
      </c>
      <c r="D620" s="51">
        <v>56</v>
      </c>
    </row>
    <row r="621" spans="1:4" x14ac:dyDescent="0.2">
      <c r="A621" s="9" t="s">
        <v>17</v>
      </c>
      <c r="B621" s="9" t="s">
        <v>338</v>
      </c>
      <c r="C621" s="9" t="s">
        <v>7</v>
      </c>
      <c r="D621" s="51">
        <v>56</v>
      </c>
    </row>
    <row r="622" spans="1:4" x14ac:dyDescent="0.2">
      <c r="A622" s="9" t="s">
        <v>16</v>
      </c>
      <c r="B622" s="9" t="s">
        <v>454</v>
      </c>
      <c r="C622" s="9" t="s">
        <v>7</v>
      </c>
      <c r="D622" s="51">
        <v>56</v>
      </c>
    </row>
    <row r="623" spans="1:4" x14ac:dyDescent="0.2">
      <c r="A623" s="9" t="s">
        <v>18</v>
      </c>
      <c r="B623" s="9" t="s">
        <v>329</v>
      </c>
      <c r="C623" s="9" t="s">
        <v>7</v>
      </c>
      <c r="D623" s="51">
        <v>56</v>
      </c>
    </row>
    <row r="624" spans="1:4" x14ac:dyDescent="0.2">
      <c r="A624" s="9" t="s">
        <v>18</v>
      </c>
      <c r="B624" s="9" t="s">
        <v>217</v>
      </c>
      <c r="C624" s="9" t="s">
        <v>7</v>
      </c>
      <c r="D624" s="51">
        <v>54</v>
      </c>
    </row>
    <row r="625" spans="1:4" x14ac:dyDescent="0.2">
      <c r="A625" s="9" t="s">
        <v>17</v>
      </c>
      <c r="B625" s="9" t="s">
        <v>331</v>
      </c>
      <c r="C625" s="9" t="s">
        <v>7</v>
      </c>
      <c r="D625" s="51">
        <v>52</v>
      </c>
    </row>
    <row r="626" spans="1:4" x14ac:dyDescent="0.2">
      <c r="A626" s="9" t="s">
        <v>17</v>
      </c>
      <c r="B626" s="9" t="s">
        <v>404</v>
      </c>
      <c r="C626" s="9" t="s">
        <v>7</v>
      </c>
      <c r="D626" s="51">
        <v>49</v>
      </c>
    </row>
    <row r="627" spans="1:4" x14ac:dyDescent="0.2">
      <c r="A627" s="9" t="s">
        <v>17</v>
      </c>
      <c r="B627" s="9" t="s">
        <v>247</v>
      </c>
      <c r="C627" s="9" t="s">
        <v>7</v>
      </c>
      <c r="D627" s="51">
        <v>49</v>
      </c>
    </row>
    <row r="628" spans="1:4" x14ac:dyDescent="0.2">
      <c r="A628" s="9" t="s">
        <v>18</v>
      </c>
      <c r="B628" s="9" t="s">
        <v>232</v>
      </c>
      <c r="C628" s="9" t="s">
        <v>7</v>
      </c>
      <c r="D628" s="51">
        <v>49</v>
      </c>
    </row>
    <row r="629" spans="1:4" x14ac:dyDescent="0.2">
      <c r="A629" s="9" t="s">
        <v>17</v>
      </c>
      <c r="B629" s="9" t="s">
        <v>339</v>
      </c>
      <c r="C629" s="9" t="s">
        <v>7</v>
      </c>
      <c r="D629" s="51">
        <v>48</v>
      </c>
    </row>
    <row r="630" spans="1:4" x14ac:dyDescent="0.2">
      <c r="A630" s="9" t="s">
        <v>18</v>
      </c>
      <c r="B630" s="9" t="s">
        <v>219</v>
      </c>
      <c r="C630" s="9" t="s">
        <v>7</v>
      </c>
      <c r="D630" s="51">
        <v>48</v>
      </c>
    </row>
    <row r="631" spans="1:4" x14ac:dyDescent="0.2">
      <c r="A631" s="9" t="s">
        <v>17</v>
      </c>
      <c r="B631" s="9" t="s">
        <v>235</v>
      </c>
      <c r="C631" s="9" t="s">
        <v>7</v>
      </c>
      <c r="D631" s="51">
        <v>48</v>
      </c>
    </row>
    <row r="632" spans="1:4" x14ac:dyDescent="0.2">
      <c r="A632" s="9" t="s">
        <v>19</v>
      </c>
      <c r="B632" s="9" t="s">
        <v>252</v>
      </c>
      <c r="C632" s="9" t="s">
        <v>7</v>
      </c>
      <c r="D632" s="51">
        <v>48</v>
      </c>
    </row>
    <row r="633" spans="1:4" x14ac:dyDescent="0.2">
      <c r="A633" s="9" t="s">
        <v>18</v>
      </c>
      <c r="B633" s="9" t="s">
        <v>484</v>
      </c>
      <c r="C633" s="9" t="s">
        <v>7</v>
      </c>
      <c r="D633" s="51">
        <v>45</v>
      </c>
    </row>
    <row r="634" spans="1:4" x14ac:dyDescent="0.2">
      <c r="A634" s="9" t="s">
        <v>18</v>
      </c>
      <c r="B634" s="9" t="s">
        <v>226</v>
      </c>
      <c r="C634" s="9" t="s">
        <v>7</v>
      </c>
      <c r="D634" s="51">
        <v>42</v>
      </c>
    </row>
    <row r="635" spans="1:4" x14ac:dyDescent="0.2">
      <c r="A635" s="9" t="s">
        <v>18</v>
      </c>
      <c r="B635" s="9" t="s">
        <v>230</v>
      </c>
      <c r="C635" s="9" t="s">
        <v>7</v>
      </c>
      <c r="D635" s="51">
        <v>36</v>
      </c>
    </row>
    <row r="636" spans="1:4" x14ac:dyDescent="0.2">
      <c r="A636" s="9" t="s">
        <v>16</v>
      </c>
      <c r="B636" s="9" t="s">
        <v>246</v>
      </c>
      <c r="C636" s="9" t="s">
        <v>7</v>
      </c>
      <c r="D636" s="51">
        <v>35</v>
      </c>
    </row>
    <row r="637" spans="1:4" x14ac:dyDescent="0.2">
      <c r="A637" s="9" t="s">
        <v>16</v>
      </c>
      <c r="B637" s="9" t="s">
        <v>243</v>
      </c>
      <c r="C637" s="9" t="s">
        <v>7</v>
      </c>
      <c r="D637" s="51">
        <v>30</v>
      </c>
    </row>
    <row r="638" spans="1:4" x14ac:dyDescent="0.2">
      <c r="A638" s="9" t="s">
        <v>17</v>
      </c>
      <c r="B638" s="9" t="s">
        <v>335</v>
      </c>
      <c r="C638" s="9" t="s">
        <v>7</v>
      </c>
      <c r="D638" s="51">
        <v>30</v>
      </c>
    </row>
    <row r="639" spans="1:4" x14ac:dyDescent="0.2">
      <c r="A639" s="9" t="s">
        <v>17</v>
      </c>
      <c r="B639" s="9" t="s">
        <v>335</v>
      </c>
      <c r="C639" s="9" t="s">
        <v>7</v>
      </c>
      <c r="D639" s="51">
        <v>30</v>
      </c>
    </row>
    <row r="640" spans="1:4" x14ac:dyDescent="0.2">
      <c r="A640" s="9" t="s">
        <v>18</v>
      </c>
      <c r="B640" s="9" t="s">
        <v>229</v>
      </c>
      <c r="C640" s="9" t="s">
        <v>7</v>
      </c>
      <c r="D640" s="51">
        <v>27</v>
      </c>
    </row>
    <row r="641" spans="1:4" x14ac:dyDescent="0.2">
      <c r="A641" s="9" t="s">
        <v>16</v>
      </c>
      <c r="B641" s="9" t="s">
        <v>241</v>
      </c>
      <c r="C641" s="9" t="s">
        <v>7</v>
      </c>
      <c r="D641" s="51">
        <v>24</v>
      </c>
    </row>
    <row r="642" spans="1:4" x14ac:dyDescent="0.2">
      <c r="A642" s="9" t="s">
        <v>18</v>
      </c>
      <c r="B642" s="9" t="s">
        <v>248</v>
      </c>
      <c r="C642" s="9" t="s">
        <v>7</v>
      </c>
      <c r="D642" s="51">
        <v>21</v>
      </c>
    </row>
    <row r="643" spans="1:4" x14ac:dyDescent="0.2">
      <c r="A643" s="9" t="s">
        <v>18</v>
      </c>
      <c r="B643" s="9" t="s">
        <v>238</v>
      </c>
      <c r="C643" s="9" t="s">
        <v>7</v>
      </c>
      <c r="D643" s="51">
        <v>21</v>
      </c>
    </row>
    <row r="644" spans="1:4" x14ac:dyDescent="0.2">
      <c r="A644" s="9" t="s">
        <v>16</v>
      </c>
      <c r="B644" s="9" t="s">
        <v>243</v>
      </c>
      <c r="C644" s="9" t="s">
        <v>7</v>
      </c>
      <c r="D644" s="51">
        <v>20</v>
      </c>
    </row>
    <row r="645" spans="1:4" x14ac:dyDescent="0.2">
      <c r="A645" s="9" t="s">
        <v>20</v>
      </c>
      <c r="B645" s="9" t="s">
        <v>251</v>
      </c>
      <c r="C645" s="9" t="s">
        <v>7</v>
      </c>
      <c r="D645" s="51">
        <v>18</v>
      </c>
    </row>
    <row r="646" spans="1:4" x14ac:dyDescent="0.2">
      <c r="A646" s="9" t="s">
        <v>17</v>
      </c>
      <c r="B646" s="9" t="s">
        <v>335</v>
      </c>
      <c r="C646" s="9" t="s">
        <v>7</v>
      </c>
      <c r="D646" s="51">
        <v>16</v>
      </c>
    </row>
    <row r="647" spans="1:4" x14ac:dyDescent="0.2">
      <c r="A647" s="9" t="s">
        <v>18</v>
      </c>
      <c r="B647" s="9" t="s">
        <v>229</v>
      </c>
      <c r="C647" s="9" t="s">
        <v>7</v>
      </c>
      <c r="D647" s="51">
        <v>15</v>
      </c>
    </row>
    <row r="648" spans="1:4" x14ac:dyDescent="0.2">
      <c r="A648" s="9" t="s">
        <v>20</v>
      </c>
      <c r="B648" s="9" t="s">
        <v>254</v>
      </c>
      <c r="C648" s="9" t="s">
        <v>7</v>
      </c>
      <c r="D648" s="51">
        <v>14</v>
      </c>
    </row>
    <row r="649" spans="1:4" x14ac:dyDescent="0.2">
      <c r="A649" s="9" t="s">
        <v>20</v>
      </c>
      <c r="B649" s="9" t="s">
        <v>253</v>
      </c>
      <c r="C649" s="9" t="s">
        <v>7</v>
      </c>
      <c r="D649" s="51">
        <v>14</v>
      </c>
    </row>
    <row r="650" spans="1:4" x14ac:dyDescent="0.2">
      <c r="A650" s="9" t="s">
        <v>20</v>
      </c>
      <c r="B650" s="9" t="s">
        <v>455</v>
      </c>
      <c r="C650" s="9" t="s">
        <v>7</v>
      </c>
      <c r="D650" s="51">
        <v>12</v>
      </c>
    </row>
    <row r="651" spans="1:4" x14ac:dyDescent="0.2">
      <c r="A651" s="9" t="s">
        <v>20</v>
      </c>
      <c r="B651" s="9" t="s">
        <v>254</v>
      </c>
      <c r="C651" s="9" t="s">
        <v>7</v>
      </c>
      <c r="D651" s="51">
        <v>10</v>
      </c>
    </row>
    <row r="652" spans="1:4" x14ac:dyDescent="0.2">
      <c r="A652" s="9" t="s">
        <v>18</v>
      </c>
      <c r="B652" s="9" t="s">
        <v>485</v>
      </c>
      <c r="C652" s="9" t="s">
        <v>486</v>
      </c>
      <c r="D652" s="51">
        <v>28</v>
      </c>
    </row>
    <row r="653" spans="1:4" x14ac:dyDescent="0.2">
      <c r="A653" s="9" t="s">
        <v>17</v>
      </c>
      <c r="B653" s="9" t="s">
        <v>487</v>
      </c>
      <c r="C653" s="9" t="s">
        <v>486</v>
      </c>
      <c r="D653" s="51">
        <v>26</v>
      </c>
    </row>
    <row r="654" spans="1:4" x14ac:dyDescent="0.2">
      <c r="A654" s="9" t="s">
        <v>17</v>
      </c>
      <c r="B654" s="9" t="s">
        <v>488</v>
      </c>
      <c r="C654" s="9" t="s">
        <v>486</v>
      </c>
      <c r="D654" s="51">
        <v>22</v>
      </c>
    </row>
    <row r="655" spans="1:4" x14ac:dyDescent="0.2">
      <c r="A655" s="9" t="s">
        <v>18</v>
      </c>
      <c r="B655" s="9" t="s">
        <v>249</v>
      </c>
      <c r="C655" s="9" t="s">
        <v>30</v>
      </c>
      <c r="D655" s="51">
        <v>12648</v>
      </c>
    </row>
    <row r="656" spans="1:4" x14ac:dyDescent="0.2">
      <c r="A656" s="9" t="s">
        <v>18</v>
      </c>
      <c r="B656" s="9" t="s">
        <v>249</v>
      </c>
      <c r="C656" s="9" t="s">
        <v>30</v>
      </c>
      <c r="D656" s="51">
        <v>9386</v>
      </c>
    </row>
    <row r="657" spans="1:4" x14ac:dyDescent="0.2">
      <c r="A657" s="9" t="s">
        <v>18</v>
      </c>
      <c r="B657" s="9" t="s">
        <v>342</v>
      </c>
      <c r="C657" s="9" t="s">
        <v>30</v>
      </c>
      <c r="D657" s="51">
        <v>8448</v>
      </c>
    </row>
    <row r="658" spans="1:4" x14ac:dyDescent="0.2">
      <c r="A658" s="9" t="s">
        <v>17</v>
      </c>
      <c r="B658" s="9" t="s">
        <v>171</v>
      </c>
      <c r="C658" s="9" t="s">
        <v>30</v>
      </c>
      <c r="D658" s="51">
        <v>8376</v>
      </c>
    </row>
    <row r="659" spans="1:4" x14ac:dyDescent="0.2">
      <c r="A659" s="9" t="s">
        <v>17</v>
      </c>
      <c r="B659" s="9" t="s">
        <v>171</v>
      </c>
      <c r="C659" s="9" t="s">
        <v>30</v>
      </c>
      <c r="D659" s="51">
        <v>8376</v>
      </c>
    </row>
    <row r="660" spans="1:4" x14ac:dyDescent="0.2">
      <c r="A660" s="9" t="s">
        <v>18</v>
      </c>
      <c r="B660" s="9" t="s">
        <v>249</v>
      </c>
      <c r="C660" s="9" t="s">
        <v>30</v>
      </c>
      <c r="D660" s="51">
        <v>7150</v>
      </c>
    </row>
    <row r="661" spans="1:4" x14ac:dyDescent="0.2">
      <c r="A661" s="9" t="s">
        <v>18</v>
      </c>
      <c r="B661" s="9" t="s">
        <v>249</v>
      </c>
      <c r="C661" s="9" t="s">
        <v>30</v>
      </c>
      <c r="D661" s="51">
        <v>6842</v>
      </c>
    </row>
    <row r="662" spans="1:4" x14ac:dyDescent="0.2">
      <c r="A662" s="9" t="s">
        <v>17</v>
      </c>
      <c r="B662" s="9" t="s">
        <v>343</v>
      </c>
      <c r="C662" s="9" t="s">
        <v>30</v>
      </c>
      <c r="D662" s="51">
        <v>5076</v>
      </c>
    </row>
    <row r="663" spans="1:4" x14ac:dyDescent="0.2">
      <c r="A663" s="9" t="s">
        <v>16</v>
      </c>
      <c r="B663" s="9" t="s">
        <v>257</v>
      </c>
      <c r="C663" s="9" t="s">
        <v>30</v>
      </c>
      <c r="D663" s="51">
        <v>4280</v>
      </c>
    </row>
    <row r="664" spans="1:4" x14ac:dyDescent="0.2">
      <c r="A664" s="9" t="s">
        <v>17</v>
      </c>
      <c r="B664" s="9" t="s">
        <v>343</v>
      </c>
      <c r="C664" s="9" t="s">
        <v>30</v>
      </c>
      <c r="D664" s="51">
        <v>4104</v>
      </c>
    </row>
    <row r="665" spans="1:4" x14ac:dyDescent="0.2">
      <c r="A665" s="9" t="s">
        <v>17</v>
      </c>
      <c r="B665" s="9" t="s">
        <v>343</v>
      </c>
      <c r="C665" s="9" t="s">
        <v>30</v>
      </c>
      <c r="D665" s="51">
        <v>3708</v>
      </c>
    </row>
    <row r="666" spans="1:4" x14ac:dyDescent="0.2">
      <c r="A666" s="9" t="s">
        <v>18</v>
      </c>
      <c r="B666" s="9" t="s">
        <v>405</v>
      </c>
      <c r="C666" s="9" t="s">
        <v>30</v>
      </c>
      <c r="D666" s="51">
        <v>3288</v>
      </c>
    </row>
    <row r="667" spans="1:4" x14ac:dyDescent="0.2">
      <c r="A667" s="9" t="s">
        <v>16</v>
      </c>
      <c r="B667" s="9" t="s">
        <v>257</v>
      </c>
      <c r="C667" s="9" t="s">
        <v>30</v>
      </c>
      <c r="D667" s="51">
        <v>3104</v>
      </c>
    </row>
    <row r="668" spans="1:4" x14ac:dyDescent="0.2">
      <c r="A668" s="9" t="s">
        <v>17</v>
      </c>
      <c r="B668" s="9" t="s">
        <v>426</v>
      </c>
      <c r="C668" s="9" t="s">
        <v>30</v>
      </c>
      <c r="D668" s="51">
        <v>2856</v>
      </c>
    </row>
    <row r="669" spans="1:4" x14ac:dyDescent="0.2">
      <c r="A669" s="9" t="s">
        <v>17</v>
      </c>
      <c r="B669" s="9" t="s">
        <v>440</v>
      </c>
      <c r="C669" s="9" t="s">
        <v>30</v>
      </c>
      <c r="D669" s="51">
        <v>2352</v>
      </c>
    </row>
    <row r="670" spans="1:4" x14ac:dyDescent="0.2">
      <c r="A670" s="9" t="s">
        <v>18</v>
      </c>
      <c r="B670" s="9" t="s">
        <v>255</v>
      </c>
      <c r="C670" s="9" t="s">
        <v>30</v>
      </c>
      <c r="D670" s="51">
        <v>2310</v>
      </c>
    </row>
    <row r="671" spans="1:4" x14ac:dyDescent="0.2">
      <c r="A671" s="9" t="s">
        <v>18</v>
      </c>
      <c r="B671" s="9" t="s">
        <v>449</v>
      </c>
      <c r="C671" s="9" t="s">
        <v>30</v>
      </c>
      <c r="D671" s="51">
        <v>2223</v>
      </c>
    </row>
    <row r="672" spans="1:4" x14ac:dyDescent="0.2">
      <c r="A672" s="9" t="s">
        <v>16</v>
      </c>
      <c r="B672" s="9" t="s">
        <v>257</v>
      </c>
      <c r="C672" s="9" t="s">
        <v>30</v>
      </c>
      <c r="D672" s="51">
        <v>2040</v>
      </c>
    </row>
    <row r="673" spans="1:4" x14ac:dyDescent="0.2">
      <c r="A673" s="9" t="s">
        <v>18</v>
      </c>
      <c r="B673" s="9" t="s">
        <v>256</v>
      </c>
      <c r="C673" s="9" t="s">
        <v>30</v>
      </c>
      <c r="D673" s="51">
        <v>2000</v>
      </c>
    </row>
    <row r="674" spans="1:4" x14ac:dyDescent="0.2">
      <c r="A674" s="9" t="s">
        <v>18</v>
      </c>
      <c r="B674" s="9" t="s">
        <v>258</v>
      </c>
      <c r="C674" s="9" t="s">
        <v>30</v>
      </c>
      <c r="D674" s="51">
        <v>1980</v>
      </c>
    </row>
    <row r="675" spans="1:4" x14ac:dyDescent="0.2">
      <c r="A675" s="9" t="s">
        <v>18</v>
      </c>
      <c r="B675" s="9" t="s">
        <v>345</v>
      </c>
      <c r="C675" s="9" t="s">
        <v>30</v>
      </c>
      <c r="D675" s="51">
        <v>1846</v>
      </c>
    </row>
    <row r="676" spans="1:4" x14ac:dyDescent="0.2">
      <c r="A676" s="9" t="s">
        <v>16</v>
      </c>
      <c r="B676" s="9" t="s">
        <v>260</v>
      </c>
      <c r="C676" s="9" t="s">
        <v>30</v>
      </c>
      <c r="D676" s="51">
        <v>1424</v>
      </c>
    </row>
    <row r="677" spans="1:4" x14ac:dyDescent="0.2">
      <c r="A677" s="9" t="s">
        <v>17</v>
      </c>
      <c r="B677" s="9" t="s">
        <v>426</v>
      </c>
      <c r="C677" s="9" t="s">
        <v>30</v>
      </c>
      <c r="D677" s="51">
        <v>1408</v>
      </c>
    </row>
    <row r="678" spans="1:4" x14ac:dyDescent="0.2">
      <c r="A678" s="9" t="s">
        <v>17</v>
      </c>
      <c r="B678" s="9" t="s">
        <v>259</v>
      </c>
      <c r="C678" s="9" t="s">
        <v>30</v>
      </c>
      <c r="D678" s="51">
        <v>1401</v>
      </c>
    </row>
    <row r="679" spans="1:4" x14ac:dyDescent="0.2">
      <c r="A679" s="9" t="s">
        <v>16</v>
      </c>
      <c r="B679" s="9" t="s">
        <v>260</v>
      </c>
      <c r="C679" s="9" t="s">
        <v>30</v>
      </c>
      <c r="D679" s="51">
        <v>1356</v>
      </c>
    </row>
    <row r="680" spans="1:4" x14ac:dyDescent="0.2">
      <c r="A680" s="9" t="s">
        <v>16</v>
      </c>
      <c r="B680" s="9" t="s">
        <v>260</v>
      </c>
      <c r="C680" s="9" t="s">
        <v>30</v>
      </c>
      <c r="D680" s="51">
        <v>1228</v>
      </c>
    </row>
    <row r="681" spans="1:4" x14ac:dyDescent="0.2">
      <c r="A681" s="9" t="s">
        <v>18</v>
      </c>
      <c r="B681" s="9" t="s">
        <v>441</v>
      </c>
      <c r="C681" s="9" t="s">
        <v>30</v>
      </c>
      <c r="D681" s="51">
        <v>1180</v>
      </c>
    </row>
    <row r="682" spans="1:4" x14ac:dyDescent="0.2">
      <c r="A682" s="9" t="s">
        <v>18</v>
      </c>
      <c r="B682" s="9" t="s">
        <v>261</v>
      </c>
      <c r="C682" s="9" t="s">
        <v>30</v>
      </c>
      <c r="D682" s="51">
        <v>976</v>
      </c>
    </row>
    <row r="683" spans="1:4" x14ac:dyDescent="0.2">
      <c r="A683" s="9" t="s">
        <v>18</v>
      </c>
      <c r="B683" s="9" t="s">
        <v>344</v>
      </c>
      <c r="C683" s="9" t="s">
        <v>30</v>
      </c>
      <c r="D683" s="51">
        <v>901</v>
      </c>
    </row>
    <row r="684" spans="1:4" x14ac:dyDescent="0.2">
      <c r="A684" s="9" t="s">
        <v>16</v>
      </c>
      <c r="B684" s="9" t="s">
        <v>260</v>
      </c>
      <c r="C684" s="9" t="s">
        <v>30</v>
      </c>
      <c r="D684" s="51">
        <v>648</v>
      </c>
    </row>
    <row r="685" spans="1:4" x14ac:dyDescent="0.2">
      <c r="A685" s="9" t="s">
        <v>18</v>
      </c>
      <c r="B685" s="9" t="s">
        <v>489</v>
      </c>
      <c r="C685" s="9" t="s">
        <v>30</v>
      </c>
      <c r="D685" s="51">
        <v>432</v>
      </c>
    </row>
    <row r="686" spans="1:4" x14ac:dyDescent="0.2">
      <c r="A686" s="9" t="s">
        <v>18</v>
      </c>
      <c r="B686" s="9" t="s">
        <v>344</v>
      </c>
      <c r="C686" s="9" t="s">
        <v>30</v>
      </c>
      <c r="D686" s="51">
        <v>360</v>
      </c>
    </row>
    <row r="687" spans="1:4" x14ac:dyDescent="0.2">
      <c r="A687" s="9" t="s">
        <v>19</v>
      </c>
      <c r="B687" s="9" t="s">
        <v>262</v>
      </c>
      <c r="C687" s="9" t="s">
        <v>30</v>
      </c>
      <c r="D687" s="51">
        <v>274</v>
      </c>
    </row>
    <row r="688" spans="1:4" x14ac:dyDescent="0.2">
      <c r="A688" s="9" t="s">
        <v>18</v>
      </c>
      <c r="B688" s="9" t="s">
        <v>490</v>
      </c>
      <c r="C688" s="9" t="s">
        <v>30</v>
      </c>
      <c r="D688" s="51">
        <v>70</v>
      </c>
    </row>
    <row r="689" spans="1:4" x14ac:dyDescent="0.2">
      <c r="A689" s="9" t="s">
        <v>16</v>
      </c>
      <c r="B689" s="9" t="s">
        <v>406</v>
      </c>
      <c r="C689" s="9" t="s">
        <v>407</v>
      </c>
      <c r="D689" s="51">
        <v>43848</v>
      </c>
    </row>
    <row r="690" spans="1:4" x14ac:dyDescent="0.2">
      <c r="A690" s="9" t="s">
        <v>18</v>
      </c>
      <c r="B690" s="9" t="s">
        <v>414</v>
      </c>
      <c r="C690" s="9" t="s">
        <v>407</v>
      </c>
      <c r="D690" s="51">
        <v>15066</v>
      </c>
    </row>
    <row r="691" spans="1:4" x14ac:dyDescent="0.2">
      <c r="A691" s="9" t="s">
        <v>18</v>
      </c>
      <c r="B691" s="9" t="s">
        <v>412</v>
      </c>
      <c r="C691" s="9" t="s">
        <v>407</v>
      </c>
      <c r="D691" s="51">
        <v>13600</v>
      </c>
    </row>
    <row r="692" spans="1:4" x14ac:dyDescent="0.2">
      <c r="A692" s="9" t="s">
        <v>18</v>
      </c>
      <c r="B692" s="9" t="s">
        <v>414</v>
      </c>
      <c r="C692" s="9" t="s">
        <v>407</v>
      </c>
      <c r="D692" s="51">
        <v>10242</v>
      </c>
    </row>
    <row r="693" spans="1:4" x14ac:dyDescent="0.2">
      <c r="A693" s="9" t="s">
        <v>16</v>
      </c>
      <c r="B693" s="9" t="s">
        <v>408</v>
      </c>
      <c r="C693" s="9" t="s">
        <v>407</v>
      </c>
      <c r="D693" s="51">
        <v>10096</v>
      </c>
    </row>
    <row r="694" spans="1:4" x14ac:dyDescent="0.2">
      <c r="A694" s="9" t="s">
        <v>16</v>
      </c>
      <c r="B694" s="9" t="s">
        <v>408</v>
      </c>
      <c r="C694" s="9" t="s">
        <v>407</v>
      </c>
      <c r="D694" s="51">
        <v>10080</v>
      </c>
    </row>
    <row r="695" spans="1:4" x14ac:dyDescent="0.2">
      <c r="A695" s="9" t="s">
        <v>16</v>
      </c>
      <c r="B695" s="9" t="s">
        <v>408</v>
      </c>
      <c r="C695" s="9" t="s">
        <v>407</v>
      </c>
      <c r="D695" s="51">
        <v>10080</v>
      </c>
    </row>
    <row r="696" spans="1:4" x14ac:dyDescent="0.2">
      <c r="A696" s="9" t="s">
        <v>16</v>
      </c>
      <c r="B696" s="9" t="s">
        <v>408</v>
      </c>
      <c r="C696" s="9" t="s">
        <v>407</v>
      </c>
      <c r="D696" s="51">
        <v>10064</v>
      </c>
    </row>
    <row r="697" spans="1:4" x14ac:dyDescent="0.2">
      <c r="A697" s="9" t="s">
        <v>16</v>
      </c>
      <c r="B697" s="9" t="s">
        <v>411</v>
      </c>
      <c r="C697" s="9" t="s">
        <v>407</v>
      </c>
      <c r="D697" s="51">
        <v>8832</v>
      </c>
    </row>
    <row r="698" spans="1:4" x14ac:dyDescent="0.2">
      <c r="A698" s="9" t="s">
        <v>16</v>
      </c>
      <c r="B698" s="9" t="s">
        <v>408</v>
      </c>
      <c r="C698" s="9" t="s">
        <v>407</v>
      </c>
      <c r="D698" s="51">
        <v>8816</v>
      </c>
    </row>
    <row r="699" spans="1:4" x14ac:dyDescent="0.2">
      <c r="A699" s="9" t="s">
        <v>17</v>
      </c>
      <c r="B699" s="9" t="s">
        <v>413</v>
      </c>
      <c r="C699" s="9" t="s">
        <v>407</v>
      </c>
      <c r="D699" s="51">
        <v>8759</v>
      </c>
    </row>
    <row r="700" spans="1:4" x14ac:dyDescent="0.2">
      <c r="A700" s="9" t="s">
        <v>17</v>
      </c>
      <c r="B700" s="9" t="s">
        <v>413</v>
      </c>
      <c r="C700" s="9" t="s">
        <v>407</v>
      </c>
      <c r="D700" s="51">
        <v>6688</v>
      </c>
    </row>
    <row r="701" spans="1:4" x14ac:dyDescent="0.2">
      <c r="A701" s="9" t="s">
        <v>18</v>
      </c>
      <c r="B701" s="9" t="s">
        <v>417</v>
      </c>
      <c r="C701" s="9" t="s">
        <v>407</v>
      </c>
      <c r="D701" s="51">
        <v>6677</v>
      </c>
    </row>
    <row r="702" spans="1:4" x14ac:dyDescent="0.2">
      <c r="A702" s="9" t="s">
        <v>16</v>
      </c>
      <c r="B702" s="9" t="s">
        <v>461</v>
      </c>
      <c r="C702" s="9" t="s">
        <v>407</v>
      </c>
      <c r="D702" s="51">
        <v>6495</v>
      </c>
    </row>
    <row r="703" spans="1:4" x14ac:dyDescent="0.2">
      <c r="A703" s="9" t="s">
        <v>17</v>
      </c>
      <c r="B703" s="9" t="s">
        <v>334</v>
      </c>
      <c r="C703" s="9" t="s">
        <v>407</v>
      </c>
      <c r="D703" s="51">
        <v>5278</v>
      </c>
    </row>
    <row r="704" spans="1:4" x14ac:dyDescent="0.2">
      <c r="A704" s="9" t="s">
        <v>17</v>
      </c>
      <c r="B704" s="9" t="s">
        <v>334</v>
      </c>
      <c r="C704" s="9" t="s">
        <v>407</v>
      </c>
      <c r="D704" s="51">
        <v>5278</v>
      </c>
    </row>
    <row r="705" spans="1:4" x14ac:dyDescent="0.2">
      <c r="A705" s="9" t="s">
        <v>16</v>
      </c>
      <c r="B705" s="9" t="s">
        <v>419</v>
      </c>
      <c r="C705" s="9" t="s">
        <v>407</v>
      </c>
      <c r="D705" s="51">
        <v>4179</v>
      </c>
    </row>
    <row r="706" spans="1:4" x14ac:dyDescent="0.2">
      <c r="A706" s="9" t="s">
        <v>18</v>
      </c>
      <c r="B706" s="9" t="s">
        <v>410</v>
      </c>
      <c r="C706" s="9" t="s">
        <v>407</v>
      </c>
      <c r="D706" s="51">
        <v>2916</v>
      </c>
    </row>
    <row r="707" spans="1:4" x14ac:dyDescent="0.2">
      <c r="A707" s="9" t="s">
        <v>17</v>
      </c>
      <c r="B707" s="9" t="s">
        <v>263</v>
      </c>
      <c r="C707" s="9" t="s">
        <v>407</v>
      </c>
      <c r="D707" s="51">
        <v>1380</v>
      </c>
    </row>
    <row r="708" spans="1:4" x14ac:dyDescent="0.2">
      <c r="A708" s="9" t="s">
        <v>18</v>
      </c>
      <c r="B708" s="9" t="s">
        <v>415</v>
      </c>
      <c r="C708" s="9" t="s">
        <v>407</v>
      </c>
      <c r="D708" s="51">
        <v>861</v>
      </c>
    </row>
    <row r="709" spans="1:4" x14ac:dyDescent="0.2">
      <c r="A709" s="9" t="s">
        <v>16</v>
      </c>
      <c r="B709" s="9" t="s">
        <v>416</v>
      </c>
      <c r="C709" s="9" t="s">
        <v>407</v>
      </c>
      <c r="D709" s="51">
        <v>861</v>
      </c>
    </row>
    <row r="710" spans="1:4" x14ac:dyDescent="0.2">
      <c r="A710" s="9" t="s">
        <v>17</v>
      </c>
      <c r="B710" s="9" t="s">
        <v>263</v>
      </c>
      <c r="C710" s="9" t="s">
        <v>407</v>
      </c>
      <c r="D710" s="51">
        <v>738</v>
      </c>
    </row>
    <row r="711" spans="1:4" x14ac:dyDescent="0.2">
      <c r="A711" s="9" t="s">
        <v>16</v>
      </c>
      <c r="B711" s="9" t="s">
        <v>416</v>
      </c>
      <c r="C711" s="9" t="s">
        <v>407</v>
      </c>
      <c r="D711" s="51">
        <v>644</v>
      </c>
    </row>
    <row r="712" spans="1:4" x14ac:dyDescent="0.2">
      <c r="A712" s="9" t="s">
        <v>17</v>
      </c>
      <c r="B712" s="9" t="s">
        <v>409</v>
      </c>
      <c r="C712" s="9" t="s">
        <v>407</v>
      </c>
      <c r="D712" s="51">
        <v>90</v>
      </c>
    </row>
    <row r="713" spans="1:4" x14ac:dyDescent="0.2">
      <c r="A713" s="9" t="s">
        <v>17</v>
      </c>
      <c r="B713" s="9" t="s">
        <v>420</v>
      </c>
      <c r="C713" s="9" t="s">
        <v>407</v>
      </c>
      <c r="D713" s="51">
        <v>48</v>
      </c>
    </row>
    <row r="714" spans="1:4" x14ac:dyDescent="0.2">
      <c r="A714" s="9" t="s">
        <v>17</v>
      </c>
      <c r="B714" s="9" t="s">
        <v>409</v>
      </c>
      <c r="C714" s="9" t="s">
        <v>407</v>
      </c>
      <c r="D714" s="51">
        <v>38</v>
      </c>
    </row>
    <row r="715" spans="1:4" x14ac:dyDescent="0.2">
      <c r="A715" s="9" t="s">
        <v>18</v>
      </c>
      <c r="B715" s="9" t="s">
        <v>418</v>
      </c>
      <c r="C715" s="9" t="s">
        <v>407</v>
      </c>
      <c r="D715" s="51">
        <v>18</v>
      </c>
    </row>
    <row r="716" spans="1:4" x14ac:dyDescent="0.2">
      <c r="A716" s="9" t="s">
        <v>16</v>
      </c>
      <c r="B716" s="9" t="s">
        <v>450</v>
      </c>
      <c r="C716" s="9" t="s">
        <v>421</v>
      </c>
      <c r="D716" s="51">
        <v>60</v>
      </c>
    </row>
    <row r="717" spans="1:4" x14ac:dyDescent="0.2">
      <c r="A717" s="9" t="s">
        <v>16</v>
      </c>
      <c r="B717" s="9" t="s">
        <v>422</v>
      </c>
      <c r="C717" s="9" t="s">
        <v>421</v>
      </c>
      <c r="D717" s="51">
        <v>17</v>
      </c>
    </row>
    <row r="718" spans="1:4" x14ac:dyDescent="0.2">
      <c r="A718" s="9" t="s">
        <v>18</v>
      </c>
      <c r="B718" s="9" t="s">
        <v>491</v>
      </c>
      <c r="C718" s="9" t="s">
        <v>421</v>
      </c>
      <c r="D718" s="51">
        <v>15</v>
      </c>
    </row>
    <row r="719" spans="1:4" x14ac:dyDescent="0.2">
      <c r="A719" s="9" t="s">
        <v>18</v>
      </c>
      <c r="B719" s="9" t="s">
        <v>492</v>
      </c>
      <c r="C719" s="9" t="s">
        <v>421</v>
      </c>
      <c r="D719" s="51">
        <v>11</v>
      </c>
    </row>
    <row r="720" spans="1:4" x14ac:dyDescent="0.2">
      <c r="A720" s="9" t="s">
        <v>18</v>
      </c>
      <c r="B720" s="9" t="s">
        <v>493</v>
      </c>
      <c r="C720" s="9" t="s">
        <v>421</v>
      </c>
      <c r="D720" s="51">
        <v>9</v>
      </c>
    </row>
    <row r="721" spans="1:4" x14ac:dyDescent="0.2">
      <c r="A721" s="9" t="s">
        <v>17</v>
      </c>
      <c r="B721" s="9" t="s">
        <v>374</v>
      </c>
      <c r="C721" s="9" t="s">
        <v>421</v>
      </c>
      <c r="D721" s="51">
        <v>8</v>
      </c>
    </row>
    <row r="722" spans="1:4" x14ac:dyDescent="0.2">
      <c r="A722" s="9" t="s">
        <v>16</v>
      </c>
      <c r="B722" s="9" t="s">
        <v>423</v>
      </c>
      <c r="C722" s="9" t="s">
        <v>421</v>
      </c>
      <c r="D722" s="51">
        <v>5</v>
      </c>
    </row>
    <row r="723" spans="1:4" ht="16" x14ac:dyDescent="0.2">
      <c r="D723" s="13">
        <v>1305133</v>
      </c>
    </row>
    <row r="1227" spans="4:4" x14ac:dyDescent="0.2">
      <c r="D1227" s="10"/>
    </row>
  </sheetData>
  <sortState xmlns:xlrd2="http://schemas.microsoft.com/office/spreadsheetml/2017/richdata2" ref="A6:D723">
    <sortCondition ref="C6:C723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23"/>
  <sheetViews>
    <sheetView zoomScaleNormal="100" workbookViewId="0">
      <selection activeCell="B32" sqref="B32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462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21</v>
      </c>
      <c r="B5" s="16" t="s">
        <v>5</v>
      </c>
      <c r="C5" s="16" t="s">
        <v>6</v>
      </c>
    </row>
    <row r="6" spans="1:3" ht="16" x14ac:dyDescent="0.2">
      <c r="A6" s="9" t="s">
        <v>463</v>
      </c>
      <c r="B6" s="10">
        <v>388345</v>
      </c>
      <c r="C6" s="17">
        <v>21347</v>
      </c>
    </row>
    <row r="7" spans="1:3" ht="16" x14ac:dyDescent="0.2">
      <c r="A7" s="9" t="s">
        <v>464</v>
      </c>
      <c r="B7" s="10">
        <v>387090</v>
      </c>
      <c r="C7" s="17">
        <v>21445</v>
      </c>
    </row>
    <row r="8" spans="1:3" ht="16" x14ac:dyDescent="0.2">
      <c r="A8" s="9" t="s">
        <v>451</v>
      </c>
      <c r="B8" s="11">
        <v>159930</v>
      </c>
      <c r="C8" s="11">
        <v>8679</v>
      </c>
    </row>
    <row r="9" spans="1:3" ht="16" x14ac:dyDescent="0.2">
      <c r="A9" s="9" t="s">
        <v>452</v>
      </c>
      <c r="B9" s="10">
        <v>157811</v>
      </c>
      <c r="C9" s="10">
        <v>8670</v>
      </c>
    </row>
    <row r="10" spans="1:3" ht="16" x14ac:dyDescent="0.2">
      <c r="A10" s="12" t="s">
        <v>465</v>
      </c>
      <c r="B10" s="10">
        <v>60479</v>
      </c>
      <c r="C10" s="17">
        <v>3221</v>
      </c>
    </row>
    <row r="11" spans="1:3" ht="16" x14ac:dyDescent="0.2">
      <c r="A11" s="9" t="s">
        <v>466</v>
      </c>
      <c r="B11" s="11">
        <v>58039</v>
      </c>
      <c r="C11" s="11">
        <v>3101</v>
      </c>
    </row>
    <row r="12" spans="1:3" ht="16" x14ac:dyDescent="0.2">
      <c r="A12" s="9" t="s">
        <v>467</v>
      </c>
      <c r="B12" s="11">
        <v>25685</v>
      </c>
      <c r="C12" s="11">
        <v>1371</v>
      </c>
    </row>
    <row r="13" spans="1:3" ht="16" x14ac:dyDescent="0.2">
      <c r="A13" s="9" t="s">
        <v>31</v>
      </c>
      <c r="B13" s="11">
        <v>17888</v>
      </c>
      <c r="C13" s="11">
        <v>963</v>
      </c>
    </row>
    <row r="14" spans="1:3" ht="16" x14ac:dyDescent="0.2">
      <c r="A14" s="9" t="s">
        <v>32</v>
      </c>
      <c r="B14" s="10">
        <v>17380</v>
      </c>
      <c r="C14" s="10">
        <v>969</v>
      </c>
    </row>
    <row r="15" spans="1:3" ht="16" x14ac:dyDescent="0.2">
      <c r="A15" s="9" t="s">
        <v>34</v>
      </c>
      <c r="B15" s="11">
        <v>16455</v>
      </c>
      <c r="C15" s="11">
        <v>914</v>
      </c>
    </row>
    <row r="16" spans="1:3" ht="16" x14ac:dyDescent="0.2">
      <c r="A16" s="9" t="s">
        <v>33</v>
      </c>
      <c r="B16" s="10">
        <v>16031</v>
      </c>
      <c r="C16" s="10">
        <v>887</v>
      </c>
    </row>
    <row r="17" spans="2:3" ht="16" x14ac:dyDescent="0.2">
      <c r="B17" s="13">
        <v>1305133</v>
      </c>
      <c r="C17" s="13">
        <v>71567</v>
      </c>
    </row>
    <row r="19" spans="2:3" ht="16" x14ac:dyDescent="0.2">
      <c r="B19" s="10"/>
      <c r="C19" s="10"/>
    </row>
    <row r="23" spans="2:3" ht="16" x14ac:dyDescent="0.2">
      <c r="B23" s="13"/>
      <c r="C23" s="13"/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21"/>
  <sheetViews>
    <sheetView zoomScaleNormal="100" workbookViewId="0">
      <selection activeCell="L17" sqref="L17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4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462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2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24</v>
      </c>
      <c r="B5" s="16" t="s">
        <v>5</v>
      </c>
      <c r="C5" s="16" t="s">
        <v>6</v>
      </c>
      <c r="D5" s="43" t="s">
        <v>23</v>
      </c>
    </row>
    <row r="6" spans="1:4" ht="16" x14ac:dyDescent="0.2">
      <c r="A6" s="41">
        <v>46054</v>
      </c>
      <c r="B6" s="10">
        <v>284516</v>
      </c>
      <c r="C6" s="10">
        <v>15656</v>
      </c>
      <c r="D6" s="44">
        <v>1890.7125000000001</v>
      </c>
    </row>
    <row r="7" spans="1:4" ht="16" x14ac:dyDescent="0.2">
      <c r="A7" s="41">
        <v>46055</v>
      </c>
      <c r="B7" s="10">
        <v>194194</v>
      </c>
      <c r="C7" s="10">
        <v>10509</v>
      </c>
      <c r="D7" s="44">
        <v>1273.5450000000001</v>
      </c>
    </row>
    <row r="8" spans="1:4" ht="16" x14ac:dyDescent="0.2">
      <c r="A8" s="41">
        <v>46056</v>
      </c>
      <c r="B8" s="11">
        <v>137800</v>
      </c>
      <c r="C8" s="11">
        <v>7901</v>
      </c>
      <c r="D8" s="34">
        <v>837.96749999999997</v>
      </c>
    </row>
    <row r="9" spans="1:4" ht="16" x14ac:dyDescent="0.2">
      <c r="A9" s="41">
        <v>46057</v>
      </c>
      <c r="B9" s="10">
        <v>120787</v>
      </c>
      <c r="C9" s="10">
        <v>6602</v>
      </c>
      <c r="D9" s="40">
        <v>722.64</v>
      </c>
    </row>
    <row r="10" spans="1:4" ht="16" x14ac:dyDescent="0.2">
      <c r="A10" s="41">
        <v>46058</v>
      </c>
      <c r="B10" s="10">
        <v>119484</v>
      </c>
      <c r="C10" s="10">
        <v>6640</v>
      </c>
      <c r="D10" s="40">
        <v>712.125</v>
      </c>
    </row>
    <row r="11" spans="1:4" ht="16" x14ac:dyDescent="0.2">
      <c r="A11" s="41">
        <v>46059</v>
      </c>
      <c r="B11" s="10">
        <v>122256</v>
      </c>
      <c r="C11" s="10">
        <v>6836</v>
      </c>
      <c r="D11" s="40">
        <v>728.28</v>
      </c>
    </row>
    <row r="12" spans="1:4" ht="16" x14ac:dyDescent="0.2">
      <c r="A12" s="41">
        <v>46060</v>
      </c>
      <c r="B12" s="10">
        <v>165957</v>
      </c>
      <c r="C12" s="10">
        <v>9161</v>
      </c>
      <c r="D12" s="40">
        <v>996.16499999999996</v>
      </c>
    </row>
    <row r="13" spans="1:4" ht="16" x14ac:dyDescent="0.2">
      <c r="A13" s="41">
        <v>46061</v>
      </c>
      <c r="B13" s="10">
        <v>160139</v>
      </c>
      <c r="C13" s="10">
        <v>8262</v>
      </c>
      <c r="D13" s="40">
        <v>965.64750000000004</v>
      </c>
    </row>
    <row r="14" spans="1:4" ht="16" x14ac:dyDescent="0.2">
      <c r="A14" s="41"/>
      <c r="B14" s="13">
        <v>1305133</v>
      </c>
      <c r="C14" s="13">
        <v>71567</v>
      </c>
      <c r="D14" s="37">
        <v>8127.0825000000004</v>
      </c>
    </row>
    <row r="21" spans="9:9" ht="16" x14ac:dyDescent="0.2">
      <c r="I21" s="9" t="s">
        <v>28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2026-02-16T03:45:45Z</dcterms:modified>
</cp:coreProperties>
</file>