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itspty\citrixupm$\UserData\tm\Desktop\Media Reports - May - 25\"/>
    </mc:Choice>
  </mc:AlternateContent>
  <xr:revisionPtr revIDLastSave="0" documentId="8_{1FBBC596-8C5C-4D58-9FC4-F14BA6B0802D}" xr6:coauthVersionLast="47" xr6:coauthVersionMax="47" xr10:uidLastSave="{00000000-0000-0000-0000-000000000000}"/>
  <bookViews>
    <workbookView xWindow="-120" yWindow="-120" windowWidth="21780" windowHeight="11190" xr2:uid="{2E2AF8A1-3EDE-8A41-81D9-1407A2624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2" i="1" l="1"/>
  <c r="AM12" i="1"/>
  <c r="AJ12" i="1"/>
  <c r="AH12" i="1"/>
  <c r="AE12" i="1"/>
  <c r="AC12" i="1"/>
  <c r="AA12" i="1"/>
  <c r="Y12" i="1"/>
  <c r="V12" i="1"/>
  <c r="T12" i="1"/>
  <c r="R12" i="1"/>
  <c r="P12" i="1"/>
  <c r="M12" i="1"/>
  <c r="K12" i="1"/>
  <c r="I12" i="1"/>
  <c r="G12" i="1"/>
  <c r="D12" i="1"/>
  <c r="B12" i="1"/>
</calcChain>
</file>

<file path=xl/sharedStrings.xml><?xml version="1.0" encoding="utf-8"?>
<sst xmlns="http://schemas.openxmlformats.org/spreadsheetml/2006/main" count="46" uniqueCount="12">
  <si>
    <t>Betonline Delviery 2/1-2/28</t>
  </si>
  <si>
    <t>Impressions</t>
  </si>
  <si>
    <t>Completion %</t>
  </si>
  <si>
    <t xml:space="preserve">ESPN - </t>
  </si>
  <si>
    <t xml:space="preserve">Fox Sports - </t>
  </si>
  <si>
    <t>CBS Sports -</t>
  </si>
  <si>
    <t xml:space="preserve">RSN Live Games </t>
  </si>
  <si>
    <t xml:space="preserve">SB Nation </t>
  </si>
  <si>
    <t xml:space="preserve">Big 10 Network - </t>
  </si>
  <si>
    <t xml:space="preserve">ACC Network - </t>
  </si>
  <si>
    <t xml:space="preserve">SEC Network -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</si>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</sst>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64" fontId="2" fillId="0" borderId="0" xfId="1" applyNumberFormat="1" applyFont="1"/>
    <xf numFmtId="9" fontId="2" fillId="0" borderId="0" xfId="2" applyFont="1"/>
    <xf numFmtId="14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/>
    </xf>
    <xf numFmtId="14" fontId="2" fillId="0" borderId="2" xfId="2" applyNumberFormat="1" applyFont="1" applyBorder="1" applyAlignment="1">
      <alignment horizontal="center"/>
    </xf>
    <xf numFmtId="14" fontId="2" fillId="0" borderId="3" xfId="2" applyNumberFormat="1" applyFont="1" applyBorder="1" applyAlignment="1">
      <alignment horizontal="center"/>
    </xf>
    <xf numFmtId="14" fontId="2" fillId="0" borderId="0" xfId="2" applyNumberFormat="1" applyFont="1" applyAlignment="1">
      <alignment horizontal="center"/>
    </xf>
    <xf numFmtId="9" fontId="2" fillId="0" borderId="2" xfId="2" applyFont="1" applyBorder="1" applyAlignment="1">
      <alignment horizontal="center"/>
    </xf>
    <xf numFmtId="9" fontId="2" fillId="0" borderId="3" xfId="2" applyFont="1" applyBorder="1" applyAlignment="1">
      <alignment horizontal="center"/>
    </xf>
    <xf numFmtId="9" fontId="2" fillId="0" borderId="0" xfId="2" applyFont="1" applyAlignment="1">
      <alignment horizontal="center"/>
    </xf>
    <xf numFmtId="14" fontId="2" fillId="0" borderId="0" xfId="1" applyNumberFormat="1" applyFont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9" fontId="3" fillId="2" borderId="5" xfId="2" applyFont="1" applyFill="1" applyBorder="1" applyAlignment="1">
      <alignment horizontal="center"/>
    </xf>
    <xf numFmtId="9" fontId="3" fillId="2" borderId="6" xfId="2" applyFont="1" applyFill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4" fontId="4" fillId="0" borderId="7" xfId="1" applyNumberFormat="1" applyFont="1" applyBorder="1"/>
    <xf numFmtId="164" fontId="2" fillId="0" borderId="0" xfId="1" applyNumberFormat="1" applyFont="1" applyBorder="1"/>
    <xf numFmtId="9" fontId="5" fillId="0" borderId="0" xfId="2" applyFont="1" applyBorder="1" applyAlignment="1"/>
    <xf numFmtId="9" fontId="5" fillId="0" borderId="8" xfId="2" applyFont="1" applyBorder="1" applyAlignment="1"/>
    <xf numFmtId="9" fontId="5" fillId="0" borderId="0" xfId="2" applyFont="1" applyAlignment="1"/>
    <xf numFmtId="164" fontId="2" fillId="0" borderId="7" xfId="1" applyNumberFormat="1" applyFont="1" applyBorder="1"/>
    <xf numFmtId="164" fontId="2" fillId="0" borderId="9" xfId="1" applyNumberFormat="1" applyFont="1" applyBorder="1"/>
    <xf numFmtId="164" fontId="2" fillId="0" borderId="4" xfId="1" applyNumberFormat="1" applyFont="1" applyBorder="1"/>
    <xf numFmtId="9" fontId="2" fillId="0" borderId="5" xfId="2" applyFont="1" applyBorder="1"/>
    <xf numFmtId="164" fontId="2" fillId="0" borderId="5" xfId="1" applyNumberFormat="1" applyFont="1" applyBorder="1"/>
    <xf numFmtId="9" fontId="2" fillId="0" borderId="6" xfId="2" applyFont="1" applyBorder="1"/>
    <xf numFmtId="164" fontId="2" fillId="0" borderId="6" xfId="1" applyNumberFormat="1" applyFont="1" applyBorder="1"/>
    <xf numFmtId="9" fontId="2" fillId="0" borderId="10" xfId="2" applyFont="1" applyBorder="1"/>
    <xf numFmtId="9" fontId="2" fillId="0" borderId="11" xfId="2" applyFont="1" applyBorder="1"/>
    <xf numFmtId="164" fontId="2" fillId="0" borderId="11" xfId="1" applyNumberFormat="1" applyFont="1" applyBorder="1"/>
    <xf numFmtId="164" fontId="2" fillId="0" borderId="10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9974-814A-254C-BA0E-CB82A88609D5}">
  <dimension ref="A1:AP16"/>
  <sheetViews>
    <sheetView tabSelected="1" workbookViewId="0">
      <selection activeCell="AP16" sqref="AP16"/>
    </sheetView>
  </sheetViews>
  <sheetFormatPr defaultColWidth="8.77734375" defaultRowHeight="18"/>
  <cols>
    <col min="1" max="1" width="39.6640625" style="1" customWidth="1"/>
    <col min="2" max="2" width="22" style="1" customWidth="1"/>
    <col min="3" max="3" width="19" style="2" customWidth="1"/>
    <col min="4" max="4" width="29.33203125" style="1" customWidth="1"/>
    <col min="5" max="5" width="22.77734375" style="2" customWidth="1"/>
    <col min="6" max="6" width="13.44140625" style="2" customWidth="1"/>
    <col min="7" max="7" width="17.109375" style="1" customWidth="1"/>
    <col min="8" max="8" width="22.109375" style="2" customWidth="1"/>
    <col min="9" max="9" width="16.6640625" style="1" customWidth="1"/>
    <col min="10" max="10" width="22.33203125" style="2" customWidth="1"/>
    <col min="11" max="11" width="19.77734375" style="1" customWidth="1"/>
    <col min="12" max="12" width="19.109375" style="2" customWidth="1"/>
    <col min="13" max="13" width="18.6640625" style="1" customWidth="1"/>
    <col min="14" max="14" width="17.44140625" style="2" customWidth="1"/>
    <col min="15" max="15" width="13.44140625" style="2" customWidth="1"/>
    <col min="16" max="16" width="19.33203125" style="1" customWidth="1"/>
    <col min="17" max="17" width="22" style="2" customWidth="1"/>
    <col min="18" max="18" width="18" style="1" customWidth="1"/>
    <col min="19" max="19" width="22.6640625" style="2" customWidth="1"/>
    <col min="20" max="20" width="18.6640625" style="1" customWidth="1"/>
    <col min="21" max="21" width="23.77734375" style="2" customWidth="1"/>
    <col min="22" max="22" width="20.6640625" style="1" customWidth="1"/>
    <col min="23" max="23" width="20" style="2" customWidth="1"/>
    <col min="24" max="24" width="13.44140625" style="2" customWidth="1"/>
    <col min="25" max="25" width="17.6640625" style="1" customWidth="1"/>
    <col min="26" max="26" width="17.44140625" style="2" customWidth="1"/>
    <col min="27" max="27" width="19.33203125" style="1" customWidth="1"/>
    <col min="28" max="28" width="13.44140625" style="2" bestFit="1" customWidth="1"/>
    <col min="29" max="29" width="17.6640625" style="1" customWidth="1"/>
    <col min="30" max="30" width="13.44140625" style="2" bestFit="1" customWidth="1"/>
    <col min="31" max="31" width="16.109375" style="1" customWidth="1"/>
    <col min="32" max="32" width="18.77734375" style="2" customWidth="1"/>
    <col min="33" max="33" width="11.6640625" style="1" bestFit="1" customWidth="1"/>
    <col min="34" max="34" width="19.77734375" style="1" customWidth="1"/>
    <col min="35" max="35" width="17.109375" style="1" customWidth="1"/>
    <col min="36" max="36" width="16.77734375" style="1" customWidth="1"/>
    <col min="37" max="37" width="22.77734375" style="1" customWidth="1"/>
    <col min="38" max="38" width="9.44140625" style="1" bestFit="1" customWidth="1"/>
    <col min="39" max="39" width="22.6640625" style="1" customWidth="1"/>
    <col min="40" max="40" width="17.77734375" style="1" customWidth="1"/>
    <col min="41" max="41" width="22.109375" style="1" customWidth="1"/>
    <col min="42" max="42" width="17.33203125" style="1" customWidth="1"/>
    <col min="43" max="16384" width="8.77734375" style="1"/>
  </cols>
  <sheetData>
    <row r="1" spans="1:42" ht="18.75" thickBot="1"/>
    <row r="2" spans="1:42" s="11" customFormat="1" ht="18.75" thickBot="1">
      <c r="A2" s="3"/>
      <c r="B2" s="4">
        <v>45778</v>
      </c>
      <c r="C2" s="5"/>
      <c r="D2" s="4">
        <v>45779</v>
      </c>
      <c r="E2" s="6"/>
      <c r="F2" s="7"/>
      <c r="G2" s="3">
        <v>45780</v>
      </c>
      <c r="H2" s="5"/>
      <c r="I2" s="4">
        <v>45781</v>
      </c>
      <c r="J2" s="5"/>
      <c r="K2" s="4">
        <v>45785</v>
      </c>
      <c r="L2" s="5"/>
      <c r="M2" s="4">
        <v>45786</v>
      </c>
      <c r="N2" s="6"/>
      <c r="O2" s="7"/>
      <c r="P2" s="3">
        <v>45787</v>
      </c>
      <c r="Q2" s="5"/>
      <c r="R2" s="4">
        <v>45788</v>
      </c>
      <c r="S2" s="5"/>
      <c r="T2" s="4">
        <v>45792</v>
      </c>
      <c r="U2" s="8"/>
      <c r="V2" s="4">
        <v>45793</v>
      </c>
      <c r="W2" s="9"/>
      <c r="X2" s="10"/>
      <c r="Y2" s="3">
        <v>45794</v>
      </c>
      <c r="Z2" s="8"/>
      <c r="AA2" s="4">
        <v>45795</v>
      </c>
      <c r="AB2" s="8"/>
      <c r="AC2" s="4">
        <v>45799</v>
      </c>
      <c r="AD2" s="8"/>
      <c r="AE2" s="4">
        <v>45800</v>
      </c>
      <c r="AF2" s="9"/>
      <c r="AH2" s="3">
        <v>45801</v>
      </c>
      <c r="AI2" s="5"/>
      <c r="AJ2" s="4">
        <v>45802</v>
      </c>
      <c r="AK2" s="6"/>
      <c r="AM2" s="3">
        <v>45806</v>
      </c>
      <c r="AN2" s="5"/>
      <c r="AO2" s="4">
        <v>45807</v>
      </c>
      <c r="AP2" s="6"/>
    </row>
    <row r="3" spans="1:42" s="16" customFormat="1" ht="18.75" thickBot="1">
      <c r="A3" s="12" t="s">
        <v>0</v>
      </c>
      <c r="B3" s="13" t="s">
        <v>1</v>
      </c>
      <c r="C3" s="14" t="s">
        <v>2</v>
      </c>
      <c r="D3" s="13" t="s">
        <v>1</v>
      </c>
      <c r="E3" s="15" t="s">
        <v>2</v>
      </c>
      <c r="F3" s="14"/>
      <c r="G3" s="12" t="s">
        <v>1</v>
      </c>
      <c r="H3" s="14" t="s">
        <v>2</v>
      </c>
      <c r="I3" s="13" t="s">
        <v>1</v>
      </c>
      <c r="J3" s="14" t="s">
        <v>2</v>
      </c>
      <c r="K3" s="13" t="s">
        <v>1</v>
      </c>
      <c r="L3" s="14" t="s">
        <v>2</v>
      </c>
      <c r="M3" s="13" t="s">
        <v>1</v>
      </c>
      <c r="N3" s="15" t="s">
        <v>2</v>
      </c>
      <c r="O3" s="14"/>
      <c r="P3" s="12" t="s">
        <v>1</v>
      </c>
      <c r="Q3" s="14" t="s">
        <v>2</v>
      </c>
      <c r="R3" s="13" t="s">
        <v>1</v>
      </c>
      <c r="S3" s="14" t="s">
        <v>2</v>
      </c>
      <c r="T3" s="13" t="s">
        <v>1</v>
      </c>
      <c r="U3" s="14" t="s">
        <v>2</v>
      </c>
      <c r="V3" s="13" t="s">
        <v>1</v>
      </c>
      <c r="W3" s="15" t="s">
        <v>2</v>
      </c>
      <c r="X3" s="14"/>
      <c r="Y3" s="12" t="s">
        <v>1</v>
      </c>
      <c r="Z3" s="14" t="s">
        <v>2</v>
      </c>
      <c r="AA3" s="13" t="s">
        <v>1</v>
      </c>
      <c r="AB3" s="14" t="s">
        <v>2</v>
      </c>
      <c r="AC3" s="13" t="s">
        <v>1</v>
      </c>
      <c r="AD3" s="14" t="s">
        <v>2</v>
      </c>
      <c r="AE3" s="13" t="s">
        <v>1</v>
      </c>
      <c r="AF3" s="15" t="s">
        <v>2</v>
      </c>
      <c r="AH3" s="12" t="s">
        <v>1</v>
      </c>
      <c r="AI3" s="14" t="s">
        <v>2</v>
      </c>
      <c r="AJ3" s="13" t="s">
        <v>1</v>
      </c>
      <c r="AK3" s="15" t="s">
        <v>2</v>
      </c>
      <c r="AM3" s="12" t="s">
        <v>1</v>
      </c>
      <c r="AN3" s="14" t="s">
        <v>2</v>
      </c>
      <c r="AO3" s="13" t="s">
        <v>1</v>
      </c>
      <c r="AP3" s="15" t="s">
        <v>2</v>
      </c>
    </row>
    <row r="4" spans="1:42">
      <c r="A4" s="17" t="s">
        <v>3</v>
      </c>
      <c r="B4" s="18">
        <v>9876</v>
      </c>
      <c r="C4" s="19">
        <v>0.98299999999999998</v>
      </c>
      <c r="D4" s="18">
        <v>58738</v>
      </c>
      <c r="E4" s="20">
        <v>0.97099999999999997</v>
      </c>
      <c r="F4" s="21"/>
      <c r="G4" s="22">
        <v>75643</v>
      </c>
      <c r="H4" s="19">
        <v>0.96599999999999997</v>
      </c>
      <c r="I4" s="18">
        <v>65431</v>
      </c>
      <c r="J4" s="19">
        <v>0.98299999999999998</v>
      </c>
      <c r="K4" s="18">
        <v>91234</v>
      </c>
      <c r="L4" s="19">
        <v>0.98299999999999998</v>
      </c>
      <c r="M4" s="18">
        <v>63245</v>
      </c>
      <c r="N4" s="20">
        <v>0.96199999999999997</v>
      </c>
      <c r="O4" s="21"/>
      <c r="P4" s="22">
        <v>70456</v>
      </c>
      <c r="Q4" s="19">
        <v>0.97199999999999998</v>
      </c>
      <c r="R4" s="18">
        <v>74321</v>
      </c>
      <c r="S4" s="19">
        <v>0.98099999999999998</v>
      </c>
      <c r="T4" s="18">
        <v>64376</v>
      </c>
      <c r="U4" s="19">
        <v>0.97799999999999998</v>
      </c>
      <c r="V4" s="18">
        <v>46785</v>
      </c>
      <c r="W4" s="20">
        <v>0.97499999999999998</v>
      </c>
      <c r="X4" s="21"/>
      <c r="Y4" s="22">
        <v>77543</v>
      </c>
      <c r="Z4" s="19">
        <v>0.97499999999999998</v>
      </c>
      <c r="AA4" s="18">
        <v>64578</v>
      </c>
      <c r="AB4" s="19">
        <v>0.98399999999999999</v>
      </c>
      <c r="AC4" s="18">
        <v>58765</v>
      </c>
      <c r="AD4" s="19">
        <v>0.97599999999999998</v>
      </c>
      <c r="AE4" s="18">
        <v>45674</v>
      </c>
      <c r="AF4" s="20">
        <v>0.98099999999999998</v>
      </c>
      <c r="AH4" s="22">
        <v>37654</v>
      </c>
      <c r="AI4" s="19">
        <v>0.96799999999999997</v>
      </c>
      <c r="AJ4" s="18">
        <v>25678</v>
      </c>
      <c r="AK4" s="20">
        <v>0.96499999999999997</v>
      </c>
      <c r="AM4" s="22">
        <v>55432</v>
      </c>
      <c r="AN4" s="19">
        <v>0.97199999999999998</v>
      </c>
      <c r="AO4" s="18">
        <v>27654</v>
      </c>
      <c r="AP4" s="20">
        <v>0.98099999999999998</v>
      </c>
    </row>
    <row r="5" spans="1:42">
      <c r="A5" s="17" t="s">
        <v>4</v>
      </c>
      <c r="B5" s="18">
        <v>19854</v>
      </c>
      <c r="C5" s="19">
        <v>0.96599999999999997</v>
      </c>
      <c r="D5" s="18">
        <v>17641</v>
      </c>
      <c r="E5" s="20">
        <v>0.98199999999999998</v>
      </c>
      <c r="F5" s="21"/>
      <c r="G5" s="22">
        <v>56784</v>
      </c>
      <c r="H5" s="19">
        <v>0.99099999999999999</v>
      </c>
      <c r="I5" s="18">
        <v>38975</v>
      </c>
      <c r="J5" s="19">
        <v>0.98599999999999999</v>
      </c>
      <c r="K5" s="18">
        <v>52346</v>
      </c>
      <c r="L5" s="19">
        <v>0.97299999999999998</v>
      </c>
      <c r="M5" s="18">
        <v>48976</v>
      </c>
      <c r="N5" s="20">
        <v>0.99199999999999999</v>
      </c>
      <c r="O5" s="21"/>
      <c r="P5" s="22">
        <v>32768</v>
      </c>
      <c r="Q5" s="19">
        <v>0.996</v>
      </c>
      <c r="R5" s="18">
        <v>36875</v>
      </c>
      <c r="S5" s="19">
        <v>0.98399999999999999</v>
      </c>
      <c r="T5" s="18">
        <v>31875</v>
      </c>
      <c r="U5" s="19">
        <v>0.99099999999999999</v>
      </c>
      <c r="V5" s="18">
        <v>17826</v>
      </c>
      <c r="W5" s="20">
        <v>0.97299999999999998</v>
      </c>
      <c r="X5" s="21"/>
      <c r="Y5" s="22">
        <v>38987</v>
      </c>
      <c r="Z5" s="19">
        <v>0.98299999999999998</v>
      </c>
      <c r="AA5" s="18">
        <v>35678</v>
      </c>
      <c r="AB5" s="19">
        <v>0.96599999999999997</v>
      </c>
      <c r="AC5" s="18">
        <v>24675</v>
      </c>
      <c r="AD5" s="19">
        <v>0.99399999999999999</v>
      </c>
      <c r="AE5" s="18">
        <v>22345</v>
      </c>
      <c r="AF5" s="20">
        <v>0.995</v>
      </c>
      <c r="AH5" s="22">
        <v>16754</v>
      </c>
      <c r="AI5" s="19">
        <v>0.99</v>
      </c>
      <c r="AJ5" s="18">
        <v>15432</v>
      </c>
      <c r="AK5" s="20">
        <v>0.96</v>
      </c>
      <c r="AM5" s="22">
        <v>23145</v>
      </c>
      <c r="AN5" s="19">
        <v>0.996</v>
      </c>
      <c r="AO5" s="18">
        <v>21678</v>
      </c>
      <c r="AP5" s="20">
        <v>0.98399999999999999</v>
      </c>
    </row>
    <row r="6" spans="1:42">
      <c r="A6" s="17" t="s">
        <v>5</v>
      </c>
      <c r="B6" s="18">
        <v>65432</v>
      </c>
      <c r="C6" s="19">
        <v>0.997</v>
      </c>
      <c r="D6" s="18">
        <v>78888</v>
      </c>
      <c r="E6" s="20">
        <v>0.996</v>
      </c>
      <c r="F6" s="21"/>
      <c r="G6" s="22">
        <v>58764</v>
      </c>
      <c r="H6" s="19">
        <v>0.98899999999999999</v>
      </c>
      <c r="I6" s="18">
        <v>49843</v>
      </c>
      <c r="J6" s="19">
        <v>0.98</v>
      </c>
      <c r="K6" s="18">
        <v>80765</v>
      </c>
      <c r="L6" s="19">
        <v>0.99399999999999999</v>
      </c>
      <c r="M6" s="18">
        <v>60897</v>
      </c>
      <c r="N6" s="20">
        <v>0.96599999999999997</v>
      </c>
      <c r="O6" s="21"/>
      <c r="P6" s="22">
        <v>45876</v>
      </c>
      <c r="Q6" s="19">
        <v>0.98699999999999999</v>
      </c>
      <c r="R6" s="18">
        <v>32567</v>
      </c>
      <c r="S6" s="19">
        <v>0.98699999999999999</v>
      </c>
      <c r="T6" s="18">
        <v>75632</v>
      </c>
      <c r="U6" s="19">
        <v>0.98399999999999999</v>
      </c>
      <c r="V6" s="18">
        <v>62345</v>
      </c>
      <c r="W6" s="20">
        <v>0.99099999999999999</v>
      </c>
      <c r="X6" s="21"/>
      <c r="Y6" s="22">
        <v>38908</v>
      </c>
      <c r="Z6" s="19">
        <v>0.97899999999999998</v>
      </c>
      <c r="AA6" s="18">
        <v>26789</v>
      </c>
      <c r="AB6" s="19">
        <v>0.97699999999999998</v>
      </c>
      <c r="AC6" s="18">
        <v>71234</v>
      </c>
      <c r="AD6" s="19">
        <v>0.98499999999999999</v>
      </c>
      <c r="AE6" s="18">
        <v>43265</v>
      </c>
      <c r="AF6" s="20">
        <v>0.98899999999999999</v>
      </c>
      <c r="AH6" s="22">
        <v>68975</v>
      </c>
      <c r="AI6" s="19">
        <v>0.97299999999999998</v>
      </c>
      <c r="AJ6" s="18">
        <v>45678</v>
      </c>
      <c r="AK6" s="20">
        <v>0.99099999999999999</v>
      </c>
      <c r="AM6" s="22">
        <v>21456</v>
      </c>
      <c r="AN6" s="19">
        <v>0.98699999999999999</v>
      </c>
      <c r="AO6" s="18">
        <v>23654</v>
      </c>
      <c r="AP6" s="20">
        <v>0.98699999999999999</v>
      </c>
    </row>
    <row r="7" spans="1:42">
      <c r="A7" s="17" t="s">
        <v>6</v>
      </c>
      <c r="B7" s="18">
        <v>97453</v>
      </c>
      <c r="C7" s="19">
        <v>0.96599999999999997</v>
      </c>
      <c r="D7" s="18">
        <v>71644</v>
      </c>
      <c r="E7" s="20">
        <v>0.96399999999999997</v>
      </c>
      <c r="F7" s="21"/>
      <c r="G7" s="22">
        <v>94573</v>
      </c>
      <c r="H7" s="19">
        <v>0.99</v>
      </c>
      <c r="I7" s="18">
        <v>63265</v>
      </c>
      <c r="J7" s="19">
        <v>0.99399999999999999</v>
      </c>
      <c r="K7" s="18">
        <v>75681</v>
      </c>
      <c r="L7" s="19">
        <v>0.97</v>
      </c>
      <c r="M7" s="18">
        <v>72689</v>
      </c>
      <c r="N7" s="20">
        <v>0.99199999999999999</v>
      </c>
      <c r="O7" s="21"/>
      <c r="P7" s="22">
        <v>80543</v>
      </c>
      <c r="Q7" s="19">
        <v>0.997</v>
      </c>
      <c r="R7" s="18">
        <v>45763</v>
      </c>
      <c r="S7" s="19">
        <v>0.997</v>
      </c>
      <c r="T7" s="18">
        <v>91234</v>
      </c>
      <c r="U7" s="19">
        <v>0.996</v>
      </c>
      <c r="V7" s="18">
        <v>67890</v>
      </c>
      <c r="W7" s="20">
        <v>0.98799999999999999</v>
      </c>
      <c r="X7" s="21"/>
      <c r="Y7" s="22">
        <v>87453</v>
      </c>
      <c r="Z7" s="19">
        <v>0.98899999999999999</v>
      </c>
      <c r="AA7" s="18">
        <v>78453</v>
      </c>
      <c r="AB7" s="19">
        <v>0.98899999999999999</v>
      </c>
      <c r="AC7" s="18">
        <v>73456</v>
      </c>
      <c r="AD7" s="19">
        <v>0.98699999999999999</v>
      </c>
      <c r="AE7" s="18">
        <v>75678</v>
      </c>
      <c r="AF7" s="20">
        <v>0.995</v>
      </c>
      <c r="AH7" s="22">
        <v>75678</v>
      </c>
      <c r="AI7" s="19">
        <v>0.97099999999999997</v>
      </c>
      <c r="AJ7" s="18">
        <v>57890</v>
      </c>
      <c r="AK7" s="20">
        <v>0.97899999999999998</v>
      </c>
      <c r="AM7" s="22">
        <v>26789</v>
      </c>
      <c r="AN7" s="19">
        <v>0.997</v>
      </c>
      <c r="AO7" s="18">
        <v>30876</v>
      </c>
      <c r="AP7" s="20">
        <v>0.997</v>
      </c>
    </row>
    <row r="8" spans="1:42">
      <c r="A8" s="17" t="s">
        <v>7</v>
      </c>
      <c r="B8" s="18">
        <v>1400</v>
      </c>
      <c r="C8" s="19">
        <v>0.97199999999999998</v>
      </c>
      <c r="D8" s="18">
        <v>1414</v>
      </c>
      <c r="E8" s="20">
        <v>0.98899999999999999</v>
      </c>
      <c r="F8" s="21"/>
      <c r="G8" s="22">
        <v>1713</v>
      </c>
      <c r="H8" s="19">
        <v>0.98699999999999999</v>
      </c>
      <c r="I8" s="18">
        <v>1428</v>
      </c>
      <c r="J8" s="19">
        <v>0.98</v>
      </c>
      <c r="K8" s="18">
        <v>1456</v>
      </c>
      <c r="L8" s="19">
        <v>0.99299999999999999</v>
      </c>
      <c r="M8" s="18">
        <v>1678</v>
      </c>
      <c r="N8" s="20">
        <v>0.96</v>
      </c>
      <c r="O8" s="21"/>
      <c r="P8" s="22">
        <v>1389</v>
      </c>
      <c r="Q8" s="19">
        <v>0.98199999999999998</v>
      </c>
      <c r="R8" s="18">
        <v>1357</v>
      </c>
      <c r="S8" s="19">
        <v>0.98199999999999998</v>
      </c>
      <c r="T8" s="18">
        <v>1465</v>
      </c>
      <c r="U8" s="19">
        <v>0.98499999999999999</v>
      </c>
      <c r="V8" s="18">
        <v>1456</v>
      </c>
      <c r="W8" s="20">
        <v>0.98399999999999999</v>
      </c>
      <c r="X8" s="21"/>
      <c r="Y8" s="22">
        <v>1330</v>
      </c>
      <c r="Z8" s="19">
        <v>0.98599999999999999</v>
      </c>
      <c r="AA8" s="18">
        <v>1265</v>
      </c>
      <c r="AB8" s="19">
        <v>0.98399999999999999</v>
      </c>
      <c r="AC8" s="18">
        <v>1356</v>
      </c>
      <c r="AD8" s="19">
        <v>0.98</v>
      </c>
      <c r="AE8" s="18">
        <v>176</v>
      </c>
      <c r="AF8" s="20">
        <v>0.99099999999999999</v>
      </c>
      <c r="AH8" s="22">
        <v>1123</v>
      </c>
      <c r="AI8" s="19">
        <v>0.98299999999999998</v>
      </c>
      <c r="AJ8" s="18">
        <v>1100</v>
      </c>
      <c r="AK8" s="20">
        <v>0.99299999999999999</v>
      </c>
      <c r="AM8" s="22">
        <v>1098</v>
      </c>
      <c r="AN8" s="19">
        <v>0.98199999999999998</v>
      </c>
      <c r="AO8" s="18">
        <v>1012</v>
      </c>
      <c r="AP8" s="20">
        <v>0.98199999999999998</v>
      </c>
    </row>
    <row r="9" spans="1:42">
      <c r="A9" s="17" t="s">
        <v>8</v>
      </c>
      <c r="B9" s="18">
        <v>67879</v>
      </c>
      <c r="C9" s="19">
        <v>0.98099999999999998</v>
      </c>
      <c r="D9" s="18">
        <v>66636</v>
      </c>
      <c r="E9" s="20">
        <v>0.997</v>
      </c>
      <c r="F9" s="21"/>
      <c r="G9" s="22">
        <v>63251</v>
      </c>
      <c r="H9" s="19">
        <v>0.97</v>
      </c>
      <c r="I9" s="18">
        <v>66784</v>
      </c>
      <c r="J9" s="19">
        <v>0.98199999999999998</v>
      </c>
      <c r="K9" s="18">
        <v>71345</v>
      </c>
      <c r="L9" s="19">
        <v>0.995</v>
      </c>
      <c r="M9" s="18">
        <v>67361</v>
      </c>
      <c r="N9" s="20">
        <v>0.997</v>
      </c>
      <c r="O9" s="21"/>
      <c r="P9" s="22">
        <v>50987</v>
      </c>
      <c r="Q9" s="19">
        <v>0.98</v>
      </c>
      <c r="R9" s="18">
        <v>53653</v>
      </c>
      <c r="S9" s="19">
        <v>0.98</v>
      </c>
      <c r="T9" s="18">
        <v>65478</v>
      </c>
      <c r="U9" s="19">
        <v>0.98599999999999999</v>
      </c>
      <c r="V9" s="18">
        <v>77896</v>
      </c>
      <c r="W9" s="20">
        <v>0.98199999999999998</v>
      </c>
      <c r="X9" s="21"/>
      <c r="Y9" s="22">
        <v>64325</v>
      </c>
      <c r="Z9" s="19">
        <v>0.97699999999999998</v>
      </c>
      <c r="AA9" s="18">
        <v>50875</v>
      </c>
      <c r="AB9" s="19">
        <v>0.98499999999999999</v>
      </c>
      <c r="AC9" s="18">
        <v>70987</v>
      </c>
      <c r="AD9" s="19">
        <v>0.98</v>
      </c>
      <c r="AE9" s="18">
        <v>61234</v>
      </c>
      <c r="AF9" s="20">
        <v>0.98599999999999999</v>
      </c>
      <c r="AH9" s="22">
        <v>30564</v>
      </c>
      <c r="AI9" s="19">
        <v>0.96499999999999997</v>
      </c>
      <c r="AJ9" s="18">
        <v>23456</v>
      </c>
      <c r="AK9" s="20">
        <v>0.97299999999999998</v>
      </c>
      <c r="AM9" s="22">
        <v>25678</v>
      </c>
      <c r="AN9" s="19">
        <v>0.98</v>
      </c>
      <c r="AO9" s="18">
        <v>26789</v>
      </c>
      <c r="AP9" s="20">
        <v>0.98</v>
      </c>
    </row>
    <row r="10" spans="1:42">
      <c r="A10" s="17" t="s">
        <v>9</v>
      </c>
      <c r="B10" s="18">
        <v>61234</v>
      </c>
      <c r="C10" s="19">
        <v>0.98599999999999999</v>
      </c>
      <c r="D10" s="18">
        <v>57206</v>
      </c>
      <c r="E10" s="20">
        <v>0.97899999999999998</v>
      </c>
      <c r="F10" s="21"/>
      <c r="G10" s="22">
        <v>59876</v>
      </c>
      <c r="H10" s="19">
        <v>0.98799999999999999</v>
      </c>
      <c r="I10" s="18">
        <v>61234</v>
      </c>
      <c r="J10" s="19">
        <v>0.997</v>
      </c>
      <c r="K10" s="18">
        <v>55234</v>
      </c>
      <c r="L10" s="19">
        <v>0.98</v>
      </c>
      <c r="M10" s="18">
        <v>53094</v>
      </c>
      <c r="N10" s="20">
        <v>0.97599999999999998</v>
      </c>
      <c r="O10" s="21"/>
      <c r="P10" s="22">
        <v>35678</v>
      </c>
      <c r="Q10" s="19">
        <v>0.96599999999999997</v>
      </c>
      <c r="R10" s="18">
        <v>36789</v>
      </c>
      <c r="S10" s="19">
        <v>0.96599999999999997</v>
      </c>
      <c r="T10" s="18">
        <v>40987</v>
      </c>
      <c r="U10" s="19">
        <v>0.98499999999999999</v>
      </c>
      <c r="V10" s="18">
        <v>65342</v>
      </c>
      <c r="W10" s="20">
        <v>0.98299999999999998</v>
      </c>
      <c r="X10" s="21"/>
      <c r="Y10" s="22">
        <v>58795</v>
      </c>
      <c r="Z10" s="19">
        <v>0.96799999999999997</v>
      </c>
      <c r="AA10" s="18">
        <v>67453</v>
      </c>
      <c r="AB10" s="19">
        <v>0.97099999999999997</v>
      </c>
      <c r="AC10" s="18">
        <v>77564</v>
      </c>
      <c r="AD10" s="19">
        <v>0.97699999999999998</v>
      </c>
      <c r="AE10" s="18">
        <v>54321</v>
      </c>
      <c r="AF10" s="20">
        <v>0.97499999999999998</v>
      </c>
      <c r="AH10" s="22">
        <v>38768</v>
      </c>
      <c r="AI10" s="19">
        <v>0.98599999999999999</v>
      </c>
      <c r="AJ10" s="18">
        <v>20983</v>
      </c>
      <c r="AK10" s="20">
        <v>0.99399999999999999</v>
      </c>
      <c r="AM10" s="22">
        <v>26575</v>
      </c>
      <c r="AN10" s="19">
        <v>0.96599999999999997</v>
      </c>
      <c r="AO10" s="18">
        <v>25678</v>
      </c>
      <c r="AP10" s="20">
        <v>0.96599999999999997</v>
      </c>
    </row>
    <row r="11" spans="1:42" ht="18.75" thickBot="1">
      <c r="A11" s="17" t="s">
        <v>10</v>
      </c>
      <c r="B11" s="18">
        <v>54387</v>
      </c>
      <c r="C11" s="19">
        <v>0.96599999999999997</v>
      </c>
      <c r="D11" s="18">
        <v>34844</v>
      </c>
      <c r="E11" s="20">
        <v>0.97</v>
      </c>
      <c r="F11" s="21"/>
      <c r="G11" s="22">
        <v>64532</v>
      </c>
      <c r="H11" s="19">
        <v>0.97</v>
      </c>
      <c r="I11" s="18">
        <v>45763</v>
      </c>
      <c r="J11" s="19">
        <v>0.99199999999999999</v>
      </c>
      <c r="K11" s="18">
        <v>40987</v>
      </c>
      <c r="L11" s="19">
        <v>0.99399999999999999</v>
      </c>
      <c r="M11" s="18">
        <v>46980</v>
      </c>
      <c r="N11" s="20">
        <v>0.96799999999999997</v>
      </c>
      <c r="O11" s="21"/>
      <c r="P11" s="22">
        <v>41230</v>
      </c>
      <c r="Q11" s="19">
        <v>0.98799999999999999</v>
      </c>
      <c r="R11" s="18">
        <v>32145</v>
      </c>
      <c r="S11" s="19">
        <v>0.98799999999999999</v>
      </c>
      <c r="T11" s="18">
        <v>40978</v>
      </c>
      <c r="U11" s="19">
        <v>0.98299999999999998</v>
      </c>
      <c r="V11" s="18">
        <v>37854</v>
      </c>
      <c r="W11" s="20">
        <v>0.98399999999999999</v>
      </c>
      <c r="X11" s="21"/>
      <c r="Y11" s="22">
        <v>32567</v>
      </c>
      <c r="Z11" s="19">
        <v>0.98499999999999999</v>
      </c>
      <c r="AA11" s="18">
        <v>41936</v>
      </c>
      <c r="AB11" s="19">
        <v>0.99099999999999999</v>
      </c>
      <c r="AC11" s="18">
        <v>30876</v>
      </c>
      <c r="AD11" s="19">
        <v>0.98899999999999999</v>
      </c>
      <c r="AE11" s="18">
        <v>48765</v>
      </c>
      <c r="AF11" s="20">
        <v>0.98599999999999999</v>
      </c>
      <c r="AH11" s="22">
        <v>40134</v>
      </c>
      <c r="AI11" s="19">
        <v>0.98099999999999998</v>
      </c>
      <c r="AJ11" s="18">
        <v>31258</v>
      </c>
      <c r="AK11" s="20">
        <v>0.99399999999999999</v>
      </c>
      <c r="AM11" s="22">
        <v>26543</v>
      </c>
      <c r="AN11" s="19">
        <v>0.98799999999999999</v>
      </c>
      <c r="AO11" s="18">
        <v>18976</v>
      </c>
      <c r="AP11" s="20">
        <v>0.98799999999999999</v>
      </c>
    </row>
    <row r="12" spans="1:42" ht="18.75" thickBot="1">
      <c r="A12" s="23"/>
      <c r="B12" s="24">
        <f>SUM(B4:B11)</f>
        <v>377515</v>
      </c>
      <c r="C12" s="25"/>
      <c r="D12" s="26">
        <f>SUM(D4:D11)</f>
        <v>387011</v>
      </c>
      <c r="E12" s="27"/>
      <c r="G12" s="24">
        <f>SUM(G4:G11)</f>
        <v>475136</v>
      </c>
      <c r="H12" s="25"/>
      <c r="I12" s="26">
        <f>SUM(I4:I11)</f>
        <v>392723</v>
      </c>
      <c r="J12" s="25"/>
      <c r="K12" s="26">
        <f>SUM(K4:K11)</f>
        <v>469048</v>
      </c>
      <c r="L12" s="25"/>
      <c r="M12" s="28">
        <f>SUM(M4:M11)</f>
        <v>414920</v>
      </c>
      <c r="N12" s="29"/>
      <c r="P12" s="24">
        <f>SUM(P4:P11)</f>
        <v>358927</v>
      </c>
      <c r="Q12" s="25"/>
      <c r="R12" s="26">
        <f>SUM(R4:R11)</f>
        <v>313470</v>
      </c>
      <c r="S12" s="25"/>
      <c r="T12" s="26">
        <f>SUM(T4:T11)</f>
        <v>412025</v>
      </c>
      <c r="U12" s="25"/>
      <c r="V12" s="28">
        <f>SUM(V4:V11)</f>
        <v>377394</v>
      </c>
      <c r="W12" s="29"/>
      <c r="Y12" s="23">
        <f>SUM(Y4:Y11)</f>
        <v>399908</v>
      </c>
      <c r="Z12" s="30"/>
      <c r="AA12" s="31">
        <f>SUM(AA4:AA11)</f>
        <v>367027</v>
      </c>
      <c r="AB12" s="30"/>
      <c r="AC12" s="31">
        <f>SUM(AC4:AC11)</f>
        <v>408913</v>
      </c>
      <c r="AD12" s="30"/>
      <c r="AE12" s="31">
        <f>SUM(AE4:AE11)</f>
        <v>351458</v>
      </c>
      <c r="AF12" s="29"/>
      <c r="AH12" s="24">
        <f>SUM(AH4:AH11)</f>
        <v>309650</v>
      </c>
      <c r="AI12" s="25"/>
      <c r="AJ12" s="28">
        <f>SUM(AJ4:AJ11)</f>
        <v>221475</v>
      </c>
      <c r="AK12" s="32" t="s">
        <v>11</v>
      </c>
      <c r="AM12" s="24">
        <f>SUM(AM4:AM11)</f>
        <v>206716</v>
      </c>
      <c r="AN12" s="25"/>
      <c r="AO12" s="26">
        <f>SUM(AO4:AO11)</f>
        <v>176317</v>
      </c>
      <c r="AP12" s="27"/>
    </row>
    <row r="16" spans="1:42">
      <c r="AP16" s="1">
        <v>6419633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Maddox</dc:creator>
  <cp:lastModifiedBy>tim.anderson@commissionkings.ag</cp:lastModifiedBy>
  <dcterms:created xsi:type="dcterms:W3CDTF">2025-06-16T23:01:26Z</dcterms:created>
  <dcterms:modified xsi:type="dcterms:W3CDTF">2025-07-07T20:32:01Z</dcterms:modified>
</cp:coreProperties>
</file>