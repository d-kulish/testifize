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maddox/Documents/"/>
    </mc:Choice>
  </mc:AlternateContent>
  <xr:revisionPtr revIDLastSave="0" documentId="8_{8ECD8E51-7B57-8943-A6E6-9FF7643D6A55}" xr6:coauthVersionLast="47" xr6:coauthVersionMax="47" xr10:uidLastSave="{00000000-0000-0000-0000-000000000000}"/>
  <bookViews>
    <workbookView xWindow="0" yWindow="760" windowWidth="33840" windowHeight="20060" xr2:uid="{76C57A93-0671-2D4F-98C8-BCC3CEB8A4D6}"/>
  </bookViews>
  <sheets>
    <sheet name="Publisher_Disto" sheetId="1" r:id="rId1"/>
    <sheet name="States" sheetId="2" r:id="rId2"/>
    <sheet name="Daypart" sheetId="3" r:id="rId3"/>
    <sheet name="Devi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6" i="1" s="1"/>
  <c r="H16" i="1" s="1"/>
  <c r="K16" i="1" s="1"/>
  <c r="M16" i="1" s="1"/>
  <c r="O16" i="1" s="1"/>
  <c r="Q16" i="1" s="1"/>
  <c r="T16" i="1" s="1"/>
  <c r="V16" i="1" s="1"/>
  <c r="X16" i="1" s="1"/>
  <c r="Z16" i="1" s="1"/>
  <c r="AC16" i="1" s="1"/>
  <c r="AE16" i="1" s="1"/>
  <c r="AG16" i="1" s="1"/>
  <c r="AI16" i="1" s="1"/>
  <c r="AI15" i="1" l="1"/>
  <c r="AI17" i="1" s="1"/>
  <c r="AG15" i="1"/>
  <c r="AG17" i="1" s="1"/>
  <c r="S40" i="2"/>
  <c r="T40" i="2"/>
  <c r="D40" i="2"/>
  <c r="E40" i="2"/>
  <c r="G40" i="2"/>
  <c r="H40" i="2"/>
  <c r="I40" i="2"/>
  <c r="J40" i="2"/>
  <c r="L40" i="2"/>
  <c r="M40" i="2"/>
  <c r="N40" i="2"/>
  <c r="O40" i="2"/>
  <c r="Q40" i="2"/>
  <c r="R40" i="2"/>
  <c r="C40" i="2"/>
  <c r="B40" i="2"/>
  <c r="R28" i="3"/>
  <c r="Q28" i="3"/>
  <c r="O28" i="3"/>
  <c r="N28" i="3"/>
  <c r="M28" i="3"/>
  <c r="L28" i="3"/>
  <c r="J28" i="3"/>
  <c r="I28" i="3"/>
  <c r="H28" i="3"/>
  <c r="G28" i="3"/>
  <c r="E28" i="3"/>
  <c r="D28" i="3"/>
  <c r="T28" i="3"/>
  <c r="S28" i="3"/>
  <c r="C28" i="3"/>
  <c r="B28" i="3"/>
  <c r="AE15" i="1"/>
  <c r="AE17" i="1" s="1"/>
  <c r="AC15" i="1"/>
  <c r="AC17" i="1" s="1"/>
  <c r="Z15" i="1"/>
  <c r="Z17" i="1" s="1"/>
  <c r="X15" i="1"/>
  <c r="X17" i="1" s="1"/>
  <c r="V15" i="1"/>
  <c r="V17" i="1" s="1"/>
  <c r="T15" i="1"/>
  <c r="T17" i="1" s="1"/>
  <c r="Q15" i="1"/>
  <c r="Q17" i="1" s="1"/>
  <c r="O15" i="1"/>
  <c r="O17" i="1" s="1"/>
  <c r="M15" i="1"/>
  <c r="M17" i="1" s="1"/>
  <c r="K15" i="1"/>
  <c r="K17" i="1" s="1"/>
  <c r="H15" i="1"/>
  <c r="H17" i="1" s="1"/>
  <c r="F15" i="1"/>
  <c r="F17" i="1" s="1"/>
  <c r="D15" i="1"/>
  <c r="D17" i="1" s="1"/>
  <c r="B15" i="1"/>
  <c r="B17" i="1" s="1"/>
  <c r="AJ21" i="1" l="1"/>
</calcChain>
</file>

<file path=xl/sharedStrings.xml><?xml version="1.0" encoding="utf-8"?>
<sst xmlns="http://schemas.openxmlformats.org/spreadsheetml/2006/main" count="118" uniqueCount="66">
  <si>
    <t>Impressions</t>
  </si>
  <si>
    <t>Completion %</t>
  </si>
  <si>
    <t xml:space="preserve">ESPN - </t>
  </si>
  <si>
    <t xml:space="preserve">Fox Sports - </t>
  </si>
  <si>
    <t>CBS Sports -</t>
  </si>
  <si>
    <t xml:space="preserve">Big 10 Network - </t>
  </si>
  <si>
    <t xml:space="preserve">ACC Network - </t>
  </si>
  <si>
    <t xml:space="preserve">SEC Network - </t>
  </si>
  <si>
    <t>State</t>
  </si>
  <si>
    <t>California</t>
  </si>
  <si>
    <t>Texas</t>
  </si>
  <si>
    <t>Florida</t>
  </si>
  <si>
    <t>Ohio</t>
  </si>
  <si>
    <t>Georgia</t>
  </si>
  <si>
    <t>North Carolina</t>
  </si>
  <si>
    <t>Virginia</t>
  </si>
  <si>
    <t>Washington</t>
  </si>
  <si>
    <t>Arizona</t>
  </si>
  <si>
    <t>Massachusetts</t>
  </si>
  <si>
    <t>Missouri</t>
  </si>
  <si>
    <t>Maryland</t>
  </si>
  <si>
    <t>Wisconsin</t>
  </si>
  <si>
    <t>Minnesota</t>
  </si>
  <si>
    <t>South Carolina</t>
  </si>
  <si>
    <t>Alabama</t>
  </si>
  <si>
    <t>Louisiana</t>
  </si>
  <si>
    <t>Kentucky</t>
  </si>
  <si>
    <t>Oklahoma</t>
  </si>
  <si>
    <t>Connecticut</t>
  </si>
  <si>
    <t>Utah</t>
  </si>
  <si>
    <t>Arkansas</t>
  </si>
  <si>
    <t>Mississippi</t>
  </si>
  <si>
    <t>Kansas</t>
  </si>
  <si>
    <t>New Mexico</t>
  </si>
  <si>
    <t>Nebraska</t>
  </si>
  <si>
    <t>Idaho</t>
  </si>
  <si>
    <t>Hawaii</t>
  </si>
  <si>
    <t>Maine</t>
  </si>
  <si>
    <t>Montana</t>
  </si>
  <si>
    <t>Delaware</t>
  </si>
  <si>
    <t>South Dakota</t>
  </si>
  <si>
    <t>North Dakota</t>
  </si>
  <si>
    <t>Alaska</t>
  </si>
  <si>
    <t>DC</t>
  </si>
  <si>
    <t>Vermont</t>
  </si>
  <si>
    <t>Wyoming</t>
  </si>
  <si>
    <t>Daypart</t>
  </si>
  <si>
    <t xml:space="preserve">TOTALS </t>
  </si>
  <si>
    <t>Device</t>
  </si>
  <si>
    <t>Roku</t>
  </si>
  <si>
    <t>Samsung TV</t>
  </si>
  <si>
    <t>Amazon Fire</t>
  </si>
  <si>
    <t>LG TV</t>
  </si>
  <si>
    <t>Vizio TV</t>
  </si>
  <si>
    <t xml:space="preserve"> </t>
  </si>
  <si>
    <t xml:space="preserve">RSN Live Games </t>
  </si>
  <si>
    <t>USA Today</t>
  </si>
  <si>
    <t xml:space="preserve">Minute Media </t>
  </si>
  <si>
    <t xml:space="preserve">SB Nation </t>
  </si>
  <si>
    <t xml:space="preserve">24/7 Sports </t>
  </si>
  <si>
    <t>Betonline Delviery 7/3-7/31</t>
  </si>
  <si>
    <t>Xbox/PS</t>
  </si>
  <si>
    <t>%</t>
  </si>
  <si>
    <t>Daily Spend</t>
  </si>
  <si>
    <t>CPM</t>
  </si>
  <si>
    <t xml:space="preserve">Daily Impressions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</si>
</sst>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F400]h:mm:ss\ AM/PM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rgb="FF000000"/>
      <name val="Calisto MT"/>
      <family val="1"/>
    </font>
    <font>
      <sz val="20"/>
      <color theme="1"/>
      <name val="Calisto MT"/>
      <family val="1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Border="1"/>
    <xf numFmtId="164" fontId="5" fillId="0" borderId="0" xfId="1" applyNumberFormat="1" applyFont="1" applyBorder="1"/>
    <xf numFmtId="9" fontId="8" fillId="0" borderId="0" xfId="2" applyFont="1" applyBorder="1" applyAlignment="1"/>
    <xf numFmtId="9" fontId="8" fillId="0" borderId="5" xfId="2" applyFont="1" applyBorder="1" applyAlignment="1"/>
    <xf numFmtId="164" fontId="5" fillId="0" borderId="4" xfId="1" applyNumberFormat="1" applyFont="1" applyBorder="1"/>
    <xf numFmtId="14" fontId="5" fillId="0" borderId="1" xfId="1" applyNumberFormat="1" applyFont="1" applyBorder="1" applyAlignment="1">
      <alignment horizontal="center"/>
    </xf>
    <xf numFmtId="14" fontId="5" fillId="0" borderId="2" xfId="1" applyNumberFormat="1" applyFont="1" applyBorder="1" applyAlignment="1">
      <alignment horizontal="center"/>
    </xf>
    <xf numFmtId="14" fontId="5" fillId="0" borderId="2" xfId="2" applyNumberFormat="1" applyFont="1" applyBorder="1" applyAlignment="1">
      <alignment horizontal="center"/>
    </xf>
    <xf numFmtId="14" fontId="5" fillId="0" borderId="3" xfId="2" applyNumberFormat="1" applyFont="1" applyBorder="1" applyAlignment="1">
      <alignment horizontal="center"/>
    </xf>
    <xf numFmtId="9" fontId="5" fillId="0" borderId="2" xfId="2" applyFont="1" applyBorder="1" applyAlignment="1">
      <alignment horizontal="center"/>
    </xf>
    <xf numFmtId="14" fontId="5" fillId="0" borderId="0" xfId="1" applyNumberFormat="1" applyFont="1" applyBorder="1" applyAlignment="1">
      <alignment horizontal="center"/>
    </xf>
    <xf numFmtId="14" fontId="5" fillId="0" borderId="0" xfId="2" applyNumberFormat="1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9" fontId="6" fillId="2" borderId="0" xfId="2" applyFont="1" applyFill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4" fontId="7" fillId="0" borderId="0" xfId="1" applyNumberFormat="1" applyFont="1" applyBorder="1"/>
    <xf numFmtId="9" fontId="5" fillId="0" borderId="0" xfId="2" applyFont="1" applyBorder="1"/>
    <xf numFmtId="164" fontId="6" fillId="0" borderId="4" xfId="1" applyNumberFormat="1" applyFont="1" applyBorder="1" applyAlignment="1">
      <alignment horizontal="center"/>
    </xf>
    <xf numFmtId="14" fontId="9" fillId="0" borderId="0" xfId="1" applyNumberFormat="1" applyFont="1" applyBorder="1"/>
    <xf numFmtId="14" fontId="5" fillId="0" borderId="0" xfId="1" applyNumberFormat="1" applyFont="1" applyBorder="1"/>
    <xf numFmtId="0" fontId="0" fillId="0" borderId="0" xfId="0" applyBorder="1"/>
    <xf numFmtId="164" fontId="0" fillId="0" borderId="0" xfId="0" applyNumberFormat="1" applyBorder="1"/>
    <xf numFmtId="165" fontId="0" fillId="0" borderId="0" xfId="1" applyNumberFormat="1" applyFont="1" applyBorder="1"/>
    <xf numFmtId="14" fontId="4" fillId="0" borderId="0" xfId="1" applyNumberFormat="1" applyFont="1" applyBorder="1"/>
    <xf numFmtId="14" fontId="0" fillId="0" borderId="0" xfId="1" applyNumberFormat="1" applyFont="1" applyBorder="1"/>
    <xf numFmtId="164" fontId="3" fillId="0" borderId="0" xfId="1" applyNumberFormat="1" applyFont="1" applyBorder="1"/>
    <xf numFmtId="164" fontId="10" fillId="0" borderId="7" xfId="1" applyNumberFormat="1" applyFont="1" applyBorder="1"/>
    <xf numFmtId="164" fontId="10" fillId="0" borderId="10" xfId="1" applyNumberFormat="1" applyFont="1" applyBorder="1"/>
    <xf numFmtId="0" fontId="11" fillId="0" borderId="3" xfId="0" applyFont="1" applyBorder="1"/>
    <xf numFmtId="9" fontId="11" fillId="0" borderId="5" xfId="0" applyNumberFormat="1" applyFont="1" applyBorder="1"/>
    <xf numFmtId="164" fontId="10" fillId="0" borderId="11" xfId="1" applyNumberFormat="1" applyFont="1" applyBorder="1"/>
    <xf numFmtId="9" fontId="11" fillId="0" borderId="6" xfId="0" applyNumberFormat="1" applyFont="1" applyBorder="1"/>
    <xf numFmtId="9" fontId="6" fillId="2" borderId="5" xfId="2" applyFont="1" applyFill="1" applyBorder="1" applyAlignment="1">
      <alignment horizontal="center"/>
    </xf>
    <xf numFmtId="14" fontId="5" fillId="0" borderId="7" xfId="1" applyNumberFormat="1" applyFont="1" applyBorder="1" applyAlignment="1">
      <alignment horizontal="center"/>
    </xf>
    <xf numFmtId="14" fontId="5" fillId="0" borderId="8" xfId="2" applyNumberFormat="1" applyFont="1" applyBorder="1" applyAlignment="1">
      <alignment horizontal="center"/>
    </xf>
    <xf numFmtId="14" fontId="5" fillId="0" borderId="8" xfId="1" applyNumberFormat="1" applyFont="1" applyBorder="1" applyAlignment="1">
      <alignment horizontal="center"/>
    </xf>
    <xf numFmtId="14" fontId="5" fillId="0" borderId="9" xfId="2" applyNumberFormat="1" applyFont="1" applyBorder="1" applyAlignment="1">
      <alignment horizontal="center"/>
    </xf>
    <xf numFmtId="9" fontId="5" fillId="0" borderId="8" xfId="2" applyFont="1" applyBorder="1" applyAlignment="1">
      <alignment horizontal="center"/>
    </xf>
    <xf numFmtId="9" fontId="5" fillId="0" borderId="9" xfId="2" applyFont="1" applyBorder="1" applyAlignment="1">
      <alignment horizontal="center"/>
    </xf>
    <xf numFmtId="44" fontId="5" fillId="0" borderId="0" xfId="5" applyFont="1" applyBorder="1"/>
    <xf numFmtId="164" fontId="5" fillId="3" borderId="0" xfId="1" applyNumberFormat="1" applyFont="1" applyFill="1" applyBorder="1"/>
    <xf numFmtId="164" fontId="5" fillId="3" borderId="7" xfId="1" applyNumberFormat="1" applyFont="1" applyFill="1" applyBorder="1"/>
    <xf numFmtId="9" fontId="5" fillId="3" borderId="8" xfId="2" applyFont="1" applyFill="1" applyBorder="1"/>
    <xf numFmtId="164" fontId="5" fillId="3" borderId="8" xfId="1" applyNumberFormat="1" applyFont="1" applyFill="1" applyBorder="1"/>
    <xf numFmtId="9" fontId="5" fillId="3" borderId="9" xfId="2" applyFont="1" applyFill="1" applyBorder="1"/>
    <xf numFmtId="9" fontId="5" fillId="3" borderId="0" xfId="2" applyFont="1" applyFill="1" applyBorder="1"/>
    <xf numFmtId="164" fontId="5" fillId="3" borderId="9" xfId="2" applyNumberFormat="1" applyFont="1" applyFill="1" applyBorder="1"/>
    <xf numFmtId="44" fontId="5" fillId="3" borderId="0" xfId="5" applyFont="1" applyFill="1" applyBorder="1"/>
    <xf numFmtId="44" fontId="12" fillId="3" borderId="0" xfId="5" applyFont="1" applyFill="1" applyBorder="1"/>
  </cellXfs>
  <cellStyles count="6">
    <cellStyle name="Comma" xfId="1" builtinId="3"/>
    <cellStyle name="Currency" xfId="5" builtinId="4"/>
    <cellStyle name="Normal" xfId="0" builtinId="0"/>
    <cellStyle name="Normal 2" xfId="3" xr:uid="{6859ACAD-BE4B-E344-8E67-B36C10C43BA5}"/>
    <cellStyle name="Percent" xfId="2" builtinId="5"/>
    <cellStyle name="Percent 2" xfId="4" xr:uid="{964163EC-E264-4E4C-BB86-FBF18B834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51A3-16A5-8946-AECE-06D1BC6B0E54}">
  <dimension ref="A1:AJ21"/>
  <sheetViews>
    <sheetView tabSelected="1" workbookViewId="0">
      <selection activeCell="B34" sqref="B34"/>
    </sheetView>
  </sheetViews>
  <sheetFormatPr baseColWidth="10" defaultColWidth="8.83203125" defaultRowHeight="19" x14ac:dyDescent="0.25"/>
  <cols>
    <col min="1" max="1" width="39.6640625" style="3" customWidth="1"/>
    <col min="2" max="2" width="22" style="3" customWidth="1"/>
    <col min="3" max="3" width="19" style="19" customWidth="1"/>
    <col min="4" max="4" width="23.6640625" style="3" customWidth="1"/>
    <col min="5" max="5" width="17.33203125" style="19" customWidth="1"/>
    <col min="6" max="6" width="17.1640625" style="3" customWidth="1"/>
    <col min="7" max="7" width="13.6640625" style="19" customWidth="1"/>
    <col min="8" max="8" width="16.6640625" style="3" customWidth="1"/>
    <col min="9" max="9" width="15.1640625" style="19" customWidth="1"/>
    <col min="10" max="10" width="22.33203125" style="19" customWidth="1"/>
    <col min="11" max="11" width="19.83203125" style="3" customWidth="1"/>
    <col min="12" max="12" width="19.1640625" style="19" customWidth="1"/>
    <col min="13" max="13" width="18.6640625" style="3" customWidth="1"/>
    <col min="14" max="14" width="17.5" style="19" customWidth="1"/>
    <col min="15" max="15" width="19.33203125" style="3" customWidth="1"/>
    <col min="16" max="16" width="22" style="19" customWidth="1"/>
    <col min="17" max="17" width="18" style="3" customWidth="1"/>
    <col min="18" max="19" width="22.6640625" style="19" customWidth="1"/>
    <col min="20" max="20" width="18.6640625" style="3" customWidth="1"/>
    <col min="21" max="21" width="23.83203125" style="19" customWidth="1"/>
    <col min="22" max="22" width="20.6640625" style="3" customWidth="1"/>
    <col min="23" max="23" width="20" style="19" customWidth="1"/>
    <col min="24" max="24" width="17.6640625" style="3" customWidth="1"/>
    <col min="25" max="25" width="17.5" style="19" customWidth="1"/>
    <col min="26" max="26" width="19.33203125" style="3" customWidth="1"/>
    <col min="27" max="27" width="13.5" style="19" bestFit="1" customWidth="1"/>
    <col min="28" max="28" width="13.5" style="19" customWidth="1"/>
    <col min="29" max="29" width="17.6640625" style="3" customWidth="1"/>
    <col min="30" max="30" width="13.5" style="19" bestFit="1" customWidth="1"/>
    <col min="31" max="31" width="16.1640625" style="3" customWidth="1"/>
    <col min="32" max="32" width="18.83203125" style="19" customWidth="1"/>
    <col min="33" max="33" width="19.83203125" style="3" customWidth="1"/>
    <col min="34" max="34" width="15.83203125" style="3" customWidth="1"/>
    <col min="35" max="35" width="16.83203125" style="3" customWidth="1"/>
    <col min="36" max="36" width="22.83203125" style="3" customWidth="1"/>
    <col min="37" max="37" width="9.5" style="3" bestFit="1" customWidth="1"/>
    <col min="38" max="16384" width="8.83203125" style="3"/>
  </cols>
  <sheetData>
    <row r="1" spans="1:36" ht="20" thickBot="1" x14ac:dyDescent="0.3"/>
    <row r="2" spans="1:36" s="12" customFormat="1" ht="20" thickBot="1" x14ac:dyDescent="0.3">
      <c r="B2" s="36">
        <v>45841</v>
      </c>
      <c r="C2" s="37"/>
      <c r="D2" s="38">
        <v>45842</v>
      </c>
      <c r="E2" s="37"/>
      <c r="F2" s="38">
        <v>45843</v>
      </c>
      <c r="G2" s="37"/>
      <c r="H2" s="38">
        <v>45844</v>
      </c>
      <c r="I2" s="39"/>
      <c r="J2" s="13"/>
      <c r="K2" s="36">
        <v>45848</v>
      </c>
      <c r="L2" s="37"/>
      <c r="M2" s="38">
        <v>45849</v>
      </c>
      <c r="N2" s="37"/>
      <c r="O2" s="38">
        <v>45850</v>
      </c>
      <c r="P2" s="37"/>
      <c r="Q2" s="38">
        <v>45851</v>
      </c>
      <c r="R2" s="39"/>
      <c r="S2" s="13"/>
      <c r="T2" s="36">
        <v>45855</v>
      </c>
      <c r="U2" s="40"/>
      <c r="V2" s="38">
        <v>45856</v>
      </c>
      <c r="W2" s="40"/>
      <c r="X2" s="38">
        <v>45857</v>
      </c>
      <c r="Y2" s="40"/>
      <c r="Z2" s="38">
        <v>45858</v>
      </c>
      <c r="AA2" s="41"/>
      <c r="AB2" s="14"/>
      <c r="AC2" s="7">
        <v>45862</v>
      </c>
      <c r="AD2" s="11"/>
      <c r="AE2" s="8">
        <v>45863</v>
      </c>
      <c r="AF2" s="11"/>
      <c r="AG2" s="8">
        <v>45864</v>
      </c>
      <c r="AH2" s="9"/>
      <c r="AI2" s="8">
        <v>45865</v>
      </c>
      <c r="AJ2" s="10"/>
    </row>
    <row r="3" spans="1:36" s="17" customFormat="1" x14ac:dyDescent="0.25">
      <c r="A3" s="15" t="s">
        <v>60</v>
      </c>
      <c r="B3" s="20" t="s">
        <v>0</v>
      </c>
      <c r="C3" s="16" t="s">
        <v>1</v>
      </c>
      <c r="D3" s="15" t="s">
        <v>0</v>
      </c>
      <c r="E3" s="16" t="s">
        <v>1</v>
      </c>
      <c r="F3" s="15" t="s">
        <v>0</v>
      </c>
      <c r="G3" s="16" t="s">
        <v>1</v>
      </c>
      <c r="H3" s="15" t="s">
        <v>0</v>
      </c>
      <c r="I3" s="35" t="s">
        <v>1</v>
      </c>
      <c r="J3" s="16"/>
      <c r="K3" s="20" t="s">
        <v>0</v>
      </c>
      <c r="L3" s="16" t="s">
        <v>1</v>
      </c>
      <c r="M3" s="15" t="s">
        <v>0</v>
      </c>
      <c r="N3" s="16" t="s">
        <v>1</v>
      </c>
      <c r="O3" s="15" t="s">
        <v>0</v>
      </c>
      <c r="P3" s="16" t="s">
        <v>1</v>
      </c>
      <c r="Q3" s="15" t="s">
        <v>0</v>
      </c>
      <c r="R3" s="35" t="s">
        <v>1</v>
      </c>
      <c r="S3" s="16"/>
      <c r="T3" s="20" t="s">
        <v>0</v>
      </c>
      <c r="U3" s="16" t="s">
        <v>1</v>
      </c>
      <c r="V3" s="15" t="s">
        <v>0</v>
      </c>
      <c r="W3" s="16" t="s">
        <v>1</v>
      </c>
      <c r="X3" s="15" t="s">
        <v>0</v>
      </c>
      <c r="Y3" s="16" t="s">
        <v>1</v>
      </c>
      <c r="Z3" s="15" t="s">
        <v>0</v>
      </c>
      <c r="AA3" s="35" t="s">
        <v>1</v>
      </c>
      <c r="AB3" s="16"/>
      <c r="AC3" s="20" t="s">
        <v>0</v>
      </c>
      <c r="AD3" s="16" t="s">
        <v>1</v>
      </c>
      <c r="AE3" s="15" t="s">
        <v>0</v>
      </c>
      <c r="AF3" s="16" t="s">
        <v>1</v>
      </c>
      <c r="AG3" s="15" t="s">
        <v>0</v>
      </c>
      <c r="AH3" s="16" t="s">
        <v>1</v>
      </c>
      <c r="AI3" s="15" t="s">
        <v>0</v>
      </c>
      <c r="AJ3" s="35" t="s">
        <v>1</v>
      </c>
    </row>
    <row r="4" spans="1:36" x14ac:dyDescent="0.25">
      <c r="A4" s="18" t="s">
        <v>2</v>
      </c>
      <c r="B4" s="6">
        <v>8738</v>
      </c>
      <c r="C4" s="4">
        <v>0.98299999999999998</v>
      </c>
      <c r="D4" s="3">
        <v>58738</v>
      </c>
      <c r="E4" s="4">
        <v>0.97099999999999997</v>
      </c>
      <c r="F4" s="3">
        <v>75643</v>
      </c>
      <c r="G4" s="4">
        <v>0.96599999999999997</v>
      </c>
      <c r="H4" s="3">
        <v>69874</v>
      </c>
      <c r="I4" s="5">
        <v>0.98299999999999998</v>
      </c>
      <c r="J4" s="4"/>
      <c r="K4" s="6">
        <v>89654</v>
      </c>
      <c r="L4" s="4">
        <v>0.98299999999999998</v>
      </c>
      <c r="M4" s="3">
        <v>65432</v>
      </c>
      <c r="N4" s="4">
        <v>0.96199999999999997</v>
      </c>
      <c r="O4" s="3">
        <v>75498</v>
      </c>
      <c r="P4" s="4">
        <v>0.97199999999999998</v>
      </c>
      <c r="Q4" s="3">
        <v>89653</v>
      </c>
      <c r="R4" s="5">
        <v>0.98099999999999998</v>
      </c>
      <c r="S4" s="4"/>
      <c r="T4" s="6">
        <v>69542</v>
      </c>
      <c r="U4" s="4">
        <v>0.97799999999999998</v>
      </c>
      <c r="V4" s="3">
        <v>49874</v>
      </c>
      <c r="W4" s="4">
        <v>0.97499999999999998</v>
      </c>
      <c r="X4" s="3">
        <v>79853</v>
      </c>
      <c r="Y4" s="4">
        <v>0.97499999999999998</v>
      </c>
      <c r="Z4" s="3">
        <v>75834</v>
      </c>
      <c r="AA4" s="5">
        <v>0.98399999999999999</v>
      </c>
      <c r="AB4" s="4"/>
      <c r="AC4" s="6">
        <v>67453</v>
      </c>
      <c r="AD4" s="4">
        <v>0.97599999999999998</v>
      </c>
      <c r="AE4" s="3">
        <v>56432</v>
      </c>
      <c r="AF4" s="4">
        <v>0.98099999999999998</v>
      </c>
      <c r="AG4" s="3">
        <v>48558</v>
      </c>
      <c r="AH4" s="4">
        <v>0.96799999999999997</v>
      </c>
      <c r="AI4" s="3">
        <v>48648</v>
      </c>
      <c r="AJ4" s="5">
        <v>0.96499999999999997</v>
      </c>
    </row>
    <row r="5" spans="1:36" x14ac:dyDescent="0.25">
      <c r="A5" s="18" t="s">
        <v>3</v>
      </c>
      <c r="B5" s="6">
        <v>17826</v>
      </c>
      <c r="C5" s="4">
        <v>0.96599999999999997</v>
      </c>
      <c r="D5" s="3">
        <v>17641</v>
      </c>
      <c r="E5" s="4">
        <v>0.98199999999999998</v>
      </c>
      <c r="F5" s="3">
        <v>56784</v>
      </c>
      <c r="G5" s="4">
        <v>0.99099999999999999</v>
      </c>
      <c r="H5" s="3">
        <v>38975</v>
      </c>
      <c r="I5" s="5">
        <v>0.98599999999999999</v>
      </c>
      <c r="J5" s="4"/>
      <c r="K5" s="6">
        <v>54386</v>
      </c>
      <c r="L5" s="4">
        <v>0.97299999999999998</v>
      </c>
      <c r="M5" s="3">
        <v>45398</v>
      </c>
      <c r="N5" s="4">
        <v>0.99199999999999999</v>
      </c>
      <c r="O5" s="3">
        <v>38754</v>
      </c>
      <c r="P5" s="4">
        <v>0.996</v>
      </c>
      <c r="Q5" s="3">
        <v>37659</v>
      </c>
      <c r="R5" s="5">
        <v>0.98399999999999999</v>
      </c>
      <c r="S5" s="4"/>
      <c r="T5" s="6">
        <v>31875</v>
      </c>
      <c r="U5" s="4">
        <v>0.99099999999999999</v>
      </c>
      <c r="V5" s="3">
        <v>17826</v>
      </c>
      <c r="W5" s="4">
        <v>0.97299999999999998</v>
      </c>
      <c r="X5" s="3">
        <v>38987</v>
      </c>
      <c r="Y5" s="4">
        <v>0.98299999999999998</v>
      </c>
      <c r="Z5" s="3">
        <v>26732</v>
      </c>
      <c r="AA5" s="5">
        <v>0.96599999999999997</v>
      </c>
      <c r="AB5" s="4"/>
      <c r="AC5" s="6">
        <v>36754</v>
      </c>
      <c r="AD5" s="4">
        <v>0.99399999999999999</v>
      </c>
      <c r="AE5" s="3">
        <v>28765</v>
      </c>
      <c r="AF5" s="4">
        <v>0.995</v>
      </c>
      <c r="AG5" s="3">
        <v>17826</v>
      </c>
      <c r="AH5" s="4">
        <v>0.99</v>
      </c>
      <c r="AI5" s="3">
        <v>17641</v>
      </c>
      <c r="AJ5" s="5">
        <v>0.96</v>
      </c>
    </row>
    <row r="6" spans="1:36" x14ac:dyDescent="0.25">
      <c r="A6" s="18" t="s">
        <v>56</v>
      </c>
      <c r="B6" s="6">
        <v>3086</v>
      </c>
      <c r="C6" s="4">
        <v>0.97</v>
      </c>
      <c r="D6" s="3">
        <v>3055</v>
      </c>
      <c r="E6" s="4">
        <v>0.96299999999999997</v>
      </c>
      <c r="F6" s="3">
        <v>3180</v>
      </c>
      <c r="G6" s="4">
        <v>0.99</v>
      </c>
      <c r="H6" s="3">
        <v>3306</v>
      </c>
      <c r="I6" s="5">
        <v>0.99199999999999999</v>
      </c>
      <c r="J6" s="4"/>
      <c r="K6" s="6">
        <v>321</v>
      </c>
      <c r="L6" s="4">
        <v>0.97099999999999997</v>
      </c>
      <c r="M6" s="3">
        <v>3118</v>
      </c>
      <c r="N6" s="4">
        <v>0.97299999999999998</v>
      </c>
      <c r="O6" s="3">
        <v>3275</v>
      </c>
      <c r="P6" s="4">
        <v>0.97099999999999997</v>
      </c>
      <c r="Q6" s="3">
        <v>3023</v>
      </c>
      <c r="R6" s="5">
        <v>0.97099999999999997</v>
      </c>
      <c r="S6" s="4"/>
      <c r="T6" s="6">
        <v>2992</v>
      </c>
      <c r="U6" s="4">
        <v>0.76900000000000002</v>
      </c>
      <c r="V6" s="3">
        <v>3306</v>
      </c>
      <c r="W6" s="4">
        <v>0.97599999999999998</v>
      </c>
      <c r="X6" s="3">
        <v>2992</v>
      </c>
      <c r="Y6" s="4">
        <v>0.96399999999999997</v>
      </c>
      <c r="Z6" s="3">
        <v>2992</v>
      </c>
      <c r="AA6" s="5">
        <v>0.97499999999999998</v>
      </c>
      <c r="AB6" s="4"/>
      <c r="AC6" s="6">
        <v>2932</v>
      </c>
      <c r="AD6" s="4">
        <v>0.98199999999999998</v>
      </c>
      <c r="AE6" s="3">
        <v>2842</v>
      </c>
      <c r="AF6" s="4">
        <v>0.97699999999999998</v>
      </c>
      <c r="AG6" s="3">
        <v>2992</v>
      </c>
      <c r="AH6" s="4">
        <v>0.97699999999999998</v>
      </c>
      <c r="AI6" s="3">
        <v>3180</v>
      </c>
      <c r="AJ6" s="5">
        <v>0.99</v>
      </c>
    </row>
    <row r="7" spans="1:36" x14ac:dyDescent="0.25">
      <c r="A7" s="18" t="s">
        <v>4</v>
      </c>
      <c r="B7" s="6">
        <v>75899</v>
      </c>
      <c r="C7" s="4">
        <v>0.997</v>
      </c>
      <c r="D7" s="3">
        <v>78888</v>
      </c>
      <c r="E7" s="4">
        <v>0.996</v>
      </c>
      <c r="F7" s="3">
        <v>63421</v>
      </c>
      <c r="G7" s="4">
        <v>0.98899999999999999</v>
      </c>
      <c r="H7" s="3">
        <v>50673</v>
      </c>
      <c r="I7" s="5">
        <v>0.98</v>
      </c>
      <c r="J7" s="4"/>
      <c r="K7" s="6">
        <v>88847</v>
      </c>
      <c r="L7" s="4">
        <v>0.99399999999999999</v>
      </c>
      <c r="M7" s="3">
        <v>63838</v>
      </c>
      <c r="N7" s="4">
        <v>0.96599999999999997</v>
      </c>
      <c r="O7" s="3">
        <v>40855</v>
      </c>
      <c r="P7" s="4">
        <v>0.98699999999999999</v>
      </c>
      <c r="Q7" s="3">
        <v>38821</v>
      </c>
      <c r="R7" s="5">
        <v>0.98699999999999999</v>
      </c>
      <c r="S7" s="4"/>
      <c r="T7" s="6">
        <v>75632</v>
      </c>
      <c r="U7" s="4">
        <v>0.98399999999999999</v>
      </c>
      <c r="V7" s="3">
        <v>63983</v>
      </c>
      <c r="W7" s="4">
        <v>0.99099999999999999</v>
      </c>
      <c r="X7" s="3">
        <v>38908</v>
      </c>
      <c r="Y7" s="4">
        <v>0.97899999999999998</v>
      </c>
      <c r="Z7" s="3">
        <v>36754</v>
      </c>
      <c r="AA7" s="5">
        <v>0.97699999999999998</v>
      </c>
      <c r="AB7" s="4"/>
      <c r="AC7" s="6">
        <v>70863</v>
      </c>
      <c r="AD7" s="4">
        <v>0.98499999999999999</v>
      </c>
      <c r="AE7" s="3">
        <v>58763</v>
      </c>
      <c r="AF7" s="4">
        <v>0.98899999999999999</v>
      </c>
      <c r="AG7" s="3">
        <v>80881</v>
      </c>
      <c r="AH7" s="4">
        <v>0.97299999999999998</v>
      </c>
      <c r="AI7" s="3">
        <v>95907</v>
      </c>
      <c r="AJ7" s="5">
        <v>0.99099999999999999</v>
      </c>
    </row>
    <row r="8" spans="1:36" x14ac:dyDescent="0.25">
      <c r="A8" s="18" t="s">
        <v>57</v>
      </c>
      <c r="B8" s="6">
        <v>235</v>
      </c>
      <c r="C8" s="4">
        <v>0.997</v>
      </c>
      <c r="D8" s="3">
        <v>224</v>
      </c>
      <c r="E8" s="4">
        <v>0.97799999999999998</v>
      </c>
      <c r="F8" s="3">
        <v>226</v>
      </c>
      <c r="G8" s="4">
        <v>0.98599999999999999</v>
      </c>
      <c r="H8" s="3">
        <v>231</v>
      </c>
      <c r="I8" s="5">
        <v>0.996</v>
      </c>
      <c r="J8" s="4"/>
      <c r="K8" s="6">
        <v>228</v>
      </c>
      <c r="L8" s="4">
        <v>0.97699999999999998</v>
      </c>
      <c r="M8" s="3">
        <v>231</v>
      </c>
      <c r="N8" s="4">
        <v>0.98799999999999999</v>
      </c>
      <c r="O8" s="3">
        <v>245</v>
      </c>
      <c r="P8" s="4">
        <v>0.99199999999999999</v>
      </c>
      <c r="Q8" s="3">
        <v>235</v>
      </c>
      <c r="R8" s="5">
        <v>0.99199999999999999</v>
      </c>
      <c r="S8" s="4"/>
      <c r="T8" s="6">
        <v>221</v>
      </c>
      <c r="U8" s="4">
        <v>0.98599999999999999</v>
      </c>
      <c r="V8" s="3">
        <v>233</v>
      </c>
      <c r="W8" s="4">
        <v>0.99</v>
      </c>
      <c r="X8" s="3">
        <v>229</v>
      </c>
      <c r="Y8" s="4">
        <v>0.99199999999999999</v>
      </c>
      <c r="Z8" s="3">
        <v>236</v>
      </c>
      <c r="AA8" s="5">
        <v>0.99099999999999999</v>
      </c>
      <c r="AB8" s="4"/>
      <c r="AC8" s="6">
        <v>231</v>
      </c>
      <c r="AD8" s="4">
        <v>0.99099999999999999</v>
      </c>
      <c r="AE8" s="3">
        <v>219</v>
      </c>
      <c r="AF8" s="4">
        <v>0.99099999999999999</v>
      </c>
      <c r="AG8" s="3">
        <v>233</v>
      </c>
      <c r="AH8" s="4">
        <v>0.995</v>
      </c>
      <c r="AI8" s="3">
        <v>238</v>
      </c>
      <c r="AJ8" s="5">
        <v>0.96</v>
      </c>
    </row>
    <row r="9" spans="1:36" x14ac:dyDescent="0.25">
      <c r="A9" s="18" t="s">
        <v>55</v>
      </c>
      <c r="B9" s="6">
        <v>71696</v>
      </c>
      <c r="C9" s="4">
        <v>0.96599999999999997</v>
      </c>
      <c r="D9" s="3">
        <v>71644</v>
      </c>
      <c r="E9" s="4">
        <v>0.96399999999999997</v>
      </c>
      <c r="F9" s="3">
        <v>61357</v>
      </c>
      <c r="G9" s="4">
        <v>0.99</v>
      </c>
      <c r="H9" s="3">
        <v>41627</v>
      </c>
      <c r="I9" s="5">
        <v>0.99399999999999999</v>
      </c>
      <c r="J9" s="4"/>
      <c r="K9" s="6">
        <v>61713</v>
      </c>
      <c r="L9" s="4">
        <v>0.97</v>
      </c>
      <c r="M9" s="3">
        <v>51627</v>
      </c>
      <c r="N9" s="4">
        <v>0.99199999999999999</v>
      </c>
      <c r="O9" s="3">
        <v>41679</v>
      </c>
      <c r="P9" s="4">
        <v>0.997</v>
      </c>
      <c r="Q9" s="3">
        <v>31662</v>
      </c>
      <c r="R9" s="5">
        <v>0.997</v>
      </c>
      <c r="S9" s="4"/>
      <c r="T9" s="6">
        <v>71730</v>
      </c>
      <c r="U9" s="4">
        <v>0.996</v>
      </c>
      <c r="V9" s="3">
        <v>51782</v>
      </c>
      <c r="W9" s="4">
        <v>0.98799999999999999</v>
      </c>
      <c r="X9" s="3">
        <v>31660</v>
      </c>
      <c r="Y9" s="4">
        <v>0.98899999999999999</v>
      </c>
      <c r="Z9" s="3">
        <v>21730</v>
      </c>
      <c r="AA9" s="5">
        <v>0.98899999999999999</v>
      </c>
      <c r="AB9" s="4"/>
      <c r="AC9" s="6">
        <v>71817</v>
      </c>
      <c r="AD9" s="4">
        <v>0.98699999999999999</v>
      </c>
      <c r="AE9" s="3">
        <v>51695</v>
      </c>
      <c r="AF9" s="4">
        <v>0.995</v>
      </c>
      <c r="AG9" s="3">
        <v>81764</v>
      </c>
      <c r="AH9" s="4">
        <v>0.97099999999999997</v>
      </c>
      <c r="AI9" s="3">
        <v>91799</v>
      </c>
      <c r="AJ9" s="5">
        <v>0.97899999999999998</v>
      </c>
    </row>
    <row r="10" spans="1:36" x14ac:dyDescent="0.25">
      <c r="A10" s="18" t="s">
        <v>58</v>
      </c>
      <c r="B10" s="6">
        <v>1400</v>
      </c>
      <c r="C10" s="4">
        <v>0.97199999999999998</v>
      </c>
      <c r="D10" s="3">
        <v>1414</v>
      </c>
      <c r="E10" s="4">
        <v>0.98899999999999999</v>
      </c>
      <c r="F10" s="3">
        <v>1713</v>
      </c>
      <c r="G10" s="4">
        <v>0.98699999999999999</v>
      </c>
      <c r="H10" s="3">
        <v>1428</v>
      </c>
      <c r="I10" s="5">
        <v>0.98</v>
      </c>
      <c r="J10" s="4"/>
      <c r="K10" s="6">
        <v>1400</v>
      </c>
      <c r="L10" s="4">
        <v>0.99299999999999999</v>
      </c>
      <c r="M10" s="3">
        <v>1485</v>
      </c>
      <c r="N10" s="4">
        <v>0.96</v>
      </c>
      <c r="O10" s="3">
        <v>1485</v>
      </c>
      <c r="P10" s="4">
        <v>0.98199999999999998</v>
      </c>
      <c r="Q10" s="3">
        <v>1357</v>
      </c>
      <c r="R10" s="5">
        <v>0.98199999999999998</v>
      </c>
      <c r="S10" s="4"/>
      <c r="T10" s="6">
        <v>1485</v>
      </c>
      <c r="U10" s="4">
        <v>0.98499999999999999</v>
      </c>
      <c r="V10" s="3">
        <v>1372</v>
      </c>
      <c r="W10" s="4">
        <v>0.98399999999999999</v>
      </c>
      <c r="X10" s="3">
        <v>1330</v>
      </c>
      <c r="Y10" s="4">
        <v>0.98599999999999999</v>
      </c>
      <c r="Z10" s="3">
        <v>1316</v>
      </c>
      <c r="AA10" s="5">
        <v>0.98399999999999999</v>
      </c>
      <c r="AB10" s="4"/>
      <c r="AC10" s="6">
        <v>1356</v>
      </c>
      <c r="AD10" s="4">
        <v>0.98</v>
      </c>
      <c r="AE10" s="3">
        <v>176</v>
      </c>
      <c r="AF10" s="4">
        <v>0.99099999999999999</v>
      </c>
      <c r="AG10" s="3">
        <v>1372</v>
      </c>
      <c r="AH10" s="4">
        <v>0.98299999999999998</v>
      </c>
      <c r="AI10" s="3">
        <v>1456</v>
      </c>
      <c r="AJ10" s="5">
        <v>0.99299999999999999</v>
      </c>
    </row>
    <row r="11" spans="1:36" x14ac:dyDescent="0.25">
      <c r="A11" s="18" t="s">
        <v>5</v>
      </c>
      <c r="B11" s="6">
        <v>66642</v>
      </c>
      <c r="C11" s="4">
        <v>0.98099999999999998</v>
      </c>
      <c r="D11" s="3">
        <v>66636</v>
      </c>
      <c r="E11" s="4">
        <v>0.997</v>
      </c>
      <c r="F11" s="3">
        <v>74321</v>
      </c>
      <c r="G11" s="4">
        <v>0.97</v>
      </c>
      <c r="H11" s="3">
        <v>66784</v>
      </c>
      <c r="I11" s="5">
        <v>0.98199999999999998</v>
      </c>
      <c r="J11" s="4"/>
      <c r="K11" s="6">
        <v>71234</v>
      </c>
      <c r="L11" s="4">
        <v>0.995</v>
      </c>
      <c r="M11" s="3">
        <v>68764</v>
      </c>
      <c r="N11" s="4">
        <v>0.997</v>
      </c>
      <c r="O11" s="3">
        <v>76432</v>
      </c>
      <c r="P11" s="4">
        <v>0.98</v>
      </c>
      <c r="Q11" s="3">
        <v>59975</v>
      </c>
      <c r="R11" s="5">
        <v>0.98</v>
      </c>
      <c r="S11" s="4"/>
      <c r="T11" s="6">
        <v>56873</v>
      </c>
      <c r="U11" s="4">
        <v>0.98599999999999999</v>
      </c>
      <c r="V11" s="3">
        <v>71265</v>
      </c>
      <c r="W11" s="4">
        <v>0.98199999999999998</v>
      </c>
      <c r="X11" s="3">
        <v>66783</v>
      </c>
      <c r="Y11" s="4">
        <v>0.97699999999999998</v>
      </c>
      <c r="Z11" s="3">
        <v>62386</v>
      </c>
      <c r="AA11" s="5">
        <v>0.98499999999999999</v>
      </c>
      <c r="AB11" s="4"/>
      <c r="AC11" s="6">
        <v>73873</v>
      </c>
      <c r="AD11" s="4">
        <v>0.98</v>
      </c>
      <c r="AE11" s="3">
        <v>62397</v>
      </c>
      <c r="AF11" s="4">
        <v>0.98599999999999999</v>
      </c>
      <c r="AG11" s="3">
        <v>36649</v>
      </c>
      <c r="AH11" s="4">
        <v>0.96499999999999997</v>
      </c>
      <c r="AI11" s="3">
        <v>45688</v>
      </c>
      <c r="AJ11" s="5">
        <v>0.97299999999999998</v>
      </c>
    </row>
    <row r="12" spans="1:36" x14ac:dyDescent="0.25">
      <c r="A12" s="18" t="s">
        <v>6</v>
      </c>
      <c r="B12" s="6">
        <v>57215</v>
      </c>
      <c r="C12" s="4">
        <v>0.98599999999999999</v>
      </c>
      <c r="D12" s="3">
        <v>57206</v>
      </c>
      <c r="E12" s="4">
        <v>0.97899999999999998</v>
      </c>
      <c r="F12" s="3">
        <v>54321</v>
      </c>
      <c r="G12" s="4">
        <v>0.98799999999999999</v>
      </c>
      <c r="H12" s="3">
        <v>61234</v>
      </c>
      <c r="I12" s="5">
        <v>0.997</v>
      </c>
      <c r="J12" s="4"/>
      <c r="K12" s="6">
        <v>58974</v>
      </c>
      <c r="L12" s="4">
        <v>0.98</v>
      </c>
      <c r="M12" s="3">
        <v>52309</v>
      </c>
      <c r="N12" s="4">
        <v>0.97599999999999998</v>
      </c>
      <c r="O12" s="3">
        <v>49876</v>
      </c>
      <c r="P12" s="4">
        <v>0.96599999999999997</v>
      </c>
      <c r="Q12" s="3">
        <v>41387</v>
      </c>
      <c r="R12" s="5">
        <v>0.96599999999999997</v>
      </c>
      <c r="S12" s="4"/>
      <c r="T12" s="6">
        <v>45935</v>
      </c>
      <c r="U12" s="4">
        <v>0.98499999999999999</v>
      </c>
      <c r="V12" s="3">
        <v>56943</v>
      </c>
      <c r="W12" s="4">
        <v>0.98299999999999998</v>
      </c>
      <c r="X12" s="3">
        <v>61254</v>
      </c>
      <c r="Y12" s="4">
        <v>0.96799999999999997</v>
      </c>
      <c r="Z12" s="3">
        <v>72654</v>
      </c>
      <c r="AA12" s="5">
        <v>0.97099999999999997</v>
      </c>
      <c r="AB12" s="4"/>
      <c r="AC12" s="6">
        <v>75631</v>
      </c>
      <c r="AD12" s="4">
        <v>0.97699999999999998</v>
      </c>
      <c r="AE12" s="3">
        <v>65412</v>
      </c>
      <c r="AF12" s="4">
        <v>0.97499999999999998</v>
      </c>
      <c r="AG12" s="3">
        <v>43221</v>
      </c>
      <c r="AH12" s="4">
        <v>0.98599999999999999</v>
      </c>
      <c r="AI12" s="3">
        <v>25621</v>
      </c>
      <c r="AJ12" s="5">
        <v>0.99399999999999999</v>
      </c>
    </row>
    <row r="13" spans="1:36" x14ac:dyDescent="0.25">
      <c r="A13" s="18" t="s">
        <v>59</v>
      </c>
      <c r="B13" s="6">
        <v>32175</v>
      </c>
      <c r="C13" s="4">
        <v>0.997</v>
      </c>
      <c r="D13" s="3">
        <v>34184</v>
      </c>
      <c r="E13" s="4">
        <v>0.98199999999999998</v>
      </c>
      <c r="F13" s="3">
        <v>65234</v>
      </c>
      <c r="G13" s="4">
        <v>0.96499999999999997</v>
      </c>
      <c r="H13" s="3">
        <v>58764</v>
      </c>
      <c r="I13" s="5">
        <v>0.97</v>
      </c>
      <c r="J13" s="4"/>
      <c r="K13" s="6">
        <v>52346</v>
      </c>
      <c r="L13" s="4">
        <v>0.96599999999999997</v>
      </c>
      <c r="M13" s="3">
        <v>49823</v>
      </c>
      <c r="N13" s="4">
        <v>0.96599999999999997</v>
      </c>
      <c r="O13" s="3">
        <v>54386</v>
      </c>
      <c r="P13" s="4">
        <v>0.96299999999999997</v>
      </c>
      <c r="Q13" s="3">
        <v>56934</v>
      </c>
      <c r="R13" s="5">
        <v>0.96299999999999997</v>
      </c>
      <c r="S13" s="4"/>
      <c r="T13" s="6">
        <v>51934</v>
      </c>
      <c r="U13" s="4">
        <v>0.97799999999999998</v>
      </c>
      <c r="V13" s="3">
        <v>59562</v>
      </c>
      <c r="W13" s="4">
        <v>0.97699999999999998</v>
      </c>
      <c r="X13" s="3">
        <v>73261</v>
      </c>
      <c r="Y13" s="4">
        <v>0.97299999999999998</v>
      </c>
      <c r="Z13" s="3">
        <v>68763</v>
      </c>
      <c r="AA13" s="5">
        <v>0.97399999999999998</v>
      </c>
      <c r="AB13" s="4"/>
      <c r="AC13" s="6">
        <v>53562</v>
      </c>
      <c r="AD13" s="4">
        <v>0.97499999999999998</v>
      </c>
      <c r="AE13" s="3">
        <v>35893</v>
      </c>
      <c r="AF13" s="4">
        <v>0.96899999999999997</v>
      </c>
      <c r="AG13" s="3">
        <v>40186</v>
      </c>
      <c r="AH13" s="4">
        <v>0.97099999999999997</v>
      </c>
      <c r="AI13" s="3">
        <v>35170</v>
      </c>
      <c r="AJ13" s="5">
        <v>0.98499999999999999</v>
      </c>
    </row>
    <row r="14" spans="1:36" ht="20" thickBot="1" x14ac:dyDescent="0.3">
      <c r="A14" s="18" t="s">
        <v>7</v>
      </c>
      <c r="B14" s="6">
        <v>54657</v>
      </c>
      <c r="C14" s="4">
        <v>0.96599999999999997</v>
      </c>
      <c r="D14" s="3">
        <v>34844</v>
      </c>
      <c r="E14" s="4">
        <v>0.97</v>
      </c>
      <c r="F14" s="3">
        <v>65432</v>
      </c>
      <c r="G14" s="4">
        <v>0.97</v>
      </c>
      <c r="H14" s="3">
        <v>45763</v>
      </c>
      <c r="I14" s="5">
        <v>0.99199999999999999</v>
      </c>
      <c r="J14" s="4"/>
      <c r="K14" s="6">
        <v>48765</v>
      </c>
      <c r="L14" s="4">
        <v>0.99399999999999999</v>
      </c>
      <c r="M14" s="3">
        <v>44982</v>
      </c>
      <c r="N14" s="4">
        <v>0.96799999999999997</v>
      </c>
      <c r="O14" s="3">
        <v>42874</v>
      </c>
      <c r="P14" s="4">
        <v>0.98799999999999999</v>
      </c>
      <c r="Q14" s="3">
        <v>38673</v>
      </c>
      <c r="R14" s="5">
        <v>0.98799999999999999</v>
      </c>
      <c r="S14" s="4"/>
      <c r="T14" s="6">
        <v>47632</v>
      </c>
      <c r="U14" s="4">
        <v>0.98299999999999998</v>
      </c>
      <c r="V14" s="3">
        <v>43876</v>
      </c>
      <c r="W14" s="4">
        <v>0.98399999999999999</v>
      </c>
      <c r="X14" s="3">
        <v>45982</v>
      </c>
      <c r="Y14" s="4">
        <v>0.98499999999999999</v>
      </c>
      <c r="Z14" s="3">
        <v>53985</v>
      </c>
      <c r="AA14" s="5">
        <v>0.99099999999999999</v>
      </c>
      <c r="AB14" s="4"/>
      <c r="AC14" s="6">
        <v>47653</v>
      </c>
      <c r="AD14" s="4">
        <v>0.98899999999999999</v>
      </c>
      <c r="AE14" s="3">
        <v>68743</v>
      </c>
      <c r="AF14" s="4">
        <v>0.98599999999999999</v>
      </c>
      <c r="AG14" s="3">
        <v>45642</v>
      </c>
      <c r="AH14" s="4">
        <v>0.98099999999999998</v>
      </c>
      <c r="AI14" s="3">
        <v>37897</v>
      </c>
      <c r="AJ14" s="5">
        <v>0.99399999999999999</v>
      </c>
    </row>
    <row r="15" spans="1:36" ht="20" thickBot="1" x14ac:dyDescent="0.3">
      <c r="A15" s="43" t="s">
        <v>65</v>
      </c>
      <c r="B15" s="44">
        <f>SUM(B4:B14)</f>
        <v>389569</v>
      </c>
      <c r="C15" s="45"/>
      <c r="D15" s="46">
        <f>SUM(D4:D14)</f>
        <v>424474</v>
      </c>
      <c r="E15" s="45"/>
      <c r="F15" s="46">
        <f>SUM(F4:F14)</f>
        <v>521632</v>
      </c>
      <c r="G15" s="45"/>
      <c r="H15" s="46">
        <f>SUM(H4:H14)</f>
        <v>438659</v>
      </c>
      <c r="I15" s="47"/>
      <c r="J15" s="48"/>
      <c r="K15" s="44">
        <f>SUM(K4:K14)</f>
        <v>527868</v>
      </c>
      <c r="L15" s="45"/>
      <c r="M15" s="46">
        <f>SUM(M4:M14)</f>
        <v>447007</v>
      </c>
      <c r="N15" s="45"/>
      <c r="O15" s="46">
        <f>SUM(O4:O14)</f>
        <v>425359</v>
      </c>
      <c r="P15" s="45"/>
      <c r="Q15" s="46">
        <f>SUM(Q4:Q14)</f>
        <v>399379</v>
      </c>
      <c r="R15" s="47"/>
      <c r="S15" s="48"/>
      <c r="T15" s="44">
        <f>SUM(T4:T14)</f>
        <v>455851</v>
      </c>
      <c r="U15" s="45"/>
      <c r="V15" s="46">
        <f>SUM(V4:V14)</f>
        <v>420022</v>
      </c>
      <c r="W15" s="45"/>
      <c r="X15" s="46">
        <f>SUM(X4:X14)</f>
        <v>441239</v>
      </c>
      <c r="Y15" s="45"/>
      <c r="Z15" s="46">
        <f>SUM(Z4:Z14)</f>
        <v>423382</v>
      </c>
      <c r="AA15" s="47"/>
      <c r="AB15" s="48"/>
      <c r="AC15" s="44">
        <f>SUM(AC4:AC14)</f>
        <v>502125</v>
      </c>
      <c r="AD15" s="45"/>
      <c r="AE15" s="46">
        <f>SUM(AE4:AE14)</f>
        <v>431337</v>
      </c>
      <c r="AF15" s="45"/>
      <c r="AG15" s="46">
        <f>SUM(AG4:AG14)</f>
        <v>399324</v>
      </c>
      <c r="AH15" s="45"/>
      <c r="AI15" s="46">
        <f>SUM(AI4:AI14)</f>
        <v>403245</v>
      </c>
      <c r="AJ15" s="49" t="s">
        <v>54</v>
      </c>
    </row>
    <row r="16" spans="1:36" x14ac:dyDescent="0.25">
      <c r="A16" s="50" t="s">
        <v>63</v>
      </c>
      <c r="B16" s="51">
        <v>5875</v>
      </c>
      <c r="C16" s="51" t="s">
        <v>54</v>
      </c>
      <c r="D16" s="51">
        <f>B16</f>
        <v>5875</v>
      </c>
      <c r="E16" s="51"/>
      <c r="F16" s="51">
        <f>D16</f>
        <v>5875</v>
      </c>
      <c r="G16" s="51"/>
      <c r="H16" s="51">
        <f>F16</f>
        <v>5875</v>
      </c>
      <c r="I16" s="51"/>
      <c r="J16" s="51"/>
      <c r="K16" s="51">
        <f>H16</f>
        <v>5875</v>
      </c>
      <c r="L16" s="51"/>
      <c r="M16" s="51">
        <f>K16</f>
        <v>5875</v>
      </c>
      <c r="N16" s="51"/>
      <c r="O16" s="51">
        <f>M16</f>
        <v>5875</v>
      </c>
      <c r="P16" s="51"/>
      <c r="Q16" s="51">
        <f>O16</f>
        <v>5875</v>
      </c>
      <c r="R16" s="51"/>
      <c r="S16" s="51"/>
      <c r="T16" s="51">
        <f>Q16</f>
        <v>5875</v>
      </c>
      <c r="U16" s="51"/>
      <c r="V16" s="51">
        <f>T16</f>
        <v>5875</v>
      </c>
      <c r="W16" s="51"/>
      <c r="X16" s="51">
        <f>V16</f>
        <v>5875</v>
      </c>
      <c r="Y16" s="51"/>
      <c r="Z16" s="51">
        <f>X16</f>
        <v>5875</v>
      </c>
      <c r="AA16" s="51"/>
      <c r="AB16" s="51"/>
      <c r="AC16" s="51">
        <f>Z16</f>
        <v>5875</v>
      </c>
      <c r="AD16" s="51"/>
      <c r="AE16" s="51">
        <f>AC16</f>
        <v>5875</v>
      </c>
      <c r="AF16" s="51"/>
      <c r="AG16" s="51">
        <f>AE16</f>
        <v>5875</v>
      </c>
      <c r="AH16" s="51"/>
      <c r="AI16" s="51">
        <f>AG16</f>
        <v>5875</v>
      </c>
      <c r="AJ16" s="50"/>
    </row>
    <row r="17" spans="1:36" x14ac:dyDescent="0.25">
      <c r="A17" s="43" t="s">
        <v>64</v>
      </c>
      <c r="B17" s="50">
        <f>B16/B15*1000</f>
        <v>15.08076874699989</v>
      </c>
      <c r="C17" s="50" t="s">
        <v>54</v>
      </c>
      <c r="D17" s="50">
        <f>D16/D15*1000</f>
        <v>13.840659262993729</v>
      </c>
      <c r="E17" s="50" t="s">
        <v>54</v>
      </c>
      <c r="F17" s="50">
        <f>F16/F15*1000</f>
        <v>11.262729280412245</v>
      </c>
      <c r="G17" s="50" t="s">
        <v>54</v>
      </c>
      <c r="H17" s="50">
        <f>H16/H15*1000</f>
        <v>13.393091216639805</v>
      </c>
      <c r="I17" s="50" t="s">
        <v>54</v>
      </c>
      <c r="J17" s="50" t="s">
        <v>54</v>
      </c>
      <c r="K17" s="50">
        <f>K16/K15*1000</f>
        <v>11.129676358483561</v>
      </c>
      <c r="L17" s="50" t="s">
        <v>54</v>
      </c>
      <c r="M17" s="50">
        <f>M16/M15*1000</f>
        <v>13.142970915444279</v>
      </c>
      <c r="N17" s="50" t="s">
        <v>54</v>
      </c>
      <c r="O17" s="50">
        <f>O16/O15*1000</f>
        <v>13.811862450306682</v>
      </c>
      <c r="P17" s="50" t="s">
        <v>54</v>
      </c>
      <c r="Q17" s="50">
        <f>Q16/Q15*1000</f>
        <v>14.710337799433621</v>
      </c>
      <c r="R17" s="50" t="s">
        <v>54</v>
      </c>
      <c r="S17" s="50" t="s">
        <v>54</v>
      </c>
      <c r="T17" s="50">
        <f>T16/T15*1000</f>
        <v>12.887983134840113</v>
      </c>
      <c r="U17" s="50" t="s">
        <v>54</v>
      </c>
      <c r="V17" s="50">
        <f>V16/V15*1000</f>
        <v>13.987362566722696</v>
      </c>
      <c r="W17" s="50" t="s">
        <v>54</v>
      </c>
      <c r="X17" s="50">
        <f>X16/X15*1000</f>
        <v>13.314779518582899</v>
      </c>
      <c r="Y17" s="50" t="s">
        <v>54</v>
      </c>
      <c r="Z17" s="50">
        <f>Z16/Z15*1000</f>
        <v>13.876357521103872</v>
      </c>
      <c r="AA17" s="50" t="s">
        <v>54</v>
      </c>
      <c r="AB17" s="50" t="s">
        <v>54</v>
      </c>
      <c r="AC17" s="50">
        <f>AC16/AC15*1000</f>
        <v>11.700273836196168</v>
      </c>
      <c r="AD17" s="50" t="s">
        <v>54</v>
      </c>
      <c r="AE17" s="50">
        <f>AE16/AE15*1000</f>
        <v>13.620440629948277</v>
      </c>
      <c r="AF17" s="50" t="s">
        <v>54</v>
      </c>
      <c r="AG17" s="50">
        <f>AG16/AG15*1000</f>
        <v>14.712363894982522</v>
      </c>
      <c r="AH17" s="50" t="s">
        <v>54</v>
      </c>
      <c r="AI17" s="50">
        <f>AI16/AI15*1000</f>
        <v>14.569306501010551</v>
      </c>
      <c r="AJ17" s="43"/>
    </row>
    <row r="19" spans="1:36" s="42" customFormat="1" x14ac:dyDescent="0.25"/>
    <row r="20" spans="1:36" x14ac:dyDescent="0.25">
      <c r="C20" s="3"/>
      <c r="E20" s="3"/>
      <c r="G20" s="3"/>
      <c r="I20" s="3"/>
      <c r="J20" s="3"/>
      <c r="L20" s="3"/>
      <c r="N20" s="3"/>
      <c r="P20" s="3"/>
      <c r="R20" s="3"/>
      <c r="S20" s="3"/>
      <c r="U20" s="3"/>
      <c r="W20" s="3"/>
      <c r="Y20" s="3"/>
      <c r="AA20" s="3"/>
      <c r="AB20" s="3"/>
      <c r="AD20" s="3"/>
      <c r="AF20" s="3"/>
    </row>
    <row r="21" spans="1:36" x14ac:dyDescent="0.25">
      <c r="AJ21" s="3" t="str">
        <f>AJ15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012F-E731-6E43-A712-D6AB95E46D11}">
  <dimension ref="A1:U40"/>
  <sheetViews>
    <sheetView topLeftCell="A2" workbookViewId="0">
      <selection activeCell="B2" sqref="B2:T2"/>
    </sheetView>
  </sheetViews>
  <sheetFormatPr baseColWidth="10" defaultColWidth="11.5" defaultRowHeight="19" x14ac:dyDescent="0.25"/>
  <cols>
    <col min="1" max="1" width="20" style="3" customWidth="1"/>
    <col min="2" max="2" width="13.5" style="3" customWidth="1"/>
    <col min="3" max="3" width="13" style="3" customWidth="1"/>
    <col min="4" max="5" width="10.5" style="3" bestFit="1" customWidth="1"/>
    <col min="6" max="6" width="10.5" style="3" customWidth="1"/>
    <col min="7" max="10" width="10.5" style="3" bestFit="1" customWidth="1"/>
    <col min="11" max="11" width="10.5" style="3" customWidth="1"/>
    <col min="12" max="15" width="10.5" style="3" bestFit="1" customWidth="1"/>
    <col min="16" max="16" width="10.5" style="3" customWidth="1"/>
    <col min="17" max="18" width="10.5" style="3" bestFit="1" customWidth="1"/>
    <col min="19" max="16384" width="11.5" style="3"/>
  </cols>
  <sheetData>
    <row r="1" spans="1:21" ht="13" customHeight="1" x14ac:dyDescent="0.25"/>
    <row r="2" spans="1:21" s="22" customFormat="1" ht="21" customHeight="1" x14ac:dyDescent="0.25">
      <c r="A2" s="21" t="s">
        <v>8</v>
      </c>
      <c r="B2" s="21">
        <v>45841</v>
      </c>
      <c r="C2" s="21">
        <v>45842</v>
      </c>
      <c r="D2" s="21">
        <v>45843</v>
      </c>
      <c r="E2" s="21">
        <v>45844</v>
      </c>
      <c r="F2" s="21"/>
      <c r="G2" s="21">
        <v>45848</v>
      </c>
      <c r="H2" s="21">
        <v>45849</v>
      </c>
      <c r="I2" s="21">
        <v>45850</v>
      </c>
      <c r="J2" s="21">
        <v>45851</v>
      </c>
      <c r="K2" s="21"/>
      <c r="L2" s="21">
        <v>45855</v>
      </c>
      <c r="M2" s="21">
        <v>45856</v>
      </c>
      <c r="N2" s="21">
        <v>45857</v>
      </c>
      <c r="O2" s="21">
        <v>45858</v>
      </c>
      <c r="P2" s="21"/>
      <c r="Q2" s="21">
        <v>45862</v>
      </c>
      <c r="R2" s="21">
        <v>45863</v>
      </c>
      <c r="S2" s="21">
        <v>45864</v>
      </c>
      <c r="T2" s="21">
        <v>45865</v>
      </c>
    </row>
    <row r="3" spans="1:21" x14ac:dyDescent="0.25">
      <c r="A3" s="3" t="s">
        <v>9</v>
      </c>
      <c r="B3" s="3">
        <v>94784</v>
      </c>
      <c r="C3" s="3">
        <v>97532</v>
      </c>
      <c r="D3" s="3">
        <v>95286</v>
      </c>
      <c r="E3" s="3">
        <v>95294</v>
      </c>
      <c r="G3" s="3">
        <v>95491</v>
      </c>
      <c r="H3" s="3">
        <v>94820</v>
      </c>
      <c r="I3" s="3">
        <v>95359</v>
      </c>
      <c r="J3" s="3">
        <v>95291</v>
      </c>
      <c r="L3" s="3">
        <v>95603</v>
      </c>
      <c r="M3" s="3">
        <v>95673</v>
      </c>
      <c r="N3" s="3">
        <v>93254</v>
      </c>
      <c r="O3" s="3">
        <v>98643</v>
      </c>
      <c r="Q3" s="3">
        <v>97843</v>
      </c>
      <c r="R3" s="3">
        <v>92543</v>
      </c>
      <c r="S3" s="3">
        <v>94169</v>
      </c>
      <c r="T3" s="3">
        <v>95189</v>
      </c>
    </row>
    <row r="4" spans="1:21" x14ac:dyDescent="0.25">
      <c r="A4" s="3" t="s">
        <v>10</v>
      </c>
      <c r="B4" s="3">
        <v>84321</v>
      </c>
      <c r="C4" s="3">
        <v>96432</v>
      </c>
      <c r="D4" s="3">
        <v>94643</v>
      </c>
      <c r="E4" s="3">
        <v>94901</v>
      </c>
      <c r="G4" s="3">
        <v>94999</v>
      </c>
      <c r="H4" s="3">
        <v>84898</v>
      </c>
      <c r="I4" s="3">
        <v>84729</v>
      </c>
      <c r="J4" s="3">
        <v>84601</v>
      </c>
      <c r="L4" s="3">
        <v>91254</v>
      </c>
      <c r="M4" s="3">
        <v>84757</v>
      </c>
      <c r="N4" s="3">
        <v>88763</v>
      </c>
      <c r="O4" s="3">
        <v>82356</v>
      </c>
      <c r="Q4" s="3">
        <v>91239</v>
      </c>
      <c r="R4" s="3">
        <v>88453</v>
      </c>
      <c r="S4" s="3">
        <v>80076</v>
      </c>
      <c r="T4" s="3">
        <v>84132</v>
      </c>
    </row>
    <row r="5" spans="1:21" x14ac:dyDescent="0.25">
      <c r="A5" s="3" t="s">
        <v>11</v>
      </c>
      <c r="B5" s="3">
        <v>79873</v>
      </c>
      <c r="C5" s="3">
        <v>84321</v>
      </c>
      <c r="D5" s="3">
        <v>93693</v>
      </c>
      <c r="E5" s="3">
        <v>83642</v>
      </c>
      <c r="G5" s="3">
        <v>83882</v>
      </c>
      <c r="H5" s="3">
        <v>73570</v>
      </c>
      <c r="I5" s="3">
        <v>73679</v>
      </c>
      <c r="J5" s="3">
        <v>73617</v>
      </c>
      <c r="L5" s="3">
        <v>82354</v>
      </c>
      <c r="M5" s="3">
        <v>73530</v>
      </c>
      <c r="N5" s="3">
        <v>73452</v>
      </c>
      <c r="O5" s="3">
        <v>77643</v>
      </c>
      <c r="Q5" s="3">
        <v>87532</v>
      </c>
      <c r="R5" s="3">
        <v>75032</v>
      </c>
      <c r="S5" s="3">
        <v>73589</v>
      </c>
      <c r="T5" s="3">
        <v>73498</v>
      </c>
    </row>
    <row r="6" spans="1:21" x14ac:dyDescent="0.25">
      <c r="A6" s="3" t="s">
        <v>12</v>
      </c>
      <c r="B6" s="3">
        <v>45674</v>
      </c>
      <c r="C6" s="3">
        <v>73876</v>
      </c>
      <c r="D6" s="3">
        <v>71782</v>
      </c>
      <c r="E6" s="3">
        <v>81857</v>
      </c>
      <c r="G6" s="3">
        <v>81876</v>
      </c>
      <c r="H6" s="3">
        <v>61820</v>
      </c>
      <c r="I6" s="3">
        <v>61796</v>
      </c>
      <c r="J6" s="3">
        <v>57743</v>
      </c>
      <c r="L6" s="3">
        <v>61838</v>
      </c>
      <c r="M6" s="3">
        <v>58743</v>
      </c>
      <c r="N6" s="3">
        <v>68732</v>
      </c>
      <c r="O6" s="3">
        <v>50936</v>
      </c>
      <c r="Q6" s="3">
        <v>80583</v>
      </c>
      <c r="R6" s="3">
        <v>72935</v>
      </c>
      <c r="S6" s="3">
        <v>61686</v>
      </c>
      <c r="T6" s="3">
        <v>71765</v>
      </c>
      <c r="U6" s="3" t="s">
        <v>54</v>
      </c>
    </row>
    <row r="7" spans="1:21" x14ac:dyDescent="0.25">
      <c r="A7" s="3" t="s">
        <v>13</v>
      </c>
      <c r="B7" s="3">
        <v>26987</v>
      </c>
      <c r="C7" s="3">
        <v>27744</v>
      </c>
      <c r="D7" s="3">
        <v>51698</v>
      </c>
      <c r="E7" s="3">
        <v>41729</v>
      </c>
      <c r="G7" s="3">
        <v>71739</v>
      </c>
      <c r="H7" s="3">
        <v>35439</v>
      </c>
      <c r="I7" s="3">
        <v>51670</v>
      </c>
      <c r="J7" s="3">
        <v>47671</v>
      </c>
      <c r="L7" s="3">
        <v>51815</v>
      </c>
      <c r="M7" s="3">
        <v>41833</v>
      </c>
      <c r="N7" s="3">
        <v>41816</v>
      </c>
      <c r="O7" s="3">
        <v>41833</v>
      </c>
      <c r="Q7" s="3">
        <v>65230</v>
      </c>
      <c r="R7" s="3">
        <v>61234</v>
      </c>
      <c r="S7" s="3">
        <v>51659</v>
      </c>
      <c r="T7" s="3">
        <v>50764</v>
      </c>
    </row>
    <row r="8" spans="1:21" x14ac:dyDescent="0.25">
      <c r="A8" s="3" t="s">
        <v>14</v>
      </c>
      <c r="B8" s="3">
        <v>23599</v>
      </c>
      <c r="C8" s="3">
        <v>15444</v>
      </c>
      <c r="D8" s="3">
        <v>33654</v>
      </c>
      <c r="E8" s="3">
        <v>20321</v>
      </c>
      <c r="G8" s="3">
        <v>59486</v>
      </c>
      <c r="H8" s="3">
        <v>31369</v>
      </c>
      <c r="I8" s="3">
        <v>21439</v>
      </c>
      <c r="J8" s="3">
        <v>23492</v>
      </c>
      <c r="L8" s="3">
        <v>31439</v>
      </c>
      <c r="M8" s="3">
        <v>31425</v>
      </c>
      <c r="N8" s="3">
        <v>31431</v>
      </c>
      <c r="O8" s="3">
        <v>31453</v>
      </c>
      <c r="Q8" s="3">
        <v>42387</v>
      </c>
      <c r="R8" s="3">
        <v>13981</v>
      </c>
      <c r="S8" s="3">
        <v>21387</v>
      </c>
      <c r="T8" s="3">
        <v>10859</v>
      </c>
    </row>
    <row r="9" spans="1:21" x14ac:dyDescent="0.25">
      <c r="A9" s="3" t="s">
        <v>15</v>
      </c>
      <c r="B9" s="3">
        <v>18703</v>
      </c>
      <c r="C9" s="3">
        <v>5456</v>
      </c>
      <c r="D9" s="3">
        <v>32088</v>
      </c>
      <c r="E9" s="3">
        <v>5318</v>
      </c>
      <c r="G9" s="3">
        <v>21417</v>
      </c>
      <c r="H9" s="3">
        <v>21413</v>
      </c>
      <c r="I9" s="3">
        <v>20939</v>
      </c>
      <c r="J9" s="3">
        <v>1413</v>
      </c>
      <c r="L9" s="3">
        <v>21514</v>
      </c>
      <c r="M9" s="3">
        <v>17080</v>
      </c>
      <c r="N9" s="3">
        <v>27659</v>
      </c>
      <c r="O9" s="3">
        <v>22669</v>
      </c>
      <c r="Q9" s="3">
        <v>21823</v>
      </c>
      <c r="R9" s="3">
        <v>11471</v>
      </c>
      <c r="S9" s="3">
        <v>1374</v>
      </c>
      <c r="T9" s="3">
        <v>1389</v>
      </c>
    </row>
    <row r="10" spans="1:21" x14ac:dyDescent="0.25">
      <c r="A10" s="3" t="s">
        <v>16</v>
      </c>
      <c r="B10" s="3">
        <v>1480</v>
      </c>
      <c r="C10" s="3">
        <v>5450</v>
      </c>
      <c r="D10" s="3">
        <v>10874</v>
      </c>
      <c r="E10" s="3">
        <v>1434</v>
      </c>
      <c r="G10" s="3">
        <v>1674</v>
      </c>
      <c r="H10" s="3">
        <v>21516</v>
      </c>
      <c r="I10" s="3">
        <v>1430</v>
      </c>
      <c r="J10" s="3">
        <v>1458</v>
      </c>
      <c r="L10" s="3">
        <v>5729</v>
      </c>
      <c r="M10" s="3">
        <v>2709</v>
      </c>
      <c r="N10" s="3">
        <v>1776</v>
      </c>
      <c r="O10" s="3">
        <v>3623</v>
      </c>
      <c r="Q10" s="3">
        <v>1386</v>
      </c>
      <c r="R10" s="3">
        <v>1372</v>
      </c>
      <c r="S10" s="3">
        <v>1364</v>
      </c>
      <c r="T10" s="3">
        <v>1467</v>
      </c>
    </row>
    <row r="11" spans="1:21" x14ac:dyDescent="0.25">
      <c r="A11" s="3" t="s">
        <v>17</v>
      </c>
      <c r="B11" s="3">
        <v>1162</v>
      </c>
      <c r="C11" s="3">
        <v>5211</v>
      </c>
      <c r="D11" s="3">
        <v>21156</v>
      </c>
      <c r="E11" s="3">
        <v>1122</v>
      </c>
      <c r="G11" s="3">
        <v>4230</v>
      </c>
      <c r="H11" s="3">
        <v>9077</v>
      </c>
      <c r="I11" s="3">
        <v>1202</v>
      </c>
      <c r="J11" s="3">
        <v>1202</v>
      </c>
      <c r="L11" s="3">
        <v>1143</v>
      </c>
      <c r="M11" s="3">
        <v>1189</v>
      </c>
      <c r="N11" s="3">
        <v>1202</v>
      </c>
      <c r="O11" s="3">
        <v>1179</v>
      </c>
      <c r="Q11" s="3">
        <v>1088</v>
      </c>
      <c r="R11" s="3">
        <v>1134</v>
      </c>
      <c r="S11" s="3">
        <v>1125</v>
      </c>
      <c r="T11" s="3">
        <v>1156</v>
      </c>
    </row>
    <row r="12" spans="1:21" x14ac:dyDescent="0.25">
      <c r="A12" s="3" t="s">
        <v>18</v>
      </c>
      <c r="B12" s="3">
        <v>1127</v>
      </c>
      <c r="C12" s="3">
        <v>1119</v>
      </c>
      <c r="D12" s="3">
        <v>4871</v>
      </c>
      <c r="E12" s="3">
        <v>1126</v>
      </c>
      <c r="G12" s="3">
        <v>1124</v>
      </c>
      <c r="H12" s="3">
        <v>1182</v>
      </c>
      <c r="I12" s="3">
        <v>1182</v>
      </c>
      <c r="J12" s="3">
        <v>1124</v>
      </c>
      <c r="L12" s="3">
        <v>1159</v>
      </c>
      <c r="M12" s="3">
        <v>1147</v>
      </c>
      <c r="N12" s="3">
        <v>1217</v>
      </c>
      <c r="O12" s="3">
        <v>1113</v>
      </c>
      <c r="Q12" s="3">
        <v>1121</v>
      </c>
      <c r="R12" s="3">
        <v>1124</v>
      </c>
      <c r="S12" s="3">
        <v>1101</v>
      </c>
      <c r="T12" s="3">
        <v>1149</v>
      </c>
    </row>
    <row r="13" spans="1:21" x14ac:dyDescent="0.25">
      <c r="A13" s="3" t="s">
        <v>19</v>
      </c>
      <c r="B13" s="3">
        <v>1036</v>
      </c>
      <c r="C13" s="3">
        <v>1069</v>
      </c>
      <c r="D13" s="3">
        <v>1025</v>
      </c>
      <c r="E13" s="3">
        <v>1023</v>
      </c>
      <c r="G13" s="3">
        <v>1021</v>
      </c>
      <c r="H13" s="3">
        <v>1027</v>
      </c>
      <c r="I13" s="3">
        <v>1057</v>
      </c>
      <c r="J13" s="3">
        <v>1015</v>
      </c>
      <c r="L13" s="3">
        <v>1067</v>
      </c>
      <c r="M13" s="3">
        <v>1121</v>
      </c>
      <c r="N13" s="3">
        <v>1047</v>
      </c>
      <c r="O13" s="3">
        <v>1047</v>
      </c>
      <c r="Q13" s="3">
        <v>1025</v>
      </c>
      <c r="R13" s="3">
        <v>1079</v>
      </c>
      <c r="S13" s="3">
        <v>1047</v>
      </c>
      <c r="T13" s="3">
        <v>1025</v>
      </c>
    </row>
    <row r="14" spans="1:21" x14ac:dyDescent="0.25">
      <c r="A14" s="3" t="s">
        <v>20</v>
      </c>
      <c r="B14" s="3">
        <v>1044</v>
      </c>
      <c r="C14" s="3">
        <v>1030</v>
      </c>
      <c r="D14" s="3">
        <v>1110</v>
      </c>
      <c r="E14" s="3">
        <v>1044</v>
      </c>
      <c r="G14" s="3">
        <v>1058</v>
      </c>
      <c r="H14" s="3">
        <v>1031</v>
      </c>
      <c r="I14" s="3">
        <v>1076</v>
      </c>
      <c r="J14" s="3">
        <v>1033</v>
      </c>
      <c r="L14" s="3">
        <v>1119</v>
      </c>
      <c r="M14" s="3">
        <v>1044</v>
      </c>
      <c r="N14" s="3">
        <v>1065</v>
      </c>
      <c r="O14" s="3">
        <v>1033</v>
      </c>
      <c r="Q14" s="3">
        <v>1098</v>
      </c>
      <c r="R14" s="3">
        <v>1130</v>
      </c>
      <c r="S14" s="3">
        <v>1028</v>
      </c>
      <c r="T14" s="3">
        <v>1098</v>
      </c>
    </row>
    <row r="15" spans="1:21" x14ac:dyDescent="0.25">
      <c r="A15" s="3" t="s">
        <v>21</v>
      </c>
      <c r="B15" s="3">
        <v>1060</v>
      </c>
      <c r="C15" s="3">
        <v>1014</v>
      </c>
      <c r="D15" s="3">
        <v>1004</v>
      </c>
      <c r="E15" s="3">
        <v>1048</v>
      </c>
      <c r="G15" s="3">
        <v>1112</v>
      </c>
      <c r="H15" s="3">
        <v>1069</v>
      </c>
      <c r="I15" s="3">
        <v>1090</v>
      </c>
      <c r="J15" s="3">
        <v>1026</v>
      </c>
      <c r="L15" s="3">
        <v>1016</v>
      </c>
      <c r="M15" s="3">
        <v>1037</v>
      </c>
      <c r="N15" s="3">
        <v>1092</v>
      </c>
      <c r="O15" s="3">
        <v>1122</v>
      </c>
      <c r="Q15" s="3">
        <v>1102</v>
      </c>
      <c r="R15" s="3">
        <v>1090</v>
      </c>
      <c r="S15" s="3">
        <v>1003</v>
      </c>
      <c r="T15" s="3">
        <v>1026</v>
      </c>
    </row>
    <row r="16" spans="1:21" x14ac:dyDescent="0.25">
      <c r="A16" s="3" t="s">
        <v>22</v>
      </c>
      <c r="B16" s="3">
        <v>821</v>
      </c>
      <c r="C16" s="3">
        <v>816</v>
      </c>
      <c r="D16" s="3">
        <v>874</v>
      </c>
      <c r="E16" s="3">
        <v>840</v>
      </c>
      <c r="G16" s="3">
        <v>799</v>
      </c>
      <c r="H16" s="3">
        <v>857</v>
      </c>
      <c r="I16" s="3">
        <v>857</v>
      </c>
      <c r="J16" s="3">
        <v>799</v>
      </c>
      <c r="L16" s="3">
        <v>855</v>
      </c>
      <c r="M16" s="3">
        <v>824</v>
      </c>
      <c r="N16" s="3">
        <v>810</v>
      </c>
      <c r="O16" s="3">
        <v>840</v>
      </c>
      <c r="Q16" s="3">
        <v>832</v>
      </c>
      <c r="R16" s="3">
        <v>824</v>
      </c>
      <c r="S16" s="3">
        <v>838</v>
      </c>
      <c r="T16" s="3">
        <v>818</v>
      </c>
    </row>
    <row r="17" spans="1:20" x14ac:dyDescent="0.25">
      <c r="A17" s="3" t="s">
        <v>23</v>
      </c>
      <c r="B17" s="3">
        <v>663</v>
      </c>
      <c r="C17" s="3">
        <v>656</v>
      </c>
      <c r="D17" s="3">
        <v>611</v>
      </c>
      <c r="E17" s="3">
        <v>656</v>
      </c>
      <c r="G17" s="3">
        <v>643</v>
      </c>
      <c r="H17" s="3">
        <v>624</v>
      </c>
      <c r="I17" s="3">
        <v>649</v>
      </c>
      <c r="J17" s="3">
        <v>617</v>
      </c>
      <c r="L17" s="3">
        <v>637</v>
      </c>
      <c r="M17" s="3">
        <v>675</v>
      </c>
      <c r="N17" s="3">
        <v>630</v>
      </c>
      <c r="O17" s="3">
        <v>649</v>
      </c>
      <c r="Q17" s="3">
        <v>630</v>
      </c>
      <c r="R17" s="3">
        <v>662</v>
      </c>
      <c r="S17" s="3">
        <v>643</v>
      </c>
      <c r="T17" s="3">
        <v>637</v>
      </c>
    </row>
    <row r="18" spans="1:20" x14ac:dyDescent="0.25">
      <c r="A18" s="3" t="s">
        <v>24</v>
      </c>
      <c r="B18" s="3">
        <v>764</v>
      </c>
      <c r="C18" s="3">
        <v>761</v>
      </c>
      <c r="D18" s="3">
        <v>769</v>
      </c>
      <c r="E18" s="3">
        <v>777</v>
      </c>
      <c r="G18" s="3">
        <v>833</v>
      </c>
      <c r="H18" s="3">
        <v>817</v>
      </c>
      <c r="I18" s="3">
        <v>817</v>
      </c>
      <c r="J18" s="3">
        <v>753</v>
      </c>
      <c r="L18" s="3">
        <v>793</v>
      </c>
      <c r="M18" s="3">
        <v>785</v>
      </c>
      <c r="N18" s="3">
        <v>825</v>
      </c>
      <c r="O18" s="3">
        <v>769</v>
      </c>
      <c r="Q18" s="3">
        <v>753</v>
      </c>
      <c r="R18" s="3">
        <v>793</v>
      </c>
      <c r="S18" s="3">
        <v>825</v>
      </c>
      <c r="T18" s="3">
        <v>777</v>
      </c>
    </row>
    <row r="19" spans="1:20" x14ac:dyDescent="0.25">
      <c r="A19" s="3" t="s">
        <v>25</v>
      </c>
      <c r="B19" s="3">
        <v>783</v>
      </c>
      <c r="C19" s="3">
        <v>829</v>
      </c>
      <c r="D19" s="3">
        <v>765</v>
      </c>
      <c r="E19" s="3">
        <v>765</v>
      </c>
      <c r="G19" s="3">
        <v>789</v>
      </c>
      <c r="H19" s="3">
        <v>789</v>
      </c>
      <c r="I19" s="3">
        <v>765</v>
      </c>
      <c r="J19" s="3">
        <v>773</v>
      </c>
      <c r="L19" s="3">
        <v>789</v>
      </c>
      <c r="M19" s="3">
        <v>757</v>
      </c>
      <c r="N19" s="3">
        <v>765</v>
      </c>
      <c r="O19" s="3">
        <v>781</v>
      </c>
      <c r="Q19" s="3">
        <v>773</v>
      </c>
      <c r="R19" s="3">
        <v>757</v>
      </c>
      <c r="S19" s="3">
        <v>789</v>
      </c>
      <c r="T19" s="3">
        <v>758</v>
      </c>
    </row>
    <row r="20" spans="1:20" x14ac:dyDescent="0.25">
      <c r="A20" s="3" t="s">
        <v>26</v>
      </c>
      <c r="B20" s="3">
        <v>630</v>
      </c>
      <c r="C20" s="3">
        <v>643</v>
      </c>
      <c r="D20" s="3">
        <v>636</v>
      </c>
      <c r="E20" s="3">
        <v>655</v>
      </c>
      <c r="G20" s="3">
        <v>643</v>
      </c>
      <c r="H20" s="3">
        <v>624</v>
      </c>
      <c r="I20" s="3">
        <v>662</v>
      </c>
      <c r="J20" s="3">
        <v>652</v>
      </c>
      <c r="L20" s="3">
        <v>656</v>
      </c>
      <c r="M20" s="3">
        <v>630</v>
      </c>
      <c r="N20" s="3">
        <v>624</v>
      </c>
      <c r="O20" s="3">
        <v>662</v>
      </c>
      <c r="Q20" s="3">
        <v>617</v>
      </c>
      <c r="R20" s="3">
        <v>649</v>
      </c>
      <c r="S20" s="3">
        <v>626</v>
      </c>
      <c r="T20" s="3">
        <v>623</v>
      </c>
    </row>
    <row r="21" spans="1:20" x14ac:dyDescent="0.25">
      <c r="A21" s="3" t="s">
        <v>27</v>
      </c>
      <c r="B21" s="3">
        <v>548</v>
      </c>
      <c r="C21" s="3">
        <v>526</v>
      </c>
      <c r="D21" s="3">
        <v>576</v>
      </c>
      <c r="E21" s="3">
        <v>576</v>
      </c>
      <c r="G21" s="3">
        <v>548</v>
      </c>
      <c r="H21" s="3">
        <v>565</v>
      </c>
      <c r="I21" s="3">
        <v>554</v>
      </c>
      <c r="J21" s="3">
        <v>536</v>
      </c>
      <c r="L21" s="3">
        <v>565</v>
      </c>
      <c r="M21" s="3">
        <v>582</v>
      </c>
      <c r="N21" s="3">
        <v>554</v>
      </c>
      <c r="O21" s="3">
        <v>554</v>
      </c>
      <c r="Q21" s="3">
        <v>532</v>
      </c>
      <c r="R21" s="3">
        <v>576</v>
      </c>
      <c r="S21" s="3">
        <v>548</v>
      </c>
      <c r="T21" s="3">
        <v>541</v>
      </c>
    </row>
    <row r="22" spans="1:20" x14ac:dyDescent="0.25">
      <c r="A22" s="3" t="s">
        <v>28</v>
      </c>
      <c r="B22" s="3">
        <v>569</v>
      </c>
      <c r="C22" s="3">
        <v>581</v>
      </c>
      <c r="D22" s="3">
        <v>569</v>
      </c>
      <c r="E22" s="3">
        <v>569</v>
      </c>
      <c r="G22" s="3">
        <v>563</v>
      </c>
      <c r="H22" s="3">
        <v>552</v>
      </c>
      <c r="I22" s="3">
        <v>557</v>
      </c>
      <c r="J22" s="3">
        <v>574</v>
      </c>
      <c r="L22" s="3">
        <v>547</v>
      </c>
      <c r="M22" s="3">
        <v>552</v>
      </c>
      <c r="N22" s="3">
        <v>563</v>
      </c>
      <c r="O22" s="3">
        <v>574</v>
      </c>
      <c r="Q22" s="3">
        <v>591</v>
      </c>
      <c r="R22" s="3">
        <v>591</v>
      </c>
      <c r="S22" s="3">
        <v>563</v>
      </c>
      <c r="T22" s="3">
        <v>536</v>
      </c>
    </row>
    <row r="23" spans="1:20" x14ac:dyDescent="0.25">
      <c r="A23" s="3" t="s">
        <v>29</v>
      </c>
      <c r="B23" s="3">
        <v>446</v>
      </c>
      <c r="C23" s="3">
        <v>433</v>
      </c>
      <c r="D23" s="3">
        <v>455</v>
      </c>
      <c r="E23" s="3">
        <v>468</v>
      </c>
      <c r="G23" s="3">
        <v>424</v>
      </c>
      <c r="H23" s="3">
        <v>437</v>
      </c>
      <c r="I23" s="3">
        <v>433</v>
      </c>
      <c r="J23" s="3">
        <v>468</v>
      </c>
      <c r="L23" s="3">
        <v>468</v>
      </c>
      <c r="M23" s="3">
        <v>446</v>
      </c>
      <c r="N23" s="3">
        <v>468</v>
      </c>
      <c r="O23" s="3">
        <v>450</v>
      </c>
      <c r="Q23" s="3">
        <v>468</v>
      </c>
      <c r="R23" s="3">
        <v>424</v>
      </c>
      <c r="S23" s="3">
        <v>446</v>
      </c>
      <c r="T23" s="3">
        <v>437</v>
      </c>
    </row>
    <row r="24" spans="1:20" x14ac:dyDescent="0.25">
      <c r="A24" s="3" t="s">
        <v>30</v>
      </c>
      <c r="B24" s="3">
        <v>425</v>
      </c>
      <c r="C24" s="3">
        <v>465</v>
      </c>
      <c r="D24" s="3">
        <v>447</v>
      </c>
      <c r="E24" s="3">
        <v>430</v>
      </c>
      <c r="G24" s="3">
        <v>439</v>
      </c>
      <c r="H24" s="3">
        <v>461</v>
      </c>
      <c r="I24" s="3">
        <v>434</v>
      </c>
      <c r="J24" s="3">
        <v>452</v>
      </c>
      <c r="L24" s="3">
        <v>461</v>
      </c>
      <c r="M24" s="3">
        <v>421</v>
      </c>
      <c r="N24" s="3">
        <v>439</v>
      </c>
      <c r="O24" s="3">
        <v>430</v>
      </c>
      <c r="Q24" s="3">
        <v>425</v>
      </c>
      <c r="R24" s="3">
        <v>439</v>
      </c>
      <c r="S24" s="3">
        <v>443</v>
      </c>
      <c r="T24" s="3">
        <v>421</v>
      </c>
    </row>
    <row r="25" spans="1:20" x14ac:dyDescent="0.25">
      <c r="A25" s="3" t="s">
        <v>31</v>
      </c>
      <c r="B25" s="3">
        <v>448</v>
      </c>
      <c r="C25" s="3">
        <v>435</v>
      </c>
      <c r="D25" s="3">
        <v>435</v>
      </c>
      <c r="E25" s="3">
        <v>414</v>
      </c>
      <c r="G25" s="3">
        <v>444</v>
      </c>
      <c r="H25" s="3">
        <v>410</v>
      </c>
      <c r="I25" s="3">
        <v>435</v>
      </c>
      <c r="J25" s="3">
        <v>453</v>
      </c>
      <c r="L25" s="3">
        <v>431</v>
      </c>
      <c r="M25" s="3">
        <v>435</v>
      </c>
      <c r="N25" s="3">
        <v>444</v>
      </c>
      <c r="O25" s="3">
        <v>444</v>
      </c>
      <c r="Q25" s="3">
        <v>422</v>
      </c>
      <c r="R25" s="3">
        <v>448</v>
      </c>
      <c r="S25" s="3">
        <v>418</v>
      </c>
      <c r="T25" s="3">
        <v>409</v>
      </c>
    </row>
    <row r="26" spans="1:20" x14ac:dyDescent="0.25">
      <c r="A26" s="3" t="s">
        <v>32</v>
      </c>
      <c r="B26" s="3">
        <v>482</v>
      </c>
      <c r="C26" s="3">
        <v>503</v>
      </c>
      <c r="D26" s="3">
        <v>493</v>
      </c>
      <c r="E26" s="3">
        <v>523</v>
      </c>
      <c r="G26" s="3">
        <v>518</v>
      </c>
      <c r="H26" s="3">
        <v>513</v>
      </c>
      <c r="I26" s="3">
        <v>508</v>
      </c>
      <c r="J26" s="3">
        <v>505</v>
      </c>
      <c r="L26" s="3">
        <v>493</v>
      </c>
      <c r="M26" s="3">
        <v>522</v>
      </c>
      <c r="N26" s="3">
        <v>508</v>
      </c>
      <c r="O26" s="3">
        <v>493</v>
      </c>
      <c r="Q26" s="3">
        <v>523</v>
      </c>
      <c r="R26" s="3">
        <v>498</v>
      </c>
      <c r="S26" s="3">
        <v>478</v>
      </c>
      <c r="T26" s="3">
        <v>488</v>
      </c>
    </row>
    <row r="27" spans="1:20" x14ac:dyDescent="0.25">
      <c r="A27" s="3" t="s">
        <v>33</v>
      </c>
      <c r="B27" s="3">
        <v>304</v>
      </c>
      <c r="C27" s="3">
        <v>318</v>
      </c>
      <c r="D27" s="3">
        <v>309</v>
      </c>
      <c r="E27" s="3">
        <v>303</v>
      </c>
      <c r="G27" s="3">
        <v>312</v>
      </c>
      <c r="H27" s="3">
        <v>324</v>
      </c>
      <c r="I27" s="3">
        <v>303</v>
      </c>
      <c r="J27" s="3">
        <v>312</v>
      </c>
      <c r="L27" s="3">
        <v>309</v>
      </c>
      <c r="M27" s="3">
        <v>306</v>
      </c>
      <c r="N27" s="3">
        <v>321</v>
      </c>
      <c r="O27" s="3">
        <v>306</v>
      </c>
      <c r="Q27" s="3">
        <v>315</v>
      </c>
      <c r="R27" s="3">
        <v>297</v>
      </c>
      <c r="S27" s="3">
        <v>317</v>
      </c>
      <c r="T27" s="3">
        <v>321</v>
      </c>
    </row>
    <row r="28" spans="1:20" x14ac:dyDescent="0.25">
      <c r="A28" s="3" t="s">
        <v>34</v>
      </c>
      <c r="B28" s="3">
        <v>246</v>
      </c>
      <c r="C28" s="3">
        <v>244</v>
      </c>
      <c r="D28" s="3">
        <v>223</v>
      </c>
      <c r="E28" s="3">
        <v>244</v>
      </c>
      <c r="G28" s="3">
        <v>232</v>
      </c>
      <c r="H28" s="3">
        <v>237</v>
      </c>
      <c r="I28" s="3">
        <v>225</v>
      </c>
      <c r="J28" s="3">
        <v>227</v>
      </c>
      <c r="L28" s="3">
        <v>241</v>
      </c>
      <c r="M28" s="3">
        <v>237</v>
      </c>
      <c r="N28" s="3">
        <v>230</v>
      </c>
      <c r="O28" s="3">
        <v>232</v>
      </c>
      <c r="Q28" s="3">
        <v>241</v>
      </c>
      <c r="R28" s="3">
        <v>227</v>
      </c>
      <c r="S28" s="3">
        <v>229</v>
      </c>
      <c r="T28" s="3">
        <v>220</v>
      </c>
    </row>
    <row r="29" spans="1:20" x14ac:dyDescent="0.25">
      <c r="A29" s="3" t="s">
        <v>35</v>
      </c>
      <c r="B29" s="3">
        <v>274</v>
      </c>
      <c r="C29" s="3">
        <v>269</v>
      </c>
      <c r="D29" s="3">
        <v>274</v>
      </c>
      <c r="E29" s="3">
        <v>272</v>
      </c>
      <c r="G29" s="3">
        <v>266</v>
      </c>
      <c r="H29" s="3">
        <v>282</v>
      </c>
      <c r="I29" s="3">
        <v>256</v>
      </c>
      <c r="J29" s="3">
        <v>272</v>
      </c>
      <c r="L29" s="3">
        <v>258</v>
      </c>
      <c r="M29" s="3">
        <v>269</v>
      </c>
      <c r="N29" s="3">
        <v>277</v>
      </c>
      <c r="O29" s="3">
        <v>269</v>
      </c>
      <c r="Q29" s="3">
        <v>266</v>
      </c>
      <c r="R29" s="3">
        <v>266</v>
      </c>
      <c r="S29" s="3">
        <v>264</v>
      </c>
      <c r="T29" s="3">
        <v>280</v>
      </c>
    </row>
    <row r="30" spans="1:20" x14ac:dyDescent="0.25">
      <c r="A30" s="3" t="s">
        <v>36</v>
      </c>
      <c r="B30" s="3">
        <v>168</v>
      </c>
      <c r="C30" s="3">
        <v>171</v>
      </c>
      <c r="D30" s="3">
        <v>169</v>
      </c>
      <c r="E30" s="3">
        <v>174</v>
      </c>
      <c r="G30" s="3">
        <v>173</v>
      </c>
      <c r="H30" s="3">
        <v>171</v>
      </c>
      <c r="I30" s="3">
        <v>159</v>
      </c>
      <c r="J30" s="3">
        <v>171</v>
      </c>
      <c r="L30" s="3">
        <v>168</v>
      </c>
      <c r="M30" s="3">
        <v>164</v>
      </c>
      <c r="N30" s="3">
        <v>171</v>
      </c>
      <c r="O30" s="3">
        <v>161</v>
      </c>
      <c r="Q30" s="3">
        <v>159</v>
      </c>
      <c r="R30" s="3">
        <v>171</v>
      </c>
      <c r="S30" s="3">
        <v>166</v>
      </c>
      <c r="T30" s="3">
        <v>161</v>
      </c>
    </row>
    <row r="31" spans="1:20" x14ac:dyDescent="0.25">
      <c r="A31" s="3" t="s">
        <v>37</v>
      </c>
      <c r="B31" s="3">
        <v>236</v>
      </c>
      <c r="C31" s="3">
        <v>236</v>
      </c>
      <c r="D31" s="3">
        <v>253</v>
      </c>
      <c r="E31" s="3">
        <v>246</v>
      </c>
      <c r="G31" s="3">
        <v>258</v>
      </c>
      <c r="H31" s="3">
        <v>244</v>
      </c>
      <c r="I31" s="3">
        <v>241</v>
      </c>
      <c r="J31" s="3">
        <v>247</v>
      </c>
      <c r="L31" s="3">
        <v>259</v>
      </c>
      <c r="M31" s="3">
        <v>239</v>
      </c>
      <c r="N31" s="3">
        <v>244</v>
      </c>
      <c r="O31" s="3">
        <v>239</v>
      </c>
      <c r="Q31" s="3">
        <v>244</v>
      </c>
      <c r="R31" s="3">
        <v>244</v>
      </c>
      <c r="S31" s="3">
        <v>251</v>
      </c>
      <c r="T31" s="3">
        <v>251</v>
      </c>
    </row>
    <row r="32" spans="1:20" x14ac:dyDescent="0.25">
      <c r="A32" s="3" t="s">
        <v>38</v>
      </c>
      <c r="B32" s="3">
        <v>243</v>
      </c>
      <c r="C32" s="3">
        <v>241</v>
      </c>
      <c r="D32" s="3">
        <v>232</v>
      </c>
      <c r="E32" s="3">
        <v>243</v>
      </c>
      <c r="G32" s="3">
        <v>239</v>
      </c>
      <c r="H32" s="3">
        <v>225</v>
      </c>
      <c r="I32" s="3">
        <v>225</v>
      </c>
      <c r="J32" s="3">
        <v>241</v>
      </c>
      <c r="L32" s="3">
        <v>237</v>
      </c>
      <c r="M32" s="3">
        <v>241</v>
      </c>
      <c r="N32" s="3">
        <v>239</v>
      </c>
      <c r="O32" s="3">
        <v>239</v>
      </c>
      <c r="Q32" s="3">
        <v>234</v>
      </c>
      <c r="R32" s="3">
        <v>241</v>
      </c>
      <c r="S32" s="3">
        <v>227</v>
      </c>
      <c r="T32" s="3">
        <v>236</v>
      </c>
    </row>
    <row r="33" spans="1:20" x14ac:dyDescent="0.25">
      <c r="A33" s="3" t="s">
        <v>39</v>
      </c>
      <c r="B33" s="3">
        <v>134</v>
      </c>
      <c r="C33" s="3">
        <v>123</v>
      </c>
      <c r="D33" s="3">
        <v>125</v>
      </c>
      <c r="E33" s="3">
        <v>128</v>
      </c>
      <c r="G33" s="3">
        <v>132</v>
      </c>
      <c r="H33" s="3">
        <v>125</v>
      </c>
      <c r="I33" s="3">
        <v>124</v>
      </c>
      <c r="J33" s="3">
        <v>126</v>
      </c>
      <c r="L33" s="3">
        <v>125</v>
      </c>
      <c r="M33" s="3">
        <v>128</v>
      </c>
      <c r="N33" s="3">
        <v>124</v>
      </c>
      <c r="O33" s="3">
        <v>132</v>
      </c>
      <c r="Q33" s="3">
        <v>123</v>
      </c>
      <c r="R33" s="3">
        <v>129</v>
      </c>
      <c r="S33" s="3">
        <v>133</v>
      </c>
      <c r="T33" s="3">
        <v>133</v>
      </c>
    </row>
    <row r="34" spans="1:20" x14ac:dyDescent="0.25">
      <c r="A34" s="3" t="s">
        <v>40</v>
      </c>
      <c r="B34" s="3">
        <v>172</v>
      </c>
      <c r="C34" s="3">
        <v>174</v>
      </c>
      <c r="D34" s="3">
        <v>170</v>
      </c>
      <c r="E34" s="3">
        <v>165</v>
      </c>
      <c r="G34" s="3">
        <v>160</v>
      </c>
      <c r="H34" s="3">
        <v>165</v>
      </c>
      <c r="I34" s="3">
        <v>164</v>
      </c>
      <c r="J34" s="3">
        <v>160</v>
      </c>
      <c r="L34" s="3">
        <v>167</v>
      </c>
      <c r="M34" s="3">
        <v>169</v>
      </c>
      <c r="N34" s="3">
        <v>159</v>
      </c>
      <c r="O34" s="3">
        <v>162</v>
      </c>
      <c r="Q34" s="3">
        <v>170</v>
      </c>
      <c r="R34" s="3">
        <v>174</v>
      </c>
      <c r="S34" s="3">
        <v>159</v>
      </c>
      <c r="T34" s="3">
        <v>170</v>
      </c>
    </row>
    <row r="35" spans="1:20" x14ac:dyDescent="0.25">
      <c r="A35" s="3" t="s">
        <v>41</v>
      </c>
      <c r="B35" s="3">
        <v>106</v>
      </c>
      <c r="C35" s="3">
        <v>105</v>
      </c>
      <c r="D35" s="3">
        <v>106</v>
      </c>
      <c r="E35" s="3">
        <v>104</v>
      </c>
      <c r="G35" s="3">
        <v>101</v>
      </c>
      <c r="H35" s="3">
        <v>98</v>
      </c>
      <c r="I35" s="3">
        <v>101</v>
      </c>
      <c r="J35" s="3">
        <v>105</v>
      </c>
      <c r="L35" s="3">
        <v>98</v>
      </c>
      <c r="M35" s="3">
        <v>106</v>
      </c>
      <c r="N35" s="3">
        <v>96</v>
      </c>
      <c r="O35" s="3">
        <v>97</v>
      </c>
      <c r="Q35" s="3">
        <v>104</v>
      </c>
      <c r="R35" s="3">
        <v>103</v>
      </c>
      <c r="S35" s="3">
        <v>102</v>
      </c>
      <c r="T35" s="3">
        <v>101</v>
      </c>
    </row>
    <row r="36" spans="1:20" x14ac:dyDescent="0.25">
      <c r="A36" s="3" t="s">
        <v>42</v>
      </c>
      <c r="B36" s="3">
        <v>104</v>
      </c>
      <c r="C36" s="3">
        <v>103</v>
      </c>
      <c r="D36" s="3">
        <v>98</v>
      </c>
      <c r="E36" s="3">
        <v>96</v>
      </c>
      <c r="G36" s="3">
        <v>104</v>
      </c>
      <c r="H36" s="3">
        <v>104</v>
      </c>
      <c r="I36" s="3">
        <v>98</v>
      </c>
      <c r="J36" s="3">
        <v>105</v>
      </c>
      <c r="L36" s="3">
        <v>99</v>
      </c>
      <c r="M36" s="3">
        <v>102</v>
      </c>
      <c r="N36" s="3">
        <v>100</v>
      </c>
      <c r="O36" s="3">
        <v>100</v>
      </c>
      <c r="Q36" s="3">
        <v>99</v>
      </c>
      <c r="R36" s="3">
        <v>96</v>
      </c>
      <c r="S36" s="3">
        <v>96</v>
      </c>
      <c r="T36" s="3">
        <v>106</v>
      </c>
    </row>
    <row r="37" spans="1:20" x14ac:dyDescent="0.25">
      <c r="A37" s="3" t="s">
        <v>43</v>
      </c>
      <c r="B37" s="3">
        <v>122</v>
      </c>
      <c r="C37" s="3">
        <v>125</v>
      </c>
      <c r="D37" s="3">
        <v>126</v>
      </c>
      <c r="E37" s="3">
        <v>128</v>
      </c>
      <c r="G37" s="3">
        <v>124</v>
      </c>
      <c r="H37" s="3">
        <v>119</v>
      </c>
      <c r="I37" s="3">
        <v>119</v>
      </c>
      <c r="J37" s="3">
        <v>120</v>
      </c>
      <c r="L37" s="3">
        <v>124</v>
      </c>
      <c r="M37" s="3">
        <v>123</v>
      </c>
      <c r="N37" s="3">
        <v>120</v>
      </c>
      <c r="O37" s="3">
        <v>129</v>
      </c>
      <c r="Q37" s="3">
        <v>119</v>
      </c>
      <c r="R37" s="3">
        <v>128</v>
      </c>
      <c r="S37" s="3">
        <v>126</v>
      </c>
      <c r="T37" s="3">
        <v>128</v>
      </c>
    </row>
    <row r="38" spans="1:20" x14ac:dyDescent="0.25">
      <c r="A38" s="3" t="s">
        <v>44</v>
      </c>
      <c r="B38" s="3">
        <v>100</v>
      </c>
      <c r="C38" s="3">
        <v>94</v>
      </c>
      <c r="D38" s="3">
        <v>102</v>
      </c>
      <c r="E38" s="3">
        <v>99</v>
      </c>
      <c r="G38" s="3">
        <v>96</v>
      </c>
      <c r="H38" s="3">
        <v>104</v>
      </c>
      <c r="I38" s="3">
        <v>101</v>
      </c>
      <c r="J38" s="3">
        <v>101</v>
      </c>
      <c r="L38" s="3">
        <v>96</v>
      </c>
      <c r="M38" s="3">
        <v>96</v>
      </c>
      <c r="N38" s="3">
        <v>98</v>
      </c>
      <c r="O38" s="3">
        <v>100</v>
      </c>
      <c r="Q38" s="3">
        <v>104</v>
      </c>
      <c r="R38" s="3">
        <v>102</v>
      </c>
      <c r="S38" s="3">
        <v>103</v>
      </c>
      <c r="T38" s="3">
        <v>95</v>
      </c>
    </row>
    <row r="39" spans="1:20" x14ac:dyDescent="0.25">
      <c r="A39" s="3" t="s">
        <v>45</v>
      </c>
      <c r="B39" s="3">
        <v>82</v>
      </c>
      <c r="C39" s="3">
        <v>75</v>
      </c>
      <c r="D39" s="3">
        <v>82</v>
      </c>
      <c r="E39" s="3">
        <v>80</v>
      </c>
      <c r="G39" s="3">
        <v>78</v>
      </c>
      <c r="H39" s="3">
        <v>81</v>
      </c>
      <c r="I39" s="3">
        <v>81</v>
      </c>
      <c r="J39" s="3">
        <v>79</v>
      </c>
      <c r="L39" s="3">
        <v>80</v>
      </c>
      <c r="M39" s="3">
        <v>75</v>
      </c>
      <c r="N39" s="3">
        <v>82</v>
      </c>
      <c r="O39" s="3">
        <v>74</v>
      </c>
      <c r="Q39" s="3">
        <v>76</v>
      </c>
      <c r="R39" s="3">
        <v>78</v>
      </c>
      <c r="S39" s="3">
        <v>81</v>
      </c>
      <c r="T39" s="3">
        <v>81</v>
      </c>
    </row>
    <row r="40" spans="1:20" s="23" customFormat="1" ht="16" x14ac:dyDescent="0.2">
      <c r="B40" s="24">
        <f>SUM(B3:B39)</f>
        <v>389720</v>
      </c>
      <c r="C40" s="24">
        <f>SUM(C3:C39)</f>
        <v>424624</v>
      </c>
      <c r="D40" s="24">
        <f>SUM(D3:D39)</f>
        <v>521783</v>
      </c>
      <c r="E40" s="24">
        <f>SUM(E3:E39)</f>
        <v>438814</v>
      </c>
      <c r="F40" s="24"/>
      <c r="G40" s="24">
        <f>SUM(G3:G39)</f>
        <v>528027</v>
      </c>
      <c r="H40" s="24">
        <f>SUM(H3:H39)</f>
        <v>447159</v>
      </c>
      <c r="I40" s="24">
        <f>SUM(I3:I39)</f>
        <v>425516</v>
      </c>
      <c r="J40" s="24">
        <f>SUM(J3:J39)</f>
        <v>399534</v>
      </c>
      <c r="K40" s="24"/>
      <c r="L40" s="24">
        <f>SUM(L3:L39)</f>
        <v>456006</v>
      </c>
      <c r="M40" s="24">
        <f>SUM(M3:M39)</f>
        <v>420172</v>
      </c>
      <c r="N40" s="24">
        <f>SUM(N3:N39)</f>
        <v>441397</v>
      </c>
      <c r="O40" s="24">
        <f>SUM(O3:O39)</f>
        <v>423536</v>
      </c>
      <c r="P40" s="24"/>
      <c r="Q40" s="24">
        <f>SUM(Q3:Q39)</f>
        <v>502277</v>
      </c>
      <c r="R40" s="24">
        <f>SUM(R3:R39)</f>
        <v>431495</v>
      </c>
      <c r="S40" s="24">
        <f>SUM(S3:S39)</f>
        <v>399479</v>
      </c>
      <c r="T40" s="24">
        <f>SUM(T3:T39)</f>
        <v>403245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19D5-333D-B649-9EDC-0304E66F351C}">
  <dimension ref="A3:U35"/>
  <sheetViews>
    <sheetView workbookViewId="0">
      <selection activeCell="Y10" sqref="Y10"/>
    </sheetView>
  </sheetViews>
  <sheetFormatPr baseColWidth="10" defaultColWidth="11.5" defaultRowHeight="16" x14ac:dyDescent="0.2"/>
  <cols>
    <col min="1" max="1" width="11.6640625" style="25" bestFit="1" customWidth="1"/>
    <col min="2" max="8" width="10.5" style="2" bestFit="1" customWidth="1"/>
    <col min="9" max="9" width="10.5" style="2" customWidth="1"/>
    <col min="10" max="13" width="10.5" style="2" bestFit="1" customWidth="1"/>
    <col min="14" max="14" width="10.5" style="2" customWidth="1"/>
    <col min="15" max="18" width="10.5" style="2" bestFit="1" customWidth="1"/>
    <col min="19" max="19" width="10.1640625" style="2" customWidth="1"/>
    <col min="20" max="16384" width="11.5" style="2"/>
  </cols>
  <sheetData>
    <row r="3" spans="1:21" s="27" customFormat="1" ht="18" x14ac:dyDescent="0.2">
      <c r="A3" s="26" t="s">
        <v>46</v>
      </c>
      <c r="B3" s="21">
        <v>45841</v>
      </c>
      <c r="C3" s="21">
        <v>45842</v>
      </c>
      <c r="D3" s="21">
        <v>45843</v>
      </c>
      <c r="E3" s="21">
        <v>45844</v>
      </c>
      <c r="F3" s="21"/>
      <c r="G3" s="21">
        <v>45848</v>
      </c>
      <c r="H3" s="21">
        <v>45849</v>
      </c>
      <c r="I3" s="21">
        <v>45850</v>
      </c>
      <c r="J3" s="21">
        <v>45851</v>
      </c>
      <c r="K3" s="21"/>
      <c r="L3" s="21">
        <v>45855</v>
      </c>
      <c r="M3" s="21">
        <v>45856</v>
      </c>
      <c r="N3" s="21">
        <v>45857</v>
      </c>
      <c r="O3" s="21">
        <v>45858</v>
      </c>
      <c r="P3" s="21"/>
      <c r="Q3" s="21">
        <v>45862</v>
      </c>
      <c r="R3" s="21">
        <v>45863</v>
      </c>
      <c r="S3" s="21">
        <v>45864</v>
      </c>
      <c r="T3" s="21">
        <v>45865</v>
      </c>
      <c r="U3" s="26" t="s">
        <v>54</v>
      </c>
    </row>
    <row r="4" spans="1:21" x14ac:dyDescent="0.2">
      <c r="A4" s="25">
        <v>0</v>
      </c>
      <c r="B4" s="2">
        <v>1587</v>
      </c>
      <c r="C4" s="2">
        <v>1641</v>
      </c>
      <c r="D4" s="2">
        <v>1603</v>
      </c>
      <c r="E4" s="2">
        <v>1739</v>
      </c>
      <c r="G4" s="2">
        <v>1747</v>
      </c>
      <c r="H4" s="2">
        <v>1706</v>
      </c>
      <c r="I4" s="2">
        <v>1555</v>
      </c>
      <c r="J4" s="2">
        <v>1568</v>
      </c>
      <c r="L4" s="2">
        <v>1738</v>
      </c>
      <c r="M4" s="2">
        <v>1619</v>
      </c>
      <c r="N4" s="2">
        <v>1787</v>
      </c>
      <c r="O4" s="2">
        <v>1623</v>
      </c>
      <c r="Q4" s="2">
        <v>1623</v>
      </c>
      <c r="R4" s="2">
        <v>1688</v>
      </c>
      <c r="S4" s="2">
        <v>1574</v>
      </c>
      <c r="T4" s="2">
        <v>1684</v>
      </c>
    </row>
    <row r="5" spans="1:21" x14ac:dyDescent="0.2">
      <c r="A5" s="25">
        <v>4.1666666666666699E-2</v>
      </c>
      <c r="B5" s="2">
        <v>1366</v>
      </c>
      <c r="C5" s="2">
        <v>1307</v>
      </c>
      <c r="D5" s="2">
        <v>1382</v>
      </c>
      <c r="E5" s="2">
        <v>1311</v>
      </c>
      <c r="G5" s="2">
        <v>1396</v>
      </c>
      <c r="H5" s="2">
        <v>1316</v>
      </c>
      <c r="I5" s="2">
        <v>1424</v>
      </c>
      <c r="J5" s="2">
        <v>1342</v>
      </c>
      <c r="L5" s="2">
        <v>1385</v>
      </c>
      <c r="M5" s="2">
        <v>1413</v>
      </c>
      <c r="N5" s="2">
        <v>1383</v>
      </c>
      <c r="O5" s="2">
        <v>1397</v>
      </c>
      <c r="Q5" s="2">
        <v>1397</v>
      </c>
      <c r="R5" s="2">
        <v>1392</v>
      </c>
      <c r="S5" s="2">
        <v>1361</v>
      </c>
      <c r="T5" s="2">
        <v>1314</v>
      </c>
    </row>
    <row r="6" spans="1:21" x14ac:dyDescent="0.2">
      <c r="A6" s="25">
        <v>8.3333333333333301E-2</v>
      </c>
      <c r="B6" s="2">
        <v>1134</v>
      </c>
      <c r="C6" s="2">
        <v>1077</v>
      </c>
      <c r="D6" s="2">
        <v>1123</v>
      </c>
      <c r="E6" s="2">
        <v>1163</v>
      </c>
      <c r="G6" s="2">
        <v>1210</v>
      </c>
      <c r="H6" s="2">
        <v>1179</v>
      </c>
      <c r="I6" s="2">
        <v>1180</v>
      </c>
      <c r="J6" s="2">
        <v>1122</v>
      </c>
      <c r="L6" s="2">
        <v>1217</v>
      </c>
      <c r="M6" s="2">
        <v>1175</v>
      </c>
      <c r="N6" s="2">
        <v>1203</v>
      </c>
      <c r="O6" s="2">
        <v>1169</v>
      </c>
      <c r="Q6" s="2">
        <v>1169</v>
      </c>
      <c r="R6" s="2">
        <v>1215</v>
      </c>
      <c r="S6" s="2">
        <v>1157</v>
      </c>
      <c r="T6" s="2">
        <v>1123</v>
      </c>
    </row>
    <row r="7" spans="1:21" x14ac:dyDescent="0.2">
      <c r="A7" s="25">
        <v>0.125</v>
      </c>
      <c r="B7" s="2">
        <v>1031</v>
      </c>
      <c r="C7" s="2">
        <v>971</v>
      </c>
      <c r="D7" s="2">
        <v>1031</v>
      </c>
      <c r="E7" s="2">
        <v>961</v>
      </c>
      <c r="G7" s="2">
        <v>1023</v>
      </c>
      <c r="H7" s="2">
        <v>986</v>
      </c>
      <c r="I7" s="2">
        <v>1062</v>
      </c>
      <c r="J7" s="2">
        <v>1059</v>
      </c>
      <c r="L7" s="2">
        <v>1011</v>
      </c>
      <c r="M7" s="2">
        <v>980</v>
      </c>
      <c r="N7" s="2">
        <v>1021</v>
      </c>
      <c r="O7" s="2">
        <v>980</v>
      </c>
      <c r="Q7" s="2">
        <v>980</v>
      </c>
      <c r="R7" s="2">
        <v>1041</v>
      </c>
      <c r="S7" s="2">
        <v>1021</v>
      </c>
      <c r="T7" s="2">
        <v>1051</v>
      </c>
    </row>
    <row r="8" spans="1:21" x14ac:dyDescent="0.2">
      <c r="A8" s="25">
        <v>0.16666666666666699</v>
      </c>
      <c r="B8" s="2">
        <v>674</v>
      </c>
      <c r="C8" s="2">
        <v>672</v>
      </c>
      <c r="D8" s="2">
        <v>708</v>
      </c>
      <c r="E8" s="2">
        <v>701</v>
      </c>
      <c r="G8" s="2">
        <v>674</v>
      </c>
      <c r="H8" s="2">
        <v>692</v>
      </c>
      <c r="I8" s="2">
        <v>661</v>
      </c>
      <c r="J8" s="2">
        <v>674</v>
      </c>
      <c r="L8" s="2">
        <v>648</v>
      </c>
      <c r="M8" s="2">
        <v>628</v>
      </c>
      <c r="N8" s="2">
        <v>681</v>
      </c>
      <c r="O8" s="2">
        <v>628</v>
      </c>
      <c r="Q8" s="2">
        <v>628</v>
      </c>
      <c r="R8" s="2">
        <v>628</v>
      </c>
      <c r="S8" s="2">
        <v>687</v>
      </c>
      <c r="T8" s="2">
        <v>647</v>
      </c>
    </row>
    <row r="9" spans="1:21" x14ac:dyDescent="0.2">
      <c r="A9" s="25">
        <v>0.20833333333333301</v>
      </c>
      <c r="B9" s="2">
        <v>563</v>
      </c>
      <c r="C9" s="2">
        <v>527</v>
      </c>
      <c r="D9" s="2">
        <v>549</v>
      </c>
      <c r="E9" s="2">
        <v>564</v>
      </c>
      <c r="G9" s="2">
        <v>570</v>
      </c>
      <c r="H9" s="2">
        <v>565</v>
      </c>
      <c r="I9" s="2">
        <v>522</v>
      </c>
      <c r="J9" s="2">
        <v>519</v>
      </c>
      <c r="L9" s="2">
        <v>554</v>
      </c>
      <c r="M9" s="2">
        <v>517</v>
      </c>
      <c r="N9" s="2">
        <v>522</v>
      </c>
      <c r="O9" s="2">
        <v>560</v>
      </c>
      <c r="Q9" s="2">
        <v>560</v>
      </c>
      <c r="R9" s="2">
        <v>517</v>
      </c>
      <c r="S9" s="2">
        <v>516</v>
      </c>
      <c r="T9" s="2">
        <v>549</v>
      </c>
    </row>
    <row r="10" spans="1:21" x14ac:dyDescent="0.2">
      <c r="A10" s="25">
        <v>0.25</v>
      </c>
      <c r="B10" s="2">
        <v>517</v>
      </c>
      <c r="C10" s="2">
        <v>497</v>
      </c>
      <c r="D10" s="2">
        <v>487</v>
      </c>
      <c r="E10" s="2">
        <v>512</v>
      </c>
      <c r="G10" s="2">
        <v>446</v>
      </c>
      <c r="H10" s="2">
        <v>487</v>
      </c>
      <c r="I10" s="2">
        <v>492</v>
      </c>
      <c r="J10" s="2">
        <v>517</v>
      </c>
      <c r="L10" s="2">
        <v>486</v>
      </c>
      <c r="M10" s="2">
        <v>505</v>
      </c>
      <c r="N10" s="2">
        <v>538</v>
      </c>
      <c r="O10" s="2">
        <v>497</v>
      </c>
      <c r="Q10" s="2">
        <v>497</v>
      </c>
      <c r="R10" s="2">
        <v>532</v>
      </c>
      <c r="S10" s="2">
        <v>482</v>
      </c>
      <c r="T10" s="2">
        <v>492</v>
      </c>
    </row>
    <row r="11" spans="1:21" x14ac:dyDescent="0.2">
      <c r="A11" s="25">
        <v>0.29166666666666702</v>
      </c>
      <c r="B11" s="2">
        <v>504</v>
      </c>
      <c r="C11" s="2">
        <v>508</v>
      </c>
      <c r="D11" s="2">
        <v>11513</v>
      </c>
      <c r="E11" s="2">
        <v>11528</v>
      </c>
      <c r="G11" s="2">
        <v>15528</v>
      </c>
      <c r="H11" s="2">
        <v>13518</v>
      </c>
      <c r="I11" s="2">
        <v>15456</v>
      </c>
      <c r="J11" s="2">
        <v>10953</v>
      </c>
      <c r="L11" s="2">
        <v>11528</v>
      </c>
      <c r="M11" s="2">
        <v>19453</v>
      </c>
      <c r="N11" s="2">
        <v>21482</v>
      </c>
      <c r="O11" s="2">
        <v>11651</v>
      </c>
      <c r="Q11" s="2">
        <v>10482</v>
      </c>
      <c r="R11" s="2">
        <v>23388</v>
      </c>
      <c r="S11" s="2">
        <v>492</v>
      </c>
      <c r="T11" s="2">
        <v>510</v>
      </c>
    </row>
    <row r="12" spans="1:21" x14ac:dyDescent="0.2">
      <c r="A12" s="25">
        <v>0.33333333333333298</v>
      </c>
      <c r="B12" s="2">
        <v>10602</v>
      </c>
      <c r="C12" s="2">
        <v>15598</v>
      </c>
      <c r="D12" s="2">
        <v>11610</v>
      </c>
      <c r="E12" s="2">
        <v>21592</v>
      </c>
      <c r="G12" s="2">
        <v>15617</v>
      </c>
      <c r="H12" s="2">
        <v>13621</v>
      </c>
      <c r="I12" s="2">
        <v>15765</v>
      </c>
      <c r="J12" s="2">
        <v>11592</v>
      </c>
      <c r="L12" s="2">
        <v>12543</v>
      </c>
      <c r="M12" s="2">
        <v>20875</v>
      </c>
      <c r="N12" s="2">
        <v>23603</v>
      </c>
      <c r="O12" s="2">
        <v>11557</v>
      </c>
      <c r="Q12" s="2">
        <v>11557</v>
      </c>
      <c r="R12" s="2">
        <v>38563</v>
      </c>
      <c r="S12" s="2">
        <v>10610</v>
      </c>
      <c r="T12" s="2">
        <v>26622</v>
      </c>
    </row>
    <row r="13" spans="1:21" x14ac:dyDescent="0.2">
      <c r="A13" s="25">
        <v>0.375</v>
      </c>
      <c r="B13" s="2">
        <v>10964</v>
      </c>
      <c r="C13" s="2">
        <v>15930</v>
      </c>
      <c r="D13" s="2">
        <v>25783</v>
      </c>
      <c r="E13" s="2">
        <v>20983</v>
      </c>
      <c r="G13" s="2">
        <v>21004</v>
      </c>
      <c r="H13" s="2">
        <v>15964</v>
      </c>
      <c r="I13" s="2">
        <v>17643</v>
      </c>
      <c r="J13" s="2">
        <v>15983</v>
      </c>
      <c r="L13" s="2">
        <v>18432</v>
      </c>
      <c r="M13" s="2">
        <v>31459</v>
      </c>
      <c r="N13" s="2">
        <v>25993</v>
      </c>
      <c r="O13" s="2">
        <v>21134</v>
      </c>
      <c r="Q13" s="2">
        <v>21039</v>
      </c>
      <c r="R13" s="2">
        <v>41028</v>
      </c>
      <c r="S13" s="2">
        <v>25764</v>
      </c>
      <c r="T13" s="2">
        <v>31943</v>
      </c>
    </row>
    <row r="14" spans="1:21" x14ac:dyDescent="0.2">
      <c r="A14" s="25">
        <v>0.41666666666666702</v>
      </c>
      <c r="B14" s="2">
        <v>11343</v>
      </c>
      <c r="C14" s="2">
        <v>21284</v>
      </c>
      <c r="D14" s="2">
        <v>25903</v>
      </c>
      <c r="E14" s="2">
        <v>21317</v>
      </c>
      <c r="G14" s="2">
        <v>31306</v>
      </c>
      <c r="H14" s="2">
        <v>21357</v>
      </c>
      <c r="I14" s="2">
        <v>21453</v>
      </c>
      <c r="J14" s="2">
        <v>16317</v>
      </c>
      <c r="L14" s="2">
        <v>22346</v>
      </c>
      <c r="M14" s="2">
        <v>35783</v>
      </c>
      <c r="N14" s="2">
        <v>21317</v>
      </c>
      <c r="O14" s="2">
        <v>27361</v>
      </c>
      <c r="Q14" s="2">
        <v>27361</v>
      </c>
      <c r="R14" s="2">
        <v>41354</v>
      </c>
      <c r="S14" s="2">
        <v>38754</v>
      </c>
      <c r="T14" s="2">
        <v>33547</v>
      </c>
    </row>
    <row r="15" spans="1:21" x14ac:dyDescent="0.2">
      <c r="A15" s="25">
        <v>0.45833333333333298</v>
      </c>
      <c r="B15" s="2">
        <v>11194</v>
      </c>
      <c r="C15" s="2">
        <v>21253</v>
      </c>
      <c r="D15" s="2">
        <v>24653</v>
      </c>
      <c r="E15" s="2">
        <v>31212</v>
      </c>
      <c r="G15" s="2">
        <v>41176</v>
      </c>
      <c r="H15" s="2">
        <v>31224</v>
      </c>
      <c r="I15" s="2">
        <v>19874</v>
      </c>
      <c r="J15" s="2">
        <v>17212</v>
      </c>
      <c r="L15" s="2">
        <v>32587</v>
      </c>
      <c r="M15" s="2">
        <v>37642</v>
      </c>
      <c r="N15" s="2">
        <v>21286</v>
      </c>
      <c r="O15" s="2">
        <v>28260</v>
      </c>
      <c r="Q15" s="2">
        <v>28260</v>
      </c>
      <c r="R15" s="2">
        <v>41276</v>
      </c>
      <c r="S15" s="2">
        <v>39874</v>
      </c>
      <c r="T15" s="2">
        <v>31348</v>
      </c>
    </row>
    <row r="16" spans="1:21" x14ac:dyDescent="0.2">
      <c r="A16" s="25">
        <v>0.5</v>
      </c>
      <c r="B16" s="2">
        <v>6321</v>
      </c>
      <c r="C16" s="2">
        <v>31313</v>
      </c>
      <c r="D16" s="2">
        <v>31031</v>
      </c>
      <c r="E16" s="2">
        <v>31361</v>
      </c>
      <c r="G16" s="2">
        <v>44565</v>
      </c>
      <c r="H16" s="2">
        <v>31387</v>
      </c>
      <c r="I16" s="2">
        <v>20985</v>
      </c>
      <c r="J16" s="2">
        <v>18361</v>
      </c>
      <c r="L16" s="2">
        <v>38743</v>
      </c>
      <c r="M16" s="2">
        <v>32875</v>
      </c>
      <c r="N16" s="2">
        <v>21429</v>
      </c>
      <c r="O16" s="2">
        <v>31305</v>
      </c>
      <c r="Q16" s="2">
        <v>31305</v>
      </c>
      <c r="R16" s="2">
        <v>41401</v>
      </c>
      <c r="S16" s="2">
        <v>30984</v>
      </c>
      <c r="T16" s="2">
        <v>23456</v>
      </c>
    </row>
    <row r="17" spans="1:20" x14ac:dyDescent="0.2">
      <c r="A17" s="25">
        <v>0.54166666666666696</v>
      </c>
      <c r="B17" s="2">
        <v>51417</v>
      </c>
      <c r="C17" s="2">
        <v>31435</v>
      </c>
      <c r="D17" s="2">
        <v>31386</v>
      </c>
      <c r="E17" s="2">
        <v>21517</v>
      </c>
      <c r="G17" s="2">
        <v>41488</v>
      </c>
      <c r="H17" s="2">
        <v>21454</v>
      </c>
      <c r="I17" s="2">
        <v>29853</v>
      </c>
      <c r="J17" s="2">
        <v>28517</v>
      </c>
      <c r="L17" s="2">
        <v>37684</v>
      </c>
      <c r="M17" s="2">
        <v>35793</v>
      </c>
      <c r="N17" s="2">
        <v>21401</v>
      </c>
      <c r="O17" s="2">
        <v>31387</v>
      </c>
      <c r="Q17" s="2">
        <v>31387</v>
      </c>
      <c r="R17" s="2">
        <v>41459</v>
      </c>
      <c r="S17" s="2">
        <v>30875</v>
      </c>
      <c r="T17" s="2">
        <v>24652</v>
      </c>
    </row>
    <row r="18" spans="1:20" x14ac:dyDescent="0.2">
      <c r="A18" s="25">
        <v>0.58333333333333304</v>
      </c>
      <c r="B18" s="2">
        <v>51341</v>
      </c>
      <c r="C18" s="2">
        <v>15442</v>
      </c>
      <c r="D18" s="2">
        <v>21368</v>
      </c>
      <c r="E18" s="2">
        <v>21354</v>
      </c>
      <c r="G18" s="2">
        <v>31438</v>
      </c>
      <c r="H18" s="2">
        <v>21416</v>
      </c>
      <c r="I18" s="2">
        <v>30863</v>
      </c>
      <c r="J18" s="2">
        <v>21354</v>
      </c>
      <c r="L18" s="2">
        <v>35673</v>
      </c>
      <c r="M18" s="2">
        <v>38753</v>
      </c>
      <c r="N18" s="2">
        <v>21313</v>
      </c>
      <c r="O18" s="2">
        <v>21382</v>
      </c>
      <c r="Q18" s="2">
        <v>31382</v>
      </c>
      <c r="R18" s="2">
        <v>41327</v>
      </c>
      <c r="S18" s="2">
        <v>22266</v>
      </c>
      <c r="T18" s="2">
        <v>22672</v>
      </c>
    </row>
    <row r="19" spans="1:20" x14ac:dyDescent="0.2">
      <c r="A19" s="25">
        <v>0.625</v>
      </c>
      <c r="B19" s="2">
        <v>57100</v>
      </c>
      <c r="C19" s="2">
        <v>10535</v>
      </c>
      <c r="D19" s="2">
        <v>21446</v>
      </c>
      <c r="E19" s="2">
        <v>21536</v>
      </c>
      <c r="G19" s="2">
        <v>31517</v>
      </c>
      <c r="H19" s="2">
        <v>21482</v>
      </c>
      <c r="I19" s="2">
        <v>32765</v>
      </c>
      <c r="J19" s="2">
        <v>21432</v>
      </c>
      <c r="L19" s="2">
        <v>31476</v>
      </c>
      <c r="M19" s="2">
        <v>26793</v>
      </c>
      <c r="N19" s="2">
        <v>21403</v>
      </c>
      <c r="O19" s="2">
        <v>21432</v>
      </c>
      <c r="Q19" s="2">
        <v>31432</v>
      </c>
      <c r="R19" s="2">
        <v>41417</v>
      </c>
      <c r="S19" s="2">
        <v>20444</v>
      </c>
      <c r="T19" s="2">
        <v>22543</v>
      </c>
    </row>
    <row r="20" spans="1:20" x14ac:dyDescent="0.2">
      <c r="A20" s="25">
        <v>0.66666666666666696</v>
      </c>
      <c r="B20" s="2">
        <v>59865</v>
      </c>
      <c r="C20" s="2">
        <v>30519</v>
      </c>
      <c r="D20" s="2">
        <v>21604</v>
      </c>
      <c r="E20" s="2">
        <v>21556</v>
      </c>
      <c r="G20" s="2">
        <v>31737</v>
      </c>
      <c r="H20" s="2">
        <v>21667</v>
      </c>
      <c r="I20" s="2">
        <v>22764</v>
      </c>
      <c r="J20" s="2">
        <v>21698</v>
      </c>
      <c r="L20" s="2">
        <v>31454</v>
      </c>
      <c r="M20" s="2">
        <v>21332</v>
      </c>
      <c r="N20" s="2">
        <v>21653</v>
      </c>
      <c r="O20" s="2">
        <v>21524</v>
      </c>
      <c r="Q20" s="2">
        <v>31524</v>
      </c>
      <c r="R20" s="2">
        <v>35295</v>
      </c>
      <c r="S20" s="2">
        <v>20525</v>
      </c>
      <c r="T20" s="2">
        <v>22773</v>
      </c>
    </row>
    <row r="21" spans="1:20" x14ac:dyDescent="0.2">
      <c r="A21" s="25">
        <v>0.70833333333333304</v>
      </c>
      <c r="B21" s="2">
        <v>23987</v>
      </c>
      <c r="C21" s="2">
        <v>32365</v>
      </c>
      <c r="D21" s="2">
        <v>41917</v>
      </c>
      <c r="E21" s="2">
        <v>21936</v>
      </c>
      <c r="G21" s="2">
        <v>31952</v>
      </c>
      <c r="H21" s="2">
        <v>31955</v>
      </c>
      <c r="I21" s="2">
        <v>32784</v>
      </c>
      <c r="J21" s="2">
        <v>21753</v>
      </c>
      <c r="L21" s="2">
        <v>38754</v>
      </c>
      <c r="M21" s="2">
        <v>31955</v>
      </c>
      <c r="N21" s="2">
        <v>21939</v>
      </c>
      <c r="O21" s="2">
        <v>21956</v>
      </c>
      <c r="Q21" s="2">
        <v>21956</v>
      </c>
      <c r="R21" s="2">
        <v>21966</v>
      </c>
      <c r="S21" s="2">
        <v>20849</v>
      </c>
      <c r="T21" s="2">
        <v>21862</v>
      </c>
    </row>
    <row r="22" spans="1:20" x14ac:dyDescent="0.2">
      <c r="A22" s="25">
        <v>0.75</v>
      </c>
      <c r="B22" s="2">
        <v>45984</v>
      </c>
      <c r="C22" s="2">
        <v>38765</v>
      </c>
      <c r="D22" s="2">
        <v>41640</v>
      </c>
      <c r="E22" s="2">
        <v>31718</v>
      </c>
      <c r="G22" s="2">
        <v>21718</v>
      </c>
      <c r="H22" s="2">
        <v>31694</v>
      </c>
      <c r="I22" s="2">
        <v>31764</v>
      </c>
      <c r="J22" s="2">
        <v>31554</v>
      </c>
      <c r="L22" s="2">
        <v>37084</v>
      </c>
      <c r="M22" s="2">
        <v>31694</v>
      </c>
      <c r="N22" s="2">
        <v>31671</v>
      </c>
      <c r="O22" s="2">
        <v>21654</v>
      </c>
      <c r="Q22" s="2">
        <v>21654</v>
      </c>
      <c r="R22" s="2">
        <v>1739</v>
      </c>
      <c r="S22" s="2">
        <v>20642</v>
      </c>
      <c r="T22" s="2">
        <v>21629</v>
      </c>
    </row>
    <row r="23" spans="1:20" x14ac:dyDescent="0.2">
      <c r="A23" s="25">
        <v>0.79166666666666696</v>
      </c>
      <c r="B23" s="2">
        <v>15985</v>
      </c>
      <c r="C23" s="2">
        <v>37654</v>
      </c>
      <c r="D23" s="2">
        <v>42131</v>
      </c>
      <c r="E23" s="2">
        <v>32304</v>
      </c>
      <c r="G23" s="2">
        <v>32331</v>
      </c>
      <c r="H23" s="2">
        <v>32239</v>
      </c>
      <c r="I23" s="2">
        <v>32987</v>
      </c>
      <c r="J23" s="2">
        <v>28765</v>
      </c>
      <c r="L23" s="2">
        <v>34328</v>
      </c>
      <c r="M23" s="2">
        <v>32239</v>
      </c>
      <c r="N23" s="2">
        <v>32427</v>
      </c>
      <c r="O23" s="2">
        <v>22382</v>
      </c>
      <c r="Q23" s="2">
        <v>42382</v>
      </c>
      <c r="R23" s="2">
        <v>2349</v>
      </c>
      <c r="S23" s="2">
        <v>20128</v>
      </c>
      <c r="T23" s="2">
        <v>22175</v>
      </c>
    </row>
    <row r="24" spans="1:20" x14ac:dyDescent="0.2">
      <c r="A24" s="25">
        <v>0.83333333333333304</v>
      </c>
      <c r="B24" s="2">
        <v>15873</v>
      </c>
      <c r="C24" s="2">
        <v>25123</v>
      </c>
      <c r="D24" s="2">
        <v>42934</v>
      </c>
      <c r="E24" s="2">
        <v>32923</v>
      </c>
      <c r="G24" s="2">
        <v>32941</v>
      </c>
      <c r="H24" s="2">
        <v>32807</v>
      </c>
      <c r="I24" s="2">
        <v>23652</v>
      </c>
      <c r="J24" s="2">
        <v>29876</v>
      </c>
      <c r="L24" s="2">
        <v>22941</v>
      </c>
      <c r="M24" s="2">
        <v>8246</v>
      </c>
      <c r="N24" s="2">
        <v>34542</v>
      </c>
      <c r="O24" s="2">
        <v>33051</v>
      </c>
      <c r="Q24" s="2">
        <v>43051</v>
      </c>
      <c r="R24" s="2">
        <v>2964</v>
      </c>
      <c r="S24" s="2">
        <v>22787</v>
      </c>
      <c r="T24" s="2">
        <v>22906</v>
      </c>
    </row>
    <row r="25" spans="1:20" x14ac:dyDescent="0.2">
      <c r="A25" s="25">
        <v>0.875</v>
      </c>
      <c r="B25" s="2">
        <v>5430</v>
      </c>
      <c r="C25" s="2">
        <v>25693</v>
      </c>
      <c r="D25" s="2">
        <v>45118</v>
      </c>
      <c r="E25" s="2">
        <v>24100</v>
      </c>
      <c r="G25" s="2">
        <v>33242</v>
      </c>
      <c r="H25" s="2">
        <v>33172</v>
      </c>
      <c r="I25" s="2">
        <v>25149</v>
      </c>
      <c r="J25" s="2">
        <v>30983</v>
      </c>
      <c r="L25" s="2">
        <v>23242</v>
      </c>
      <c r="M25" s="2">
        <v>3172</v>
      </c>
      <c r="N25" s="2">
        <v>38266</v>
      </c>
      <c r="O25" s="2">
        <v>33344</v>
      </c>
      <c r="Q25" s="2">
        <v>43344</v>
      </c>
      <c r="R25" s="2">
        <v>3375</v>
      </c>
      <c r="S25" s="2">
        <v>22974</v>
      </c>
      <c r="T25" s="2">
        <v>22996</v>
      </c>
    </row>
    <row r="26" spans="1:20" x14ac:dyDescent="0.2">
      <c r="A26" s="25">
        <v>0.91666666666666696</v>
      </c>
      <c r="B26" s="2">
        <v>2695</v>
      </c>
      <c r="C26" s="2">
        <v>39862</v>
      </c>
      <c r="D26" s="2">
        <v>42637</v>
      </c>
      <c r="E26" s="2">
        <v>32552</v>
      </c>
      <c r="G26" s="2">
        <v>32917</v>
      </c>
      <c r="H26" s="2">
        <v>32858</v>
      </c>
      <c r="I26" s="2">
        <v>22637</v>
      </c>
      <c r="J26" s="2">
        <v>34009</v>
      </c>
      <c r="L26" s="2">
        <v>12917</v>
      </c>
      <c r="M26" s="2">
        <v>2858</v>
      </c>
      <c r="N26" s="2">
        <v>28753</v>
      </c>
      <c r="O26" s="2">
        <v>32861</v>
      </c>
      <c r="Q26" s="2">
        <v>42861</v>
      </c>
      <c r="R26" s="2">
        <v>2969</v>
      </c>
      <c r="S26" s="2">
        <v>22512</v>
      </c>
      <c r="T26" s="2">
        <v>22544</v>
      </c>
    </row>
    <row r="27" spans="1:20" x14ac:dyDescent="0.2">
      <c r="A27" s="25">
        <v>0.95833333333333304</v>
      </c>
      <c r="B27" s="2">
        <v>2243</v>
      </c>
      <c r="C27" s="2">
        <v>24653</v>
      </c>
      <c r="D27" s="2">
        <v>32226</v>
      </c>
      <c r="E27" s="2">
        <v>32374</v>
      </c>
      <c r="G27" s="2">
        <v>30484</v>
      </c>
      <c r="H27" s="2">
        <v>32413</v>
      </c>
      <c r="I27" s="2">
        <v>22226</v>
      </c>
      <c r="J27" s="2">
        <v>32374</v>
      </c>
      <c r="L27" s="2">
        <v>7235</v>
      </c>
      <c r="M27" s="2">
        <v>2413</v>
      </c>
      <c r="N27" s="2">
        <v>25784</v>
      </c>
      <c r="O27" s="2">
        <v>24441</v>
      </c>
      <c r="Q27" s="2">
        <v>24441</v>
      </c>
      <c r="R27" s="2">
        <v>2612</v>
      </c>
      <c r="S27" s="2">
        <v>22206</v>
      </c>
      <c r="T27" s="2">
        <v>22207</v>
      </c>
    </row>
    <row r="28" spans="1:20" x14ac:dyDescent="0.2">
      <c r="A28" s="25" t="s">
        <v>47</v>
      </c>
      <c r="B28" s="2">
        <f t="shared" ref="B28:R28" si="0">SUM(B4:B27)</f>
        <v>389720</v>
      </c>
      <c r="C28" s="2">
        <f t="shared" si="0"/>
        <v>424624</v>
      </c>
      <c r="D28" s="2">
        <f>SUM(D4:D27)</f>
        <v>521783</v>
      </c>
      <c r="E28" s="2">
        <f>SUM(E4:E27)</f>
        <v>438814</v>
      </c>
      <c r="G28" s="2">
        <f t="shared" si="0"/>
        <v>528027</v>
      </c>
      <c r="H28" s="2">
        <f t="shared" si="0"/>
        <v>447159</v>
      </c>
      <c r="I28" s="2">
        <f>SUM(I4:I27)</f>
        <v>425516</v>
      </c>
      <c r="J28" s="2">
        <f>SUM(J4:J27)</f>
        <v>399534</v>
      </c>
      <c r="L28" s="2">
        <f t="shared" si="0"/>
        <v>456006</v>
      </c>
      <c r="M28" s="2">
        <f t="shared" si="0"/>
        <v>420172</v>
      </c>
      <c r="N28" s="2">
        <f>SUM(N4:N27)</f>
        <v>441397</v>
      </c>
      <c r="O28" s="2">
        <f>SUM(O4:O27)</f>
        <v>423536</v>
      </c>
      <c r="Q28" s="2">
        <f t="shared" si="0"/>
        <v>502272</v>
      </c>
      <c r="R28" s="2">
        <f t="shared" si="0"/>
        <v>431495</v>
      </c>
      <c r="S28" s="2">
        <f>SUM(S4:S27)</f>
        <v>399484</v>
      </c>
      <c r="T28" s="2">
        <f>SUM(T4:T27)</f>
        <v>403245</v>
      </c>
    </row>
    <row r="30" spans="1:20" x14ac:dyDescent="0.2"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5" spans="17:17" x14ac:dyDescent="0.2">
      <c r="Q35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0227-FF84-9548-8B3D-FF28319E4824}">
  <dimension ref="B5:U12"/>
  <sheetViews>
    <sheetView workbookViewId="0">
      <selection activeCell="K7" sqref="K7:K12"/>
    </sheetView>
  </sheetViews>
  <sheetFormatPr baseColWidth="10" defaultColWidth="11.5" defaultRowHeight="16" x14ac:dyDescent="0.2"/>
  <cols>
    <col min="1" max="1" width="12.5" style="1" bestFit="1" customWidth="1"/>
    <col min="2" max="9" width="10.5" bestFit="1" customWidth="1"/>
    <col min="10" max="10" width="28.6640625" customWidth="1"/>
    <col min="11" max="11" width="26.5" customWidth="1"/>
    <col min="12" max="12" width="10.5" bestFit="1" customWidth="1"/>
    <col min="13" max="13" width="10.1640625" customWidth="1"/>
    <col min="22" max="16384" width="11.5" style="1"/>
  </cols>
  <sheetData>
    <row r="5" spans="2:11" ht="17" thickBot="1" x14ac:dyDescent="0.25"/>
    <row r="6" spans="2:11" ht="28" thickBot="1" x14ac:dyDescent="0.4">
      <c r="B6" s="1"/>
      <c r="J6" s="29" t="s">
        <v>48</v>
      </c>
      <c r="K6" s="31" t="s">
        <v>62</v>
      </c>
    </row>
    <row r="7" spans="2:11" ht="27" x14ac:dyDescent="0.35">
      <c r="B7" s="1"/>
      <c r="J7" s="30" t="s">
        <v>49</v>
      </c>
      <c r="K7" s="32">
        <v>0.25</v>
      </c>
    </row>
    <row r="8" spans="2:11" ht="27" x14ac:dyDescent="0.35">
      <c r="B8" s="1"/>
      <c r="J8" s="30" t="s">
        <v>50</v>
      </c>
      <c r="K8" s="32">
        <v>0.2</v>
      </c>
    </row>
    <row r="9" spans="2:11" ht="27" x14ac:dyDescent="0.35">
      <c r="J9" s="30" t="s">
        <v>51</v>
      </c>
      <c r="K9" s="32">
        <v>0.15</v>
      </c>
    </row>
    <row r="10" spans="2:11" ht="27" x14ac:dyDescent="0.35">
      <c r="J10" s="30" t="s">
        <v>52</v>
      </c>
      <c r="K10" s="32">
        <v>0.25</v>
      </c>
    </row>
    <row r="11" spans="2:11" ht="27" x14ac:dyDescent="0.35">
      <c r="J11" s="30" t="s">
        <v>53</v>
      </c>
      <c r="K11" s="32">
        <v>0.1</v>
      </c>
    </row>
    <row r="12" spans="2:11" ht="28" thickBot="1" x14ac:dyDescent="0.4">
      <c r="J12" s="33" t="s">
        <v>61</v>
      </c>
      <c r="K12" s="3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Publisher_Disto</vt:lpstr>
      <vt:lpstr>States</vt:lpstr>
      <vt:lpstr>Daypart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brian.maddox11@gmail.com</cp:lastModifiedBy>
  <dcterms:created xsi:type="dcterms:W3CDTF">2023-02-06T18:40:59Z</dcterms:created>
  <dcterms:modified xsi:type="dcterms:W3CDTF">2025-08-18T17:30:59Z</dcterms:modified>
</cp:coreProperties>
</file>