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itspty\citrixupm$\UserData\tm\Desktop\Media Reports_Stats\Media Reports - April - 25\Media Reports - June - 25\"/>
    </mc:Choice>
  </mc:AlternateContent>
  <xr:revisionPtr revIDLastSave="0" documentId="8_{F3270148-7301-41FC-A16B-46ED66F8A494}" xr6:coauthVersionLast="47" xr6:coauthVersionMax="47" xr10:uidLastSave="{00000000-0000-0000-0000-000000000000}"/>
  <bookViews>
    <workbookView xWindow="-120" yWindow="-120" windowWidth="21780" windowHeight="11190" xr2:uid="{2E2AF8A1-3EDE-8A41-81D9-1407A26249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0" i="1" l="1"/>
  <c r="AM17" i="1"/>
  <c r="AL19" i="1"/>
  <c r="AJ19" i="1"/>
  <c r="AG19" i="1"/>
  <c r="AE19" i="1"/>
  <c r="AC19" i="1"/>
  <c r="AA19" i="1"/>
  <c r="X19" i="1"/>
  <c r="V19" i="1"/>
  <c r="T19" i="1"/>
  <c r="R19" i="1"/>
  <c r="O19" i="1"/>
  <c r="M19" i="1"/>
  <c r="K19" i="1"/>
  <c r="I19" i="1"/>
  <c r="F19" i="1"/>
  <c r="AM19" i="1"/>
  <c r="AL17" i="1"/>
  <c r="AJ17" i="1"/>
  <c r="AG17" i="1"/>
  <c r="AE17" i="1"/>
  <c r="AC17" i="1"/>
  <c r="AA17" i="1"/>
  <c r="X17" i="1"/>
  <c r="V17" i="1"/>
  <c r="T17" i="1"/>
  <c r="R17" i="1"/>
  <c r="O17" i="1"/>
  <c r="M17" i="1"/>
  <c r="K17" i="1"/>
  <c r="I17" i="1"/>
  <c r="F17" i="1"/>
  <c r="D19" i="1"/>
  <c r="AM18" i="1"/>
  <c r="F18" i="1"/>
  <c r="I18" i="1" s="1"/>
  <c r="K18" i="1" s="1"/>
  <c r="M18" i="1" s="1"/>
  <c r="O18" i="1" s="1"/>
  <c r="R18" i="1" s="1"/>
  <c r="T18" i="1" s="1"/>
  <c r="V18" i="1" s="1"/>
  <c r="X18" i="1" s="1"/>
  <c r="AA18" i="1" s="1"/>
  <c r="AC18" i="1" s="1"/>
  <c r="AE18" i="1" s="1"/>
  <c r="AG18" i="1" s="1"/>
  <c r="AJ18" i="1" s="1"/>
  <c r="AL18" i="1" s="1"/>
  <c r="D13" i="1"/>
  <c r="D17" i="1" s="1"/>
  <c r="I13" i="1"/>
  <c r="I26" i="1" s="1"/>
  <c r="I37" i="1"/>
  <c r="I36" i="1"/>
  <c r="I35" i="1"/>
  <c r="AL13" i="1"/>
  <c r="AJ13" i="1"/>
  <c r="AG13" i="1"/>
  <c r="AE13" i="1"/>
  <c r="AE25" i="1" s="1" a="1"/>
  <c r="AE25" i="1" s="1"/>
  <c r="AC13" i="1"/>
  <c r="AC25" i="1" s="1" a="1"/>
  <c r="AC25" i="1" s="1"/>
  <c r="AA13" i="1"/>
  <c r="AA25" i="1" s="1" a="1"/>
  <c r="AA25" i="1" s="1"/>
  <c r="X13" i="1"/>
  <c r="X25" i="1" s="1" a="1"/>
  <c r="X25" i="1" s="1"/>
  <c r="V13" i="1"/>
  <c r="T13" i="1"/>
  <c r="R13" i="1"/>
  <c r="O13" i="1"/>
  <c r="M13" i="1"/>
  <c r="M25" i="1" s="1" a="1"/>
  <c r="M25" i="1" s="1"/>
  <c r="K13" i="1"/>
  <c r="K25" i="1" s="1" a="1"/>
  <c r="K25" i="1" s="1"/>
  <c r="F13" i="1"/>
  <c r="F26" i="1" s="1"/>
  <c r="D25" i="1" l="1" a="1"/>
  <c r="D25" i="1" s="1"/>
  <c r="I33" i="1"/>
  <c r="AG25" i="1" a="1"/>
  <c r="AG25" i="1" s="1"/>
  <c r="AJ25" i="1" a="1"/>
  <c r="AJ25" i="1" s="1"/>
  <c r="AL25" i="1" a="1"/>
  <c r="AL25" i="1" s="1"/>
  <c r="I31" i="1"/>
  <c r="I32" i="1"/>
  <c r="I34" i="1"/>
  <c r="R25" i="1" a="1"/>
  <c r="R25" i="1" s="1"/>
  <c r="O25" i="1" a="1"/>
  <c r="O25" i="1" s="1"/>
  <c r="T25" i="1" a="1"/>
  <c r="T25" i="1" s="1"/>
  <c r="V25" i="1" a="1"/>
  <c r="V25" i="1" s="1"/>
  <c r="I29" i="1"/>
  <c r="F27" i="1"/>
  <c r="I27" i="1"/>
  <c r="I28" i="1"/>
  <c r="I30" i="1"/>
  <c r="F35" i="1"/>
  <c r="F29" i="1"/>
  <c r="F30" i="1"/>
  <c r="I38" i="1"/>
  <c r="F40" i="1"/>
  <c r="F28" i="1"/>
  <c r="F33" i="1"/>
  <c r="F36" i="1"/>
  <c r="F37" i="1"/>
  <c r="I39" i="1"/>
  <c r="F25" i="1"/>
  <c r="I25" i="1"/>
  <c r="F31" i="1"/>
  <c r="F32" i="1"/>
  <c r="F34" i="1"/>
  <c r="F38" i="1"/>
  <c r="F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<sst xmlns="http://schemas.openxmlformats.org/spreadsheetml/2006/main" count="111" uniqueCount="36">
  <si>
    <t>Betonline Delviery 2/1-2/28</t>
  </si>
  <si>
    <t>Impressions</t>
  </si>
  <si>
    <t>Completion %</t>
  </si>
  <si>
    <t xml:space="preserve">ESPN - </t>
  </si>
  <si>
    <t xml:space="preserve">Fox Sports - </t>
  </si>
  <si>
    <t>CBS Sports -</t>
  </si>
  <si>
    <t xml:space="preserve">RSN Live Games </t>
  </si>
  <si>
    <t xml:space="preserve">SB Nation </t>
  </si>
  <si>
    <t xml:space="preserve">Big 10 Network - </t>
  </si>
  <si>
    <t xml:space="preserve">ACC Network - </t>
  </si>
  <si>
    <t xml:space="preserve">SEC Network - </t>
  </si>
  <si>
    <t xml:space="preserve"> </t>
  </si>
  <si>
    <t>6/62025</t>
  </si>
  <si>
    <t>California</t>
  </si>
  <si>
    <t>Texas</t>
  </si>
  <si>
    <t>Florida</t>
  </si>
  <si>
    <t>Ohio</t>
  </si>
  <si>
    <t>Georgia</t>
  </si>
  <si>
    <t>North Carolina</t>
  </si>
  <si>
    <t>Virginia</t>
  </si>
  <si>
    <t>Missouri</t>
  </si>
  <si>
    <t>Maryland</t>
  </si>
  <si>
    <t>South Carolina</t>
  </si>
  <si>
    <t>Alabama</t>
  </si>
  <si>
    <t>Louisiana</t>
  </si>
  <si>
    <t>Kentucky</t>
  </si>
  <si>
    <t>Utah</t>
  </si>
  <si>
    <t>Arkansas</t>
  </si>
  <si>
    <t>Mississippi</t>
  </si>
  <si>
    <t xml:space="preserve">Delivery By Platform </t>
  </si>
  <si>
    <t>Value</t>
  </si>
  <si>
    <t xml:space="preserve">BOL Actual Cost </t>
  </si>
  <si>
    <t xml:space="preserve">BOL Savings / added value </t>
  </si>
  <si>
    <t xml:space="preserve">  </t>
  </si>
  <si>
    <t xml:space="preserve">BOL Spend vs BOL Media Value </t>
  </si>
  <si>
    <t xml:space="preserve">Delivery by State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</si>
</sst>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name val="Arial"/>
      <family val="2"/>
    </font>
    <font>
      <sz val="14"/>
      <name val="Arial"/>
      <family val="2"/>
    </font>
    <font>
      <sz val="14"/>
      <color rgb="FF000000"/>
      <name val="Arial"/>
      <family val="2"/>
    </font>
    <font>
      <sz val="14"/>
      <color theme="0"/>
      <name val="Aptos Narrow"/>
      <family val="2"/>
      <scheme val="minor"/>
    </font>
    <font>
      <sz val="14"/>
      <color theme="9"/>
      <name val="Aptos Narrow"/>
      <family val="2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66">
    <xf numFmtId="0" fontId="0" fillId="0" borderId="0" xfId="0"/>
    <xf numFmtId="164" fontId="2" fillId="0" borderId="0" xfId="1" applyNumberFormat="1" applyFont="1"/>
    <xf numFmtId="9" fontId="2" fillId="0" borderId="0" xfId="2" applyFont="1"/>
    <xf numFmtId="14" fontId="2" fillId="0" borderId="1" xfId="1" applyNumberFormat="1" applyFont="1" applyBorder="1" applyAlignment="1">
      <alignment horizontal="center"/>
    </xf>
    <xf numFmtId="14" fontId="2" fillId="0" borderId="2" xfId="1" applyNumberFormat="1" applyFont="1" applyBorder="1" applyAlignment="1">
      <alignment horizontal="center"/>
    </xf>
    <xf numFmtId="14" fontId="2" fillId="0" borderId="2" xfId="2" applyNumberFormat="1" applyFont="1" applyBorder="1" applyAlignment="1">
      <alignment horizontal="center"/>
    </xf>
    <xf numFmtId="14" fontId="2" fillId="0" borderId="3" xfId="2" applyNumberFormat="1" applyFont="1" applyBorder="1" applyAlignment="1">
      <alignment horizontal="center"/>
    </xf>
    <xf numFmtId="14" fontId="2" fillId="0" borderId="0" xfId="2" applyNumberFormat="1" applyFont="1" applyAlignment="1">
      <alignment horizontal="center"/>
    </xf>
    <xf numFmtId="9" fontId="2" fillId="0" borderId="2" xfId="2" applyFont="1" applyBorder="1" applyAlignment="1">
      <alignment horizontal="center"/>
    </xf>
    <xf numFmtId="9" fontId="2" fillId="0" borderId="3" xfId="2" applyFont="1" applyBorder="1" applyAlignment="1">
      <alignment horizontal="center"/>
    </xf>
    <xf numFmtId="9" fontId="2" fillId="0" borderId="0" xfId="2" applyFont="1" applyAlignment="1">
      <alignment horizontal="center"/>
    </xf>
    <xf numFmtId="14" fontId="2" fillId="0" borderId="0" xfId="1" applyNumberFormat="1" applyFont="1" applyAlignment="1">
      <alignment horizontal="center"/>
    </xf>
    <xf numFmtId="164" fontId="3" fillId="0" borderId="4" xfId="1" applyNumberFormat="1" applyFont="1" applyBorder="1" applyAlignment="1">
      <alignment horizontal="center"/>
    </xf>
    <xf numFmtId="164" fontId="3" fillId="0" borderId="5" xfId="1" applyNumberFormat="1" applyFont="1" applyBorder="1" applyAlignment="1">
      <alignment horizontal="center"/>
    </xf>
    <xf numFmtId="9" fontId="3" fillId="2" borderId="5" xfId="2" applyFont="1" applyFill="1" applyBorder="1" applyAlignment="1">
      <alignment horizontal="center"/>
    </xf>
    <xf numFmtId="9" fontId="3" fillId="2" borderId="6" xfId="2" applyFont="1" applyFill="1" applyBorder="1" applyAlignment="1">
      <alignment horizontal="center"/>
    </xf>
    <xf numFmtId="164" fontId="2" fillId="0" borderId="5" xfId="1" applyNumberFormat="1" applyFont="1" applyBorder="1" applyAlignment="1">
      <alignment horizontal="center"/>
    </xf>
    <xf numFmtId="164" fontId="2" fillId="0" borderId="0" xfId="1" applyNumberFormat="1" applyFont="1" applyBorder="1"/>
    <xf numFmtId="9" fontId="5" fillId="0" borderId="0" xfId="2" applyFont="1" applyBorder="1" applyAlignment="1"/>
    <xf numFmtId="9" fontId="5" fillId="0" borderId="8" xfId="2" applyFont="1" applyBorder="1" applyAlignment="1"/>
    <xf numFmtId="9" fontId="5" fillId="0" borderId="0" xfId="2" applyFont="1" applyAlignment="1"/>
    <xf numFmtId="164" fontId="2" fillId="0" borderId="7" xfId="1" applyNumberFormat="1" applyFont="1" applyBorder="1"/>
    <xf numFmtId="164" fontId="2" fillId="0" borderId="9" xfId="1" applyNumberFormat="1" applyFont="1" applyBorder="1"/>
    <xf numFmtId="164" fontId="2" fillId="0" borderId="4" xfId="1" applyNumberFormat="1" applyFont="1" applyBorder="1"/>
    <xf numFmtId="9" fontId="2" fillId="0" borderId="5" xfId="2" applyFont="1" applyBorder="1"/>
    <xf numFmtId="164" fontId="2" fillId="0" borderId="5" xfId="1" applyNumberFormat="1" applyFont="1" applyBorder="1"/>
    <xf numFmtId="9" fontId="2" fillId="0" borderId="6" xfId="2" applyFont="1" applyBorder="1"/>
    <xf numFmtId="164" fontId="2" fillId="0" borderId="6" xfId="1" applyNumberFormat="1" applyFont="1" applyBorder="1"/>
    <xf numFmtId="9" fontId="2" fillId="0" borderId="10" xfId="2" applyFont="1" applyBorder="1"/>
    <xf numFmtId="9" fontId="2" fillId="0" borderId="11" xfId="2" applyFont="1" applyBorder="1"/>
    <xf numFmtId="164" fontId="2" fillId="0" borderId="11" xfId="1" applyNumberFormat="1" applyFont="1" applyBorder="1"/>
    <xf numFmtId="164" fontId="2" fillId="0" borderId="10" xfId="2" applyNumberFormat="1" applyFont="1" applyBorder="1"/>
    <xf numFmtId="44" fontId="2" fillId="0" borderId="0" xfId="3" applyFont="1"/>
    <xf numFmtId="9" fontId="2" fillId="0" borderId="0" xfId="2" applyFont="1" applyBorder="1"/>
    <xf numFmtId="164" fontId="2" fillId="0" borderId="0" xfId="2" applyNumberFormat="1" applyFont="1" applyBorder="1"/>
    <xf numFmtId="164" fontId="8" fillId="0" borderId="0" xfId="1" applyNumberFormat="1" applyFont="1" applyAlignment="1">
      <alignment horizontal="center"/>
    </xf>
    <xf numFmtId="44" fontId="7" fillId="0" borderId="0" xfId="3" applyFont="1"/>
    <xf numFmtId="44" fontId="2" fillId="0" borderId="2" xfId="3" applyFont="1" applyBorder="1"/>
    <xf numFmtId="44" fontId="7" fillId="0" borderId="0" xfId="3" applyFont="1" applyBorder="1"/>
    <xf numFmtId="44" fontId="2" fillId="0" borderId="0" xfId="3" applyFont="1" applyBorder="1"/>
    <xf numFmtId="44" fontId="0" fillId="0" borderId="13" xfId="0" applyNumberFormat="1" applyBorder="1"/>
    <xf numFmtId="44" fontId="7" fillId="0" borderId="14" xfId="3" applyFont="1" applyBorder="1"/>
    <xf numFmtId="44" fontId="2" fillId="0" borderId="14" xfId="3" applyFont="1" applyBorder="1"/>
    <xf numFmtId="44" fontId="2" fillId="0" borderId="15" xfId="3" applyFont="1" applyBorder="1"/>
    <xf numFmtId="164" fontId="0" fillId="0" borderId="2" xfId="1" applyNumberFormat="1" applyFont="1" applyBorder="1"/>
    <xf numFmtId="9" fontId="2" fillId="0" borderId="2" xfId="2" applyFont="1" applyBorder="1"/>
    <xf numFmtId="164" fontId="2" fillId="0" borderId="2" xfId="1" applyNumberFormat="1" applyFont="1" applyBorder="1"/>
    <xf numFmtId="43" fontId="2" fillId="0" borderId="2" xfId="1" applyNumberFormat="1" applyFont="1" applyBorder="1"/>
    <xf numFmtId="164" fontId="2" fillId="0" borderId="3" xfId="1" applyNumberFormat="1" applyFont="1" applyBorder="1"/>
    <xf numFmtId="164" fontId="0" fillId="0" borderId="0" xfId="1" applyNumberFormat="1" applyFont="1" applyBorder="1"/>
    <xf numFmtId="164" fontId="2" fillId="0" borderId="8" xfId="1" applyNumberFormat="1" applyFont="1" applyBorder="1"/>
    <xf numFmtId="164" fontId="0" fillId="0" borderId="11" xfId="1" applyNumberFormat="1" applyFont="1" applyBorder="1"/>
    <xf numFmtId="164" fontId="2" fillId="0" borderId="10" xfId="1" applyNumberFormat="1" applyFont="1" applyBorder="1"/>
    <xf numFmtId="0" fontId="0" fillId="0" borderId="0" xfId="0" applyBorder="1"/>
    <xf numFmtId="14" fontId="2" fillId="0" borderId="0" xfId="1" applyNumberFormat="1" applyFont="1" applyBorder="1" applyAlignment="1">
      <alignment horizontal="center"/>
    </xf>
    <xf numFmtId="164" fontId="2" fillId="0" borderId="0" xfId="1" applyNumberFormat="1" applyFont="1" applyBorder="1" applyAlignment="1">
      <alignment horizontal="center"/>
    </xf>
    <xf numFmtId="9" fontId="6" fillId="3" borderId="0" xfId="2" applyFont="1" applyFill="1" applyBorder="1"/>
    <xf numFmtId="14" fontId="2" fillId="0" borderId="13" xfId="1" applyNumberFormat="1" applyFont="1" applyBorder="1" applyAlignment="1">
      <alignment horizontal="center"/>
    </xf>
    <xf numFmtId="164" fontId="3" fillId="0" borderId="12" xfId="1" applyNumberFormat="1" applyFont="1" applyBorder="1" applyAlignment="1">
      <alignment horizontal="center"/>
    </xf>
    <xf numFmtId="164" fontId="4" fillId="0" borderId="14" xfId="1" applyNumberFormat="1" applyFont="1" applyBorder="1"/>
    <xf numFmtId="164" fontId="2" fillId="0" borderId="15" xfId="1" applyNumberFormat="1" applyFont="1" applyBorder="1"/>
    <xf numFmtId="44" fontId="2" fillId="0" borderId="13" xfId="3" applyFont="1" applyBorder="1"/>
    <xf numFmtId="164" fontId="2" fillId="0" borderId="14" xfId="1" applyNumberFormat="1" applyFont="1" applyBorder="1"/>
    <xf numFmtId="0" fontId="0" fillId="0" borderId="13" xfId="0" applyBorder="1"/>
    <xf numFmtId="0" fontId="0" fillId="0" borderId="14" xfId="0" applyBorder="1"/>
    <xf numFmtId="0" fontId="0" fillId="0" borderId="15" xfId="0" applyBorder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E9974-814A-254C-BA0E-CB82A88609D5}">
  <dimension ref="A2:AM44"/>
  <sheetViews>
    <sheetView tabSelected="1" workbookViewId="0">
      <selection activeCell="F49" sqref="F49"/>
    </sheetView>
  </sheetViews>
  <sheetFormatPr defaultColWidth="8.77734375" defaultRowHeight="18"/>
  <cols>
    <col min="1" max="1" width="8.77734375" style="17"/>
    <col min="2" max="2" width="24.77734375" style="17" customWidth="1"/>
    <col min="3" max="3" width="39.6640625" style="1" customWidth="1"/>
    <col min="4" max="4" width="22" style="1" customWidth="1"/>
    <col min="5" max="5" width="19" style="2" customWidth="1"/>
    <col min="6" max="6" width="29.33203125" style="1" customWidth="1"/>
    <col min="7" max="7" width="22.77734375" style="2" customWidth="1"/>
    <col min="8" max="8" width="13.44140625" style="2" customWidth="1"/>
    <col min="9" max="9" width="17.109375" style="1" customWidth="1"/>
    <col min="10" max="10" width="22.109375" style="2" customWidth="1"/>
    <col min="11" max="11" width="16.6640625" style="1" customWidth="1"/>
    <col min="12" max="12" width="22.33203125" style="2" customWidth="1"/>
    <col min="13" max="13" width="19.77734375" style="1" customWidth="1"/>
    <col min="14" max="14" width="19.109375" style="2" customWidth="1"/>
    <col min="15" max="15" width="18.6640625" style="1" customWidth="1"/>
    <col min="16" max="16" width="17.44140625" style="2" customWidth="1"/>
    <col min="17" max="17" width="13.44140625" style="2" customWidth="1"/>
    <col min="18" max="18" width="19.33203125" style="1" customWidth="1"/>
    <col min="19" max="19" width="22" style="2" customWidth="1"/>
    <col min="20" max="20" width="18" style="1" customWidth="1"/>
    <col min="21" max="21" width="22.6640625" style="2" customWidth="1"/>
    <col min="22" max="22" width="18.6640625" style="1" customWidth="1"/>
    <col min="23" max="23" width="23.77734375" style="2" customWidth="1"/>
    <col min="24" max="24" width="20.6640625" style="1" customWidth="1"/>
    <col min="25" max="25" width="20" style="2" customWidth="1"/>
    <col min="26" max="26" width="13.44140625" style="2" customWidth="1"/>
    <col min="27" max="27" width="17.6640625" style="1" customWidth="1"/>
    <col min="28" max="28" width="17.44140625" style="2" customWidth="1"/>
    <col min="29" max="29" width="19.33203125" style="1" customWidth="1"/>
    <col min="30" max="30" width="13.44140625" style="2" bestFit="1" customWidth="1"/>
    <col min="31" max="31" width="17.6640625" style="1" customWidth="1"/>
    <col min="32" max="32" width="13.44140625" style="2" bestFit="1" customWidth="1"/>
    <col min="33" max="33" width="16.109375" style="1" customWidth="1"/>
    <col min="34" max="34" width="18.77734375" style="2" customWidth="1"/>
    <col min="35" max="35" width="11.6640625" style="1" bestFit="1" customWidth="1"/>
    <col min="36" max="36" width="19.77734375" style="1" customWidth="1"/>
    <col min="37" max="37" width="17.109375" style="1" customWidth="1"/>
    <col min="38" max="38" width="16.77734375" style="1" customWidth="1"/>
    <col min="39" max="39" width="22.77734375" style="1" customWidth="1"/>
    <col min="40" max="40" width="9.44140625" style="1" bestFit="1" customWidth="1"/>
    <col min="41" max="16384" width="8.77734375" style="1"/>
  </cols>
  <sheetData>
    <row r="2" spans="1:39" ht="18.75" thickBot="1">
      <c r="C2" s="35" t="s">
        <v>29</v>
      </c>
    </row>
    <row r="3" spans="1:39" s="11" customFormat="1" ht="18.75" thickBot="1">
      <c r="A3" s="54"/>
      <c r="B3" s="54"/>
      <c r="C3" s="57"/>
      <c r="D3" s="4">
        <v>45813</v>
      </c>
      <c r="E3" s="5"/>
      <c r="F3" s="4" t="s">
        <v>12</v>
      </c>
      <c r="G3" s="6"/>
      <c r="H3" s="7"/>
      <c r="I3" s="3">
        <v>45815</v>
      </c>
      <c r="J3" s="5"/>
      <c r="K3" s="4">
        <v>45816</v>
      </c>
      <c r="L3" s="5"/>
      <c r="M3" s="4">
        <v>45820</v>
      </c>
      <c r="N3" s="5"/>
      <c r="O3" s="4">
        <v>45821</v>
      </c>
      <c r="P3" s="6"/>
      <c r="Q3" s="7"/>
      <c r="R3" s="3">
        <v>45822</v>
      </c>
      <c r="S3" s="5"/>
      <c r="T3" s="4">
        <v>45823</v>
      </c>
      <c r="U3" s="5"/>
      <c r="V3" s="4">
        <v>45827</v>
      </c>
      <c r="W3" s="8"/>
      <c r="X3" s="4">
        <v>45828</v>
      </c>
      <c r="Y3" s="9"/>
      <c r="Z3" s="10"/>
      <c r="AA3" s="3">
        <v>45829</v>
      </c>
      <c r="AB3" s="8"/>
      <c r="AC3" s="4">
        <v>45830</v>
      </c>
      <c r="AD3" s="8"/>
      <c r="AE3" s="4">
        <v>45834</v>
      </c>
      <c r="AF3" s="8"/>
      <c r="AG3" s="4">
        <v>45835</v>
      </c>
      <c r="AH3" s="9"/>
      <c r="AI3" s="11" t="s">
        <v>11</v>
      </c>
      <c r="AJ3" s="3">
        <v>45836</v>
      </c>
      <c r="AK3" s="5"/>
      <c r="AL3" s="4">
        <v>45837</v>
      </c>
      <c r="AM3" s="6"/>
    </row>
    <row r="4" spans="1:39" s="16" customFormat="1" ht="18.75" thickBot="1">
      <c r="A4" s="55"/>
      <c r="B4" s="55"/>
      <c r="C4" s="58" t="s">
        <v>0</v>
      </c>
      <c r="D4" s="13" t="s">
        <v>1</v>
      </c>
      <c r="E4" s="14" t="s">
        <v>2</v>
      </c>
      <c r="F4" s="13" t="s">
        <v>1</v>
      </c>
      <c r="G4" s="15" t="s">
        <v>2</v>
      </c>
      <c r="H4" s="14"/>
      <c r="I4" s="12" t="s">
        <v>1</v>
      </c>
      <c r="J4" s="14" t="s">
        <v>2</v>
      </c>
      <c r="K4" s="13" t="s">
        <v>1</v>
      </c>
      <c r="L4" s="14" t="s">
        <v>2</v>
      </c>
      <c r="M4" s="13" t="s">
        <v>1</v>
      </c>
      <c r="N4" s="14" t="s">
        <v>2</v>
      </c>
      <c r="O4" s="13" t="s">
        <v>1</v>
      </c>
      <c r="P4" s="15" t="s">
        <v>2</v>
      </c>
      <c r="Q4" s="14"/>
      <c r="R4" s="12" t="s">
        <v>1</v>
      </c>
      <c r="S4" s="14" t="s">
        <v>2</v>
      </c>
      <c r="T4" s="13" t="s">
        <v>1</v>
      </c>
      <c r="U4" s="14" t="s">
        <v>2</v>
      </c>
      <c r="V4" s="13" t="s">
        <v>1</v>
      </c>
      <c r="W4" s="14" t="s">
        <v>2</v>
      </c>
      <c r="X4" s="13" t="s">
        <v>1</v>
      </c>
      <c r="Y4" s="15" t="s">
        <v>2</v>
      </c>
      <c r="Z4" s="14"/>
      <c r="AA4" s="12" t="s">
        <v>1</v>
      </c>
      <c r="AB4" s="14" t="s">
        <v>2</v>
      </c>
      <c r="AC4" s="13" t="s">
        <v>1</v>
      </c>
      <c r="AD4" s="14" t="s">
        <v>2</v>
      </c>
      <c r="AE4" s="13" t="s">
        <v>1</v>
      </c>
      <c r="AF4" s="14" t="s">
        <v>2</v>
      </c>
      <c r="AG4" s="13" t="s">
        <v>1</v>
      </c>
      <c r="AH4" s="15" t="s">
        <v>2</v>
      </c>
      <c r="AJ4" s="12" t="s">
        <v>1</v>
      </c>
      <c r="AK4" s="14" t="s">
        <v>2</v>
      </c>
      <c r="AL4" s="13" t="s">
        <v>1</v>
      </c>
      <c r="AM4" s="15" t="s">
        <v>2</v>
      </c>
    </row>
    <row r="5" spans="1:39">
      <c r="C5" s="59" t="s">
        <v>3</v>
      </c>
      <c r="D5" s="17">
        <v>11875</v>
      </c>
      <c r="E5" s="18">
        <v>0.98299999999999998</v>
      </c>
      <c r="F5" s="17">
        <v>72345</v>
      </c>
      <c r="G5" s="19">
        <v>0.97099999999999997</v>
      </c>
      <c r="H5" s="20"/>
      <c r="I5" s="21">
        <v>72345</v>
      </c>
      <c r="J5" s="18">
        <v>0.96599999999999997</v>
      </c>
      <c r="K5" s="17">
        <v>60986</v>
      </c>
      <c r="L5" s="18">
        <v>0.98299999999999998</v>
      </c>
      <c r="M5" s="17">
        <v>77890</v>
      </c>
      <c r="N5" s="18">
        <v>0.98299999999999998</v>
      </c>
      <c r="O5" s="17">
        <v>60985</v>
      </c>
      <c r="P5" s="19">
        <v>0.96199999999999997</v>
      </c>
      <c r="Q5" s="20"/>
      <c r="R5" s="21">
        <v>65789</v>
      </c>
      <c r="S5" s="18">
        <v>0.97199999999999998</v>
      </c>
      <c r="T5" s="17">
        <v>84567</v>
      </c>
      <c r="U5" s="18">
        <v>0.98099999999999998</v>
      </c>
      <c r="V5" s="17">
        <v>80976</v>
      </c>
      <c r="W5" s="18">
        <v>0.97799999999999998</v>
      </c>
      <c r="X5" s="17">
        <v>77890</v>
      </c>
      <c r="Y5" s="19">
        <v>0.97499999999999998</v>
      </c>
      <c r="Z5" s="20"/>
      <c r="AA5" s="21">
        <v>90654</v>
      </c>
      <c r="AB5" s="18">
        <v>0.97499999999999998</v>
      </c>
      <c r="AC5" s="17">
        <v>75689</v>
      </c>
      <c r="AD5" s="18">
        <v>0.98399999999999999</v>
      </c>
      <c r="AE5" s="17">
        <v>73456</v>
      </c>
      <c r="AF5" s="18">
        <v>0.97599999999999998</v>
      </c>
      <c r="AG5" s="17">
        <v>71098</v>
      </c>
      <c r="AH5" s="19">
        <v>0.98099999999999998</v>
      </c>
      <c r="AJ5" s="21">
        <v>66909</v>
      </c>
      <c r="AK5" s="18">
        <v>0.96799999999999997</v>
      </c>
      <c r="AL5" s="17">
        <v>25678</v>
      </c>
      <c r="AM5" s="19">
        <v>0.96499999999999997</v>
      </c>
    </row>
    <row r="6" spans="1:39">
      <c r="C6" s="59" t="s">
        <v>4</v>
      </c>
      <c r="D6" s="17">
        <v>22897</v>
      </c>
      <c r="E6" s="18">
        <v>0.96599999999999997</v>
      </c>
      <c r="F6" s="17">
        <v>45786</v>
      </c>
      <c r="G6" s="19">
        <v>0.98199999999999998</v>
      </c>
      <c r="H6" s="20"/>
      <c r="I6" s="21">
        <v>58745</v>
      </c>
      <c r="J6" s="18">
        <v>0.99099999999999999</v>
      </c>
      <c r="K6" s="17">
        <v>41235</v>
      </c>
      <c r="L6" s="18">
        <v>0.98599999999999999</v>
      </c>
      <c r="M6" s="17">
        <v>48765</v>
      </c>
      <c r="N6" s="18">
        <v>0.97299999999999998</v>
      </c>
      <c r="O6" s="17">
        <v>34786</v>
      </c>
      <c r="P6" s="19">
        <v>0.99199999999999999</v>
      </c>
      <c r="Q6" s="20"/>
      <c r="R6" s="21">
        <v>25678</v>
      </c>
      <c r="S6" s="18">
        <v>0.996</v>
      </c>
      <c r="T6" s="17">
        <v>30008</v>
      </c>
      <c r="U6" s="18">
        <v>0.98399999999999999</v>
      </c>
      <c r="V6" s="17">
        <v>23789</v>
      </c>
      <c r="W6" s="18">
        <v>0.99099999999999999</v>
      </c>
      <c r="X6" s="17">
        <v>15678</v>
      </c>
      <c r="Y6" s="19">
        <v>0.97299999999999998</v>
      </c>
      <c r="Z6" s="20"/>
      <c r="AA6" s="21">
        <v>28907</v>
      </c>
      <c r="AB6" s="18">
        <v>0.98299999999999998</v>
      </c>
      <c r="AC6" s="17">
        <v>28796</v>
      </c>
      <c r="AD6" s="18">
        <v>0.96599999999999997</v>
      </c>
      <c r="AE6" s="17">
        <v>19876</v>
      </c>
      <c r="AF6" s="18">
        <v>0.99399999999999999</v>
      </c>
      <c r="AG6" s="17">
        <v>17654</v>
      </c>
      <c r="AH6" s="19">
        <v>0.995</v>
      </c>
      <c r="AJ6" s="21">
        <v>10987</v>
      </c>
      <c r="AK6" s="18">
        <v>0.99</v>
      </c>
      <c r="AL6" s="17">
        <v>15432</v>
      </c>
      <c r="AM6" s="19">
        <v>0.96</v>
      </c>
    </row>
    <row r="7" spans="1:39">
      <c r="C7" s="59" t="s">
        <v>5</v>
      </c>
      <c r="D7" s="17">
        <v>62348</v>
      </c>
      <c r="E7" s="18">
        <v>0.997</v>
      </c>
      <c r="F7" s="17">
        <v>67890</v>
      </c>
      <c r="G7" s="19">
        <v>0.996</v>
      </c>
      <c r="H7" s="20"/>
      <c r="I7" s="21">
        <v>58764</v>
      </c>
      <c r="J7" s="18">
        <v>0.98899999999999999</v>
      </c>
      <c r="K7" s="17">
        <v>61098</v>
      </c>
      <c r="L7" s="18">
        <v>0.98</v>
      </c>
      <c r="M7" s="17">
        <v>77890</v>
      </c>
      <c r="N7" s="18">
        <v>0.99399999999999999</v>
      </c>
      <c r="O7" s="17">
        <v>58765</v>
      </c>
      <c r="P7" s="19">
        <v>0.96599999999999997</v>
      </c>
      <c r="Q7" s="20"/>
      <c r="R7" s="21">
        <v>38765</v>
      </c>
      <c r="S7" s="18">
        <v>0.98699999999999999</v>
      </c>
      <c r="T7" s="17">
        <v>31256</v>
      </c>
      <c r="U7" s="18">
        <v>0.98699999999999999</v>
      </c>
      <c r="V7" s="17">
        <v>62303</v>
      </c>
      <c r="W7" s="18">
        <v>0.98399999999999999</v>
      </c>
      <c r="X7" s="17">
        <v>58234</v>
      </c>
      <c r="Y7" s="19">
        <v>0.99099999999999999</v>
      </c>
      <c r="Z7" s="20"/>
      <c r="AA7" s="21">
        <v>22789</v>
      </c>
      <c r="AB7" s="18">
        <v>0.97899999999999998</v>
      </c>
      <c r="AC7" s="17">
        <v>20116</v>
      </c>
      <c r="AD7" s="18">
        <v>0.97699999999999998</v>
      </c>
      <c r="AE7" s="17">
        <v>68305</v>
      </c>
      <c r="AF7" s="18">
        <v>0.98499999999999999</v>
      </c>
      <c r="AG7" s="17">
        <v>35983</v>
      </c>
      <c r="AH7" s="19">
        <v>0.98899999999999999</v>
      </c>
      <c r="AJ7" s="21">
        <v>50345</v>
      </c>
      <c r="AK7" s="18">
        <v>0.97299999999999998</v>
      </c>
      <c r="AL7" s="17">
        <v>45678</v>
      </c>
      <c r="AM7" s="19">
        <v>0.99099999999999999</v>
      </c>
    </row>
    <row r="8" spans="1:39">
      <c r="C8" s="59" t="s">
        <v>6</v>
      </c>
      <c r="D8" s="17">
        <v>105678</v>
      </c>
      <c r="E8" s="18">
        <v>0.96599999999999997</v>
      </c>
      <c r="F8" s="17">
        <v>125674</v>
      </c>
      <c r="G8" s="19">
        <v>0.96399999999999997</v>
      </c>
      <c r="H8" s="20"/>
      <c r="I8" s="21">
        <v>128907</v>
      </c>
      <c r="J8" s="18">
        <v>0.99</v>
      </c>
      <c r="K8" s="17">
        <v>135678</v>
      </c>
      <c r="L8" s="18">
        <v>0.99399999999999999</v>
      </c>
      <c r="M8" s="17">
        <v>122098</v>
      </c>
      <c r="N8" s="18">
        <v>0.97</v>
      </c>
      <c r="O8" s="17">
        <v>110987</v>
      </c>
      <c r="P8" s="19">
        <v>0.99199999999999999</v>
      </c>
      <c r="Q8" s="20"/>
      <c r="R8" s="21">
        <v>115786</v>
      </c>
      <c r="S8" s="18">
        <v>0.997</v>
      </c>
      <c r="T8" s="17">
        <v>111111</v>
      </c>
      <c r="U8" s="18">
        <v>0.997</v>
      </c>
      <c r="V8" s="17">
        <v>131987</v>
      </c>
      <c r="W8" s="18">
        <v>0.996</v>
      </c>
      <c r="X8" s="17">
        <v>129876</v>
      </c>
      <c r="Y8" s="19">
        <v>0.98799999999999999</v>
      </c>
      <c r="Z8" s="20"/>
      <c r="AA8" s="21">
        <v>137890</v>
      </c>
      <c r="AB8" s="18">
        <v>0.98899999999999999</v>
      </c>
      <c r="AC8" s="17">
        <v>118909</v>
      </c>
      <c r="AD8" s="18">
        <v>0.98899999999999999</v>
      </c>
      <c r="AE8" s="17">
        <v>125381</v>
      </c>
      <c r="AF8" s="18">
        <v>0.98699999999999999</v>
      </c>
      <c r="AG8" s="17">
        <v>117808</v>
      </c>
      <c r="AH8" s="19">
        <v>0.995</v>
      </c>
      <c r="AJ8" s="21">
        <v>110836</v>
      </c>
      <c r="AK8" s="18">
        <v>0.97099999999999997</v>
      </c>
      <c r="AL8" s="17">
        <v>57890</v>
      </c>
      <c r="AM8" s="19">
        <v>0.97899999999999998</v>
      </c>
    </row>
    <row r="9" spans="1:39">
      <c r="C9" s="59" t="s">
        <v>7</v>
      </c>
      <c r="D9" s="17">
        <v>1200</v>
      </c>
      <c r="E9" s="18">
        <v>0.97199999999999998</v>
      </c>
      <c r="F9" s="17">
        <v>1123</v>
      </c>
      <c r="G9" s="19">
        <v>0.98899999999999999</v>
      </c>
      <c r="H9" s="20"/>
      <c r="I9" s="21">
        <v>1009</v>
      </c>
      <c r="J9" s="18">
        <v>0.98699999999999999</v>
      </c>
      <c r="K9" s="17">
        <v>987</v>
      </c>
      <c r="L9" s="18">
        <v>0.98</v>
      </c>
      <c r="M9" s="17">
        <v>1098</v>
      </c>
      <c r="N9" s="18">
        <v>0.99299999999999999</v>
      </c>
      <c r="O9" s="17">
        <v>786</v>
      </c>
      <c r="P9" s="19">
        <v>0.96</v>
      </c>
      <c r="Q9" s="20"/>
      <c r="R9" s="21">
        <v>1003</v>
      </c>
      <c r="S9" s="18">
        <v>0.98199999999999998</v>
      </c>
      <c r="T9" s="17">
        <v>743</v>
      </c>
      <c r="U9" s="18">
        <v>0.98199999999999998</v>
      </c>
      <c r="V9" s="17">
        <v>589</v>
      </c>
      <c r="W9" s="18">
        <v>0.98499999999999999</v>
      </c>
      <c r="X9" s="17">
        <v>756</v>
      </c>
      <c r="Y9" s="19">
        <v>0.98399999999999999</v>
      </c>
      <c r="Z9" s="20"/>
      <c r="AA9" s="21">
        <v>1000</v>
      </c>
      <c r="AB9" s="18">
        <v>0.98599999999999999</v>
      </c>
      <c r="AC9" s="17">
        <v>690</v>
      </c>
      <c r="AD9" s="18">
        <v>0.98399999999999999</v>
      </c>
      <c r="AE9" s="17">
        <v>555</v>
      </c>
      <c r="AF9" s="18">
        <v>0.98</v>
      </c>
      <c r="AG9" s="17">
        <v>856</v>
      </c>
      <c r="AH9" s="19">
        <v>0.99099999999999999</v>
      </c>
      <c r="AJ9" s="21">
        <v>734</v>
      </c>
      <c r="AK9" s="18">
        <v>0.98299999999999998</v>
      </c>
      <c r="AL9" s="17">
        <v>1100</v>
      </c>
      <c r="AM9" s="19">
        <v>0.99299999999999999</v>
      </c>
    </row>
    <row r="10" spans="1:39">
      <c r="C10" s="59" t="s">
        <v>8</v>
      </c>
      <c r="D10" s="17">
        <v>54786</v>
      </c>
      <c r="E10" s="18">
        <v>0.98099999999999998</v>
      </c>
      <c r="F10" s="17">
        <v>56098</v>
      </c>
      <c r="G10" s="19">
        <v>0.997</v>
      </c>
      <c r="H10" s="20"/>
      <c r="I10" s="21">
        <v>58745</v>
      </c>
      <c r="J10" s="18">
        <v>0.97</v>
      </c>
      <c r="K10" s="17">
        <v>54390</v>
      </c>
      <c r="L10" s="18">
        <v>0.98199999999999998</v>
      </c>
      <c r="M10" s="17">
        <v>50987</v>
      </c>
      <c r="N10" s="18">
        <v>0.995</v>
      </c>
      <c r="O10" s="17">
        <v>51456</v>
      </c>
      <c r="P10" s="19">
        <v>0.997</v>
      </c>
      <c r="Q10" s="20"/>
      <c r="R10" s="21">
        <v>30987</v>
      </c>
      <c r="S10" s="18">
        <v>0.98</v>
      </c>
      <c r="T10" s="17">
        <v>48765</v>
      </c>
      <c r="U10" s="18">
        <v>0.98</v>
      </c>
      <c r="V10" s="17">
        <v>55649</v>
      </c>
      <c r="W10" s="18">
        <v>0.98599999999999999</v>
      </c>
      <c r="X10" s="17">
        <v>65908</v>
      </c>
      <c r="Y10" s="19">
        <v>0.98199999999999998</v>
      </c>
      <c r="Z10" s="20"/>
      <c r="AA10" s="21">
        <v>53896</v>
      </c>
      <c r="AB10" s="18">
        <v>0.97699999999999998</v>
      </c>
      <c r="AC10" s="17">
        <v>25789</v>
      </c>
      <c r="AD10" s="18">
        <v>0.98499999999999999</v>
      </c>
      <c r="AE10" s="17">
        <v>54897</v>
      </c>
      <c r="AF10" s="18">
        <v>0.98</v>
      </c>
      <c r="AG10" s="17">
        <v>50897</v>
      </c>
      <c r="AH10" s="19">
        <v>0.98599999999999999</v>
      </c>
      <c r="AJ10" s="21">
        <v>28111</v>
      </c>
      <c r="AK10" s="18">
        <v>0.96499999999999997</v>
      </c>
      <c r="AL10" s="17">
        <v>23456</v>
      </c>
      <c r="AM10" s="19">
        <v>0.97299999999999998</v>
      </c>
    </row>
    <row r="11" spans="1:39">
      <c r="C11" s="59" t="s">
        <v>9</v>
      </c>
      <c r="D11" s="17">
        <v>53897</v>
      </c>
      <c r="E11" s="18">
        <v>0.98599999999999999</v>
      </c>
      <c r="F11" s="17">
        <v>49876</v>
      </c>
      <c r="G11" s="19">
        <v>0.97899999999999998</v>
      </c>
      <c r="H11" s="20"/>
      <c r="I11" s="21">
        <v>48734</v>
      </c>
      <c r="J11" s="18">
        <v>0.98799999999999999</v>
      </c>
      <c r="K11" s="17">
        <v>45908</v>
      </c>
      <c r="L11" s="18">
        <v>0.997</v>
      </c>
      <c r="M11" s="17">
        <v>49823</v>
      </c>
      <c r="N11" s="18">
        <v>0.98</v>
      </c>
      <c r="O11" s="17">
        <v>39876</v>
      </c>
      <c r="P11" s="19">
        <v>0.97599999999999998</v>
      </c>
      <c r="Q11" s="20"/>
      <c r="R11" s="21">
        <v>31222</v>
      </c>
      <c r="S11" s="18">
        <v>0.96599999999999997</v>
      </c>
      <c r="T11" s="17">
        <v>35678</v>
      </c>
      <c r="U11" s="18">
        <v>0.96599999999999997</v>
      </c>
      <c r="V11" s="17">
        <v>32675</v>
      </c>
      <c r="W11" s="18">
        <v>0.98499999999999999</v>
      </c>
      <c r="X11" s="17">
        <v>37589</v>
      </c>
      <c r="Y11" s="19">
        <v>0.98299999999999998</v>
      </c>
      <c r="Z11" s="20"/>
      <c r="AA11" s="21">
        <v>47094</v>
      </c>
      <c r="AB11" s="18">
        <v>0.96799999999999997</v>
      </c>
      <c r="AC11" s="17">
        <v>18907</v>
      </c>
      <c r="AD11" s="18">
        <v>0.97099999999999997</v>
      </c>
      <c r="AE11" s="17">
        <v>59088</v>
      </c>
      <c r="AF11" s="18">
        <v>0.97699999999999998</v>
      </c>
      <c r="AG11" s="17">
        <v>47106</v>
      </c>
      <c r="AH11" s="19">
        <v>0.97499999999999998</v>
      </c>
      <c r="AJ11" s="21">
        <v>38768</v>
      </c>
      <c r="AK11" s="18">
        <v>0.98599999999999999</v>
      </c>
      <c r="AL11" s="17">
        <v>20983</v>
      </c>
      <c r="AM11" s="19">
        <v>0.99399999999999999</v>
      </c>
    </row>
    <row r="12" spans="1:39" ht="18.75" thickBot="1">
      <c r="C12" s="59" t="s">
        <v>10</v>
      </c>
      <c r="D12" s="17">
        <v>61234</v>
      </c>
      <c r="E12" s="18">
        <v>0.96599999999999997</v>
      </c>
      <c r="F12" s="17">
        <v>44567</v>
      </c>
      <c r="G12" s="19">
        <v>0.97</v>
      </c>
      <c r="H12" s="20"/>
      <c r="I12" s="21">
        <v>57609</v>
      </c>
      <c r="J12" s="18">
        <v>0.97</v>
      </c>
      <c r="K12" s="17">
        <v>45763</v>
      </c>
      <c r="L12" s="18">
        <v>0.99199999999999999</v>
      </c>
      <c r="M12" s="17">
        <v>35678</v>
      </c>
      <c r="N12" s="18">
        <v>0.99399999999999999</v>
      </c>
      <c r="O12" s="17">
        <v>25678</v>
      </c>
      <c r="P12" s="19">
        <v>0.96799999999999997</v>
      </c>
      <c r="Q12" s="20"/>
      <c r="R12" s="21">
        <v>39675</v>
      </c>
      <c r="S12" s="18">
        <v>0.98799999999999999</v>
      </c>
      <c r="T12" s="17">
        <v>22345</v>
      </c>
      <c r="U12" s="18">
        <v>0.98799999999999999</v>
      </c>
      <c r="V12" s="17">
        <v>25890</v>
      </c>
      <c r="W12" s="18">
        <v>0.98299999999999998</v>
      </c>
      <c r="X12" s="17">
        <v>29805</v>
      </c>
      <c r="Y12" s="19">
        <v>0.98399999999999999</v>
      </c>
      <c r="Z12" s="20"/>
      <c r="AA12" s="21">
        <v>27407</v>
      </c>
      <c r="AB12" s="18">
        <v>0.98499999999999999</v>
      </c>
      <c r="AC12" s="17">
        <v>23987</v>
      </c>
      <c r="AD12" s="18">
        <v>0.99099999999999999</v>
      </c>
      <c r="AE12" s="17">
        <v>36579</v>
      </c>
      <c r="AF12" s="18">
        <v>0.98899999999999999</v>
      </c>
      <c r="AG12" s="17">
        <v>33718</v>
      </c>
      <c r="AH12" s="19">
        <v>0.98599999999999999</v>
      </c>
      <c r="AJ12" s="21">
        <v>37654</v>
      </c>
      <c r="AK12" s="18">
        <v>0.98099999999999998</v>
      </c>
      <c r="AL12" s="17">
        <v>31258</v>
      </c>
      <c r="AM12" s="19">
        <v>0.99399999999999999</v>
      </c>
    </row>
    <row r="13" spans="1:39" ht="18.75" thickBot="1">
      <c r="C13" s="60"/>
      <c r="D13" s="27">
        <f>SUM(D5:D12)</f>
        <v>373915</v>
      </c>
      <c r="E13" s="24"/>
      <c r="F13" s="25">
        <f>SUM(F5:F12)</f>
        <v>463359</v>
      </c>
      <c r="G13" s="26"/>
      <c r="I13" s="23">
        <f>SUM(I5:I12)</f>
        <v>484858</v>
      </c>
      <c r="J13" s="24"/>
      <c r="K13" s="25">
        <f>SUM(K5:K12)</f>
        <v>446045</v>
      </c>
      <c r="L13" s="24"/>
      <c r="M13" s="25">
        <f>SUM(M5:M12)</f>
        <v>464229</v>
      </c>
      <c r="N13" s="24"/>
      <c r="O13" s="27">
        <f>SUM(O5:O12)</f>
        <v>383319</v>
      </c>
      <c r="P13" s="28"/>
      <c r="R13" s="23">
        <f>SUM(R5:R12)</f>
        <v>348905</v>
      </c>
      <c r="S13" s="24"/>
      <c r="T13" s="25">
        <f>SUM(T5:T12)</f>
        <v>364473</v>
      </c>
      <c r="U13" s="24"/>
      <c r="V13" s="25">
        <f>SUM(V5:V12)</f>
        <v>413858</v>
      </c>
      <c r="W13" s="24"/>
      <c r="X13" s="27">
        <f>SUM(X5:X12)</f>
        <v>415736</v>
      </c>
      <c r="Y13" s="28"/>
      <c r="AA13" s="22">
        <f>SUM(AA5:AA12)</f>
        <v>409637</v>
      </c>
      <c r="AB13" s="29"/>
      <c r="AC13" s="30">
        <f>SUM(AC5:AC12)</f>
        <v>312883</v>
      </c>
      <c r="AD13" s="29"/>
      <c r="AE13" s="30">
        <f>SUM(AE5:AE12)</f>
        <v>438137</v>
      </c>
      <c r="AF13" s="29"/>
      <c r="AG13" s="30">
        <f>SUM(AG5:AG12)</f>
        <v>375120</v>
      </c>
      <c r="AH13" s="28"/>
      <c r="AJ13" s="23">
        <f>SUM(AJ5:AJ12)</f>
        <v>344344</v>
      </c>
      <c r="AK13" s="24"/>
      <c r="AL13" s="27">
        <f>SUM(AL5:AL12)</f>
        <v>221475</v>
      </c>
      <c r="AM13" s="31" t="s">
        <v>11</v>
      </c>
    </row>
    <row r="14" spans="1:39">
      <c r="C14" s="17"/>
      <c r="E14" s="33"/>
      <c r="F14" s="17"/>
      <c r="G14" s="33"/>
      <c r="I14" s="17"/>
      <c r="J14" s="33"/>
      <c r="K14" s="17"/>
      <c r="L14" s="33"/>
      <c r="M14" s="17"/>
      <c r="N14" s="33"/>
      <c r="O14" s="17"/>
      <c r="P14" s="33"/>
      <c r="R14" s="17"/>
      <c r="S14" s="33"/>
      <c r="T14" s="17"/>
      <c r="U14" s="33"/>
      <c r="V14" s="17"/>
      <c r="W14" s="33"/>
      <c r="X14" s="17"/>
      <c r="Y14" s="33"/>
      <c r="AA14" s="17"/>
      <c r="AB14" s="33"/>
      <c r="AC14" s="17"/>
      <c r="AD14" s="33"/>
      <c r="AE14" s="17"/>
      <c r="AF14" s="33"/>
      <c r="AG14" s="17"/>
      <c r="AH14" s="33"/>
      <c r="AJ14" s="17"/>
      <c r="AK14" s="33"/>
      <c r="AL14" s="17"/>
      <c r="AM14" s="34"/>
    </row>
    <row r="15" spans="1:39">
      <c r="C15" s="17"/>
      <c r="D15" s="17"/>
      <c r="E15" s="33"/>
      <c r="F15" s="17"/>
      <c r="G15" s="33"/>
      <c r="I15" s="17"/>
      <c r="J15" s="33"/>
      <c r="K15" s="17"/>
      <c r="L15" s="33"/>
      <c r="M15" s="17"/>
      <c r="N15" s="33"/>
      <c r="O15" s="17"/>
      <c r="P15" s="33"/>
      <c r="R15" s="17"/>
      <c r="S15" s="33"/>
      <c r="T15" s="17"/>
      <c r="U15" s="33"/>
      <c r="V15" s="17"/>
      <c r="W15" s="33"/>
      <c r="X15" s="17"/>
      <c r="Y15" s="33"/>
      <c r="AA15" s="17"/>
      <c r="AB15" s="33"/>
      <c r="AC15" s="17"/>
      <c r="AD15" s="33"/>
      <c r="AE15" s="17"/>
      <c r="AF15" s="33"/>
      <c r="AG15" s="17"/>
      <c r="AH15" s="33"/>
      <c r="AJ15" s="17"/>
      <c r="AK15" s="33"/>
      <c r="AL15" s="17"/>
      <c r="AM15" s="34"/>
    </row>
    <row r="16" spans="1:39" ht="18.75" thickBot="1">
      <c r="C16" s="35" t="s">
        <v>34</v>
      </c>
    </row>
    <row r="17" spans="1:39" s="32" customFormat="1">
      <c r="A17" s="39"/>
      <c r="B17" s="39"/>
      <c r="C17" s="61" t="s">
        <v>30</v>
      </c>
      <c r="D17" s="37">
        <f>D13*30/1000</f>
        <v>11217.45</v>
      </c>
      <c r="E17" s="37" t="s">
        <v>33</v>
      </c>
      <c r="F17" s="37">
        <f>F13*30/1000</f>
        <v>13900.77</v>
      </c>
      <c r="G17" s="37" t="s">
        <v>11</v>
      </c>
      <c r="H17" s="37" t="s">
        <v>11</v>
      </c>
      <c r="I17" s="37">
        <f t="shared" ref="I17:AL17" si="0">I13*30/1000</f>
        <v>14545.74</v>
      </c>
      <c r="J17" s="37" t="s">
        <v>11</v>
      </c>
      <c r="K17" s="37">
        <f t="shared" si="0"/>
        <v>13381.35</v>
      </c>
      <c r="L17" s="37" t="s">
        <v>11</v>
      </c>
      <c r="M17" s="37">
        <f t="shared" si="0"/>
        <v>13926.87</v>
      </c>
      <c r="N17" s="37" t="s">
        <v>11</v>
      </c>
      <c r="O17" s="37">
        <f t="shared" si="0"/>
        <v>11499.57</v>
      </c>
      <c r="P17" s="37" t="s">
        <v>11</v>
      </c>
      <c r="Q17" s="37" t="s">
        <v>11</v>
      </c>
      <c r="R17" s="37">
        <f t="shared" si="0"/>
        <v>10467.15</v>
      </c>
      <c r="S17" s="37" t="s">
        <v>11</v>
      </c>
      <c r="T17" s="37">
        <f t="shared" si="0"/>
        <v>10934.19</v>
      </c>
      <c r="U17" s="37" t="s">
        <v>11</v>
      </c>
      <c r="V17" s="37">
        <f t="shared" si="0"/>
        <v>12415.74</v>
      </c>
      <c r="W17" s="37" t="s">
        <v>11</v>
      </c>
      <c r="X17" s="37">
        <f t="shared" si="0"/>
        <v>12472.08</v>
      </c>
      <c r="Y17" s="37" t="s">
        <v>11</v>
      </c>
      <c r="Z17" s="37" t="s">
        <v>11</v>
      </c>
      <c r="AA17" s="37">
        <f t="shared" si="0"/>
        <v>12289.11</v>
      </c>
      <c r="AB17" s="37" t="s">
        <v>11</v>
      </c>
      <c r="AC17" s="37">
        <f t="shared" si="0"/>
        <v>9386.49</v>
      </c>
      <c r="AD17" s="37" t="s">
        <v>11</v>
      </c>
      <c r="AE17" s="37">
        <f t="shared" si="0"/>
        <v>13144.11</v>
      </c>
      <c r="AF17" s="37" t="s">
        <v>11</v>
      </c>
      <c r="AG17" s="37">
        <f t="shared" si="0"/>
        <v>11253.6</v>
      </c>
      <c r="AH17" s="37" t="s">
        <v>11</v>
      </c>
      <c r="AI17" s="37" t="s">
        <v>11</v>
      </c>
      <c r="AJ17" s="37">
        <f t="shared" si="0"/>
        <v>10330.32</v>
      </c>
      <c r="AK17" s="37" t="s">
        <v>11</v>
      </c>
      <c r="AL17" s="37">
        <f t="shared" si="0"/>
        <v>6644.25</v>
      </c>
      <c r="AM17" s="40">
        <f>SUM(D17:AL17)</f>
        <v>187808.79</v>
      </c>
    </row>
    <row r="18" spans="1:39" s="36" customFormat="1">
      <c r="A18" s="38"/>
      <c r="B18" s="38"/>
      <c r="C18" s="41" t="s">
        <v>31</v>
      </c>
      <c r="D18" s="38">
        <v>5875</v>
      </c>
      <c r="E18" s="38"/>
      <c r="F18" s="38">
        <f>D18</f>
        <v>5875</v>
      </c>
      <c r="G18" s="38"/>
      <c r="H18" s="38" t="s">
        <v>11</v>
      </c>
      <c r="I18" s="38">
        <f>F18</f>
        <v>5875</v>
      </c>
      <c r="J18" s="38"/>
      <c r="K18" s="38">
        <f>I18</f>
        <v>5875</v>
      </c>
      <c r="L18" s="38"/>
      <c r="M18" s="38">
        <f>K18</f>
        <v>5875</v>
      </c>
      <c r="N18" s="38"/>
      <c r="O18" s="38">
        <f>M18</f>
        <v>5875</v>
      </c>
      <c r="P18" s="38"/>
      <c r="Q18" s="38" t="s">
        <v>11</v>
      </c>
      <c r="R18" s="38">
        <f>O18</f>
        <v>5875</v>
      </c>
      <c r="S18" s="38" t="s">
        <v>11</v>
      </c>
      <c r="T18" s="38">
        <f>R18</f>
        <v>5875</v>
      </c>
      <c r="U18" s="38"/>
      <c r="V18" s="38">
        <f>T18</f>
        <v>5875</v>
      </c>
      <c r="W18" s="38"/>
      <c r="X18" s="38">
        <f>V18</f>
        <v>5875</v>
      </c>
      <c r="Y18" s="38"/>
      <c r="Z18" s="38"/>
      <c r="AA18" s="38">
        <f>X18</f>
        <v>5875</v>
      </c>
      <c r="AB18" s="38"/>
      <c r="AC18" s="38">
        <f>AA18</f>
        <v>5875</v>
      </c>
      <c r="AD18" s="38"/>
      <c r="AE18" s="38">
        <f>AC18</f>
        <v>5875</v>
      </c>
      <c r="AF18" s="38"/>
      <c r="AG18" s="38">
        <f>AE18</f>
        <v>5875</v>
      </c>
      <c r="AH18" s="38" t="s">
        <v>11</v>
      </c>
      <c r="AI18" s="38" t="s">
        <v>11</v>
      </c>
      <c r="AJ18" s="38">
        <f>AG18</f>
        <v>5875</v>
      </c>
      <c r="AK18" s="38"/>
      <c r="AL18" s="38">
        <f>AJ18</f>
        <v>5875</v>
      </c>
      <c r="AM18" s="41">
        <f>AM21</f>
        <v>94000</v>
      </c>
    </row>
    <row r="19" spans="1:39" s="32" customFormat="1">
      <c r="A19" s="39"/>
      <c r="B19" s="39"/>
      <c r="C19" s="42" t="s">
        <v>32</v>
      </c>
      <c r="D19" s="39">
        <f>D17-D18</f>
        <v>5342.4500000000007</v>
      </c>
      <c r="E19" s="39"/>
      <c r="F19" s="39">
        <f>F17-F18</f>
        <v>8025.77</v>
      </c>
      <c r="G19" s="39" t="s">
        <v>11</v>
      </c>
      <c r="H19" s="39" t="s">
        <v>11</v>
      </c>
      <c r="I19" s="39">
        <f t="shared" ref="I19:AM19" si="1">I17-I18</f>
        <v>8670.74</v>
      </c>
      <c r="J19" s="39" t="s">
        <v>11</v>
      </c>
      <c r="K19" s="39">
        <f t="shared" si="1"/>
        <v>7506.35</v>
      </c>
      <c r="L19" s="39" t="s">
        <v>11</v>
      </c>
      <c r="M19" s="39">
        <f t="shared" si="1"/>
        <v>8051.8700000000008</v>
      </c>
      <c r="N19" s="39" t="s">
        <v>11</v>
      </c>
      <c r="O19" s="39">
        <f t="shared" si="1"/>
        <v>5624.57</v>
      </c>
      <c r="P19" s="39" t="s">
        <v>11</v>
      </c>
      <c r="Q19" s="39" t="s">
        <v>11</v>
      </c>
      <c r="R19" s="39">
        <f t="shared" si="1"/>
        <v>4592.1499999999996</v>
      </c>
      <c r="S19" s="39" t="s">
        <v>11</v>
      </c>
      <c r="T19" s="39">
        <f t="shared" si="1"/>
        <v>5059.1900000000005</v>
      </c>
      <c r="U19" s="39" t="s">
        <v>11</v>
      </c>
      <c r="V19" s="39">
        <f t="shared" si="1"/>
        <v>6540.74</v>
      </c>
      <c r="W19" s="39" t="s">
        <v>11</v>
      </c>
      <c r="X19" s="39">
        <f t="shared" si="1"/>
        <v>6597.08</v>
      </c>
      <c r="Y19" s="39" t="s">
        <v>11</v>
      </c>
      <c r="Z19" s="39" t="s">
        <v>11</v>
      </c>
      <c r="AA19" s="39">
        <f t="shared" si="1"/>
        <v>6414.1100000000006</v>
      </c>
      <c r="AB19" s="39" t="s">
        <v>11</v>
      </c>
      <c r="AC19" s="39">
        <f t="shared" si="1"/>
        <v>3511.49</v>
      </c>
      <c r="AD19" s="39" t="s">
        <v>11</v>
      </c>
      <c r="AE19" s="39">
        <f t="shared" si="1"/>
        <v>7269.1100000000006</v>
      </c>
      <c r="AF19" s="39" t="s">
        <v>11</v>
      </c>
      <c r="AG19" s="39">
        <f t="shared" si="1"/>
        <v>5378.6</v>
      </c>
      <c r="AH19" s="39" t="s">
        <v>11</v>
      </c>
      <c r="AI19" s="39" t="s">
        <v>11</v>
      </c>
      <c r="AJ19" s="39">
        <f t="shared" si="1"/>
        <v>4455.32</v>
      </c>
      <c r="AK19" s="39" t="s">
        <v>11</v>
      </c>
      <c r="AL19" s="39">
        <f t="shared" si="1"/>
        <v>769.25</v>
      </c>
      <c r="AM19" s="42">
        <f t="shared" si="1"/>
        <v>93808.790000000008</v>
      </c>
    </row>
    <row r="20" spans="1:39">
      <c r="C20" s="62"/>
      <c r="D20" s="17"/>
      <c r="E20" s="33"/>
      <c r="F20" s="17"/>
      <c r="G20" s="33"/>
      <c r="H20" s="33"/>
      <c r="I20" s="17"/>
      <c r="J20" s="33"/>
      <c r="K20" s="17"/>
      <c r="L20" s="33"/>
      <c r="M20" s="17"/>
      <c r="N20" s="33"/>
      <c r="O20" s="17"/>
      <c r="P20" s="33"/>
      <c r="Q20" s="33"/>
      <c r="R20" s="17"/>
      <c r="S20" s="33"/>
      <c r="T20" s="17"/>
      <c r="U20" s="33"/>
      <c r="V20" s="17"/>
      <c r="W20" s="33"/>
      <c r="X20" s="17"/>
      <c r="Y20" s="33"/>
      <c r="Z20" s="33"/>
      <c r="AA20" s="17"/>
      <c r="AB20" s="33"/>
      <c r="AC20" s="17"/>
      <c r="AD20" s="33"/>
      <c r="AE20" s="17"/>
      <c r="AF20" s="33"/>
      <c r="AG20" s="17"/>
      <c r="AH20" s="33"/>
      <c r="AI20" s="17"/>
      <c r="AJ20" s="17"/>
      <c r="AK20" s="17"/>
      <c r="AL20" s="17"/>
      <c r="AM20" s="42"/>
    </row>
    <row r="21" spans="1:39" ht="18.75" thickBot="1">
      <c r="C21" s="60"/>
      <c r="D21" s="30"/>
      <c r="E21" s="29"/>
      <c r="F21" s="30"/>
      <c r="G21" s="29"/>
      <c r="H21" s="29"/>
      <c r="I21" s="30"/>
      <c r="J21" s="29"/>
      <c r="K21" s="30"/>
      <c r="L21" s="29"/>
      <c r="M21" s="30"/>
      <c r="N21" s="29"/>
      <c r="O21" s="30"/>
      <c r="P21" s="29"/>
      <c r="Q21" s="29"/>
      <c r="R21" s="30"/>
      <c r="S21" s="29"/>
      <c r="T21" s="30"/>
      <c r="U21" s="29"/>
      <c r="V21" s="30"/>
      <c r="W21" s="29"/>
      <c r="X21" s="30"/>
      <c r="Y21" s="29"/>
      <c r="Z21" s="29"/>
      <c r="AA21" s="30"/>
      <c r="AB21" s="29"/>
      <c r="AC21" s="30"/>
      <c r="AD21" s="29"/>
      <c r="AE21" s="30"/>
      <c r="AF21" s="29"/>
      <c r="AG21" s="30"/>
      <c r="AH21" s="29"/>
      <c r="AI21" s="30"/>
      <c r="AJ21" s="30"/>
      <c r="AK21" s="30"/>
      <c r="AL21" s="30">
        <v>6260293</v>
      </c>
      <c r="AM21" s="43">
        <v>94000</v>
      </c>
    </row>
    <row r="22" spans="1:39">
      <c r="AM22" s="32"/>
    </row>
    <row r="24" spans="1:39" ht="18.75" thickBot="1">
      <c r="C24" s="35" t="s">
        <v>35</v>
      </c>
    </row>
    <row r="25" spans="1:39">
      <c r="A25" s="56">
        <v>0.1</v>
      </c>
      <c r="C25" s="63" t="s">
        <v>13</v>
      </c>
      <c r="D25" s="44" cm="1">
        <f t="array" ref="D25:D40">D13*A25:A40</f>
        <v>37391.5</v>
      </c>
      <c r="E25" s="45"/>
      <c r="F25" s="46">
        <f>A25*F13</f>
        <v>46335.9</v>
      </c>
      <c r="G25" s="45"/>
      <c r="H25" s="45"/>
      <c r="I25" s="46">
        <f>I13*A25</f>
        <v>48485.8</v>
      </c>
      <c r="J25" s="45"/>
      <c r="K25" s="46" cm="1">
        <f t="array" ref="K25:K40">K13*A25:A40</f>
        <v>44604.5</v>
      </c>
      <c r="L25" s="45"/>
      <c r="M25" s="46" cm="1">
        <f t="array" ref="M25:M40">+M13*A25:A40</f>
        <v>46422.9</v>
      </c>
      <c r="N25" s="45"/>
      <c r="O25" s="46" cm="1">
        <f t="array" ref="O25:O40">O13*A25:A40</f>
        <v>38331.9</v>
      </c>
      <c r="P25" s="45"/>
      <c r="Q25" s="45">
        <v>0.1</v>
      </c>
      <c r="R25" s="46" cm="1">
        <f t="array" ref="R25:R40">R13*A25:A40</f>
        <v>34890.5</v>
      </c>
      <c r="S25" s="45"/>
      <c r="T25" s="46" cm="1">
        <f t="array" ref="T25:T40">T13*A25:A40</f>
        <v>36447.300000000003</v>
      </c>
      <c r="U25" s="45"/>
      <c r="V25" s="47" cm="1">
        <f t="array" ref="V25:V40">V13*Q25:Q40</f>
        <v>41385.800000000003</v>
      </c>
      <c r="W25" s="45"/>
      <c r="X25" s="46" cm="1">
        <f t="array" ref="X25:X40">X13*Q25:Q40</f>
        <v>41573.600000000006</v>
      </c>
      <c r="Y25" s="45"/>
      <c r="Z25" s="45">
        <v>0.1</v>
      </c>
      <c r="AA25" s="46" cm="1">
        <f t="array" ref="AA25:AA40">AA13*Q25:Q40</f>
        <v>40963.700000000004</v>
      </c>
      <c r="AB25" s="45"/>
      <c r="AC25" s="46" cm="1">
        <f t="array" ref="AC25:AC40">AC13*Z25:Z40</f>
        <v>31288.300000000003</v>
      </c>
      <c r="AD25" s="45"/>
      <c r="AE25" s="46" cm="1">
        <f t="array" ref="AE25:AE40">AE13*Z25:Z40</f>
        <v>43813.700000000004</v>
      </c>
      <c r="AF25" s="45"/>
      <c r="AG25" s="46" cm="1">
        <f t="array" ref="AG25:AG40">AG13*Z25:Z40</f>
        <v>37512</v>
      </c>
      <c r="AH25" s="45"/>
      <c r="AI25" s="46"/>
      <c r="AJ25" s="46" cm="1">
        <f t="array" ref="AJ25:AJ40">AJ13*Z25:Z40</f>
        <v>34434.400000000001</v>
      </c>
      <c r="AK25" s="46"/>
      <c r="AL25" s="46" cm="1">
        <f t="array" ref="AL25:AL40">AL13*Z25:Z40</f>
        <v>22147.5</v>
      </c>
      <c r="AM25" s="48"/>
    </row>
    <row r="26" spans="1:39">
      <c r="A26" s="56">
        <v>0.1</v>
      </c>
      <c r="C26" s="64" t="s">
        <v>14</v>
      </c>
      <c r="D26" s="49">
        <v>37391.5</v>
      </c>
      <c r="E26" s="33"/>
      <c r="F26" s="17">
        <f>F13*A26</f>
        <v>46335.9</v>
      </c>
      <c r="G26" s="33"/>
      <c r="H26" s="33"/>
      <c r="I26" s="17">
        <f>I13*A26</f>
        <v>48485.8</v>
      </c>
      <c r="J26" s="39" t="s">
        <v>11</v>
      </c>
      <c r="K26" s="17">
        <v>44604.5</v>
      </c>
      <c r="L26" s="33"/>
      <c r="M26" s="17">
        <v>46422.9</v>
      </c>
      <c r="N26" s="33"/>
      <c r="O26" s="17">
        <v>38331.9</v>
      </c>
      <c r="P26" s="33"/>
      <c r="Q26" s="33">
        <v>0.1</v>
      </c>
      <c r="R26" s="17">
        <v>34890.5</v>
      </c>
      <c r="S26" s="33"/>
      <c r="T26" s="17">
        <v>36447.300000000003</v>
      </c>
      <c r="U26" s="33"/>
      <c r="V26" s="17">
        <v>41385.800000000003</v>
      </c>
      <c r="W26" s="33"/>
      <c r="X26" s="17">
        <v>41573.600000000006</v>
      </c>
      <c r="Y26" s="33"/>
      <c r="Z26" s="33">
        <v>0.1</v>
      </c>
      <c r="AA26" s="17">
        <v>40963.700000000004</v>
      </c>
      <c r="AB26" s="33"/>
      <c r="AC26" s="17">
        <v>31288.300000000003</v>
      </c>
      <c r="AD26" s="33"/>
      <c r="AE26" s="17">
        <v>43813.700000000004</v>
      </c>
      <c r="AF26" s="33"/>
      <c r="AG26" s="17">
        <v>37512</v>
      </c>
      <c r="AH26" s="33"/>
      <c r="AI26" s="17"/>
      <c r="AJ26" s="17">
        <v>34434.400000000001</v>
      </c>
      <c r="AK26" s="17"/>
      <c r="AL26" s="17">
        <v>22147.5</v>
      </c>
      <c r="AM26" s="50"/>
    </row>
    <row r="27" spans="1:39">
      <c r="A27" s="56">
        <v>0.1</v>
      </c>
      <c r="C27" s="64" t="s">
        <v>15</v>
      </c>
      <c r="D27" s="49">
        <v>37391.5</v>
      </c>
      <c r="E27" s="33"/>
      <c r="F27" s="17">
        <f>F13*A27</f>
        <v>46335.9</v>
      </c>
      <c r="G27" s="33"/>
      <c r="H27" s="33"/>
      <c r="I27" s="17">
        <f>I13*A27</f>
        <v>48485.8</v>
      </c>
      <c r="J27" s="33"/>
      <c r="K27" s="17">
        <v>44604.5</v>
      </c>
      <c r="L27" s="33"/>
      <c r="M27" s="17">
        <v>46422.9</v>
      </c>
      <c r="N27" s="33"/>
      <c r="O27" s="17">
        <v>38331.9</v>
      </c>
      <c r="P27" s="33"/>
      <c r="Q27" s="33">
        <v>0.1</v>
      </c>
      <c r="R27" s="17">
        <v>34890.5</v>
      </c>
      <c r="S27" s="33"/>
      <c r="T27" s="17">
        <v>36447.300000000003</v>
      </c>
      <c r="U27" s="33"/>
      <c r="V27" s="17">
        <v>41385.800000000003</v>
      </c>
      <c r="W27" s="33"/>
      <c r="X27" s="17">
        <v>41573.600000000006</v>
      </c>
      <c r="Y27" s="33"/>
      <c r="Z27" s="33">
        <v>0.1</v>
      </c>
      <c r="AA27" s="17">
        <v>40963.700000000004</v>
      </c>
      <c r="AB27" s="33"/>
      <c r="AC27" s="17">
        <v>31288.300000000003</v>
      </c>
      <c r="AD27" s="33"/>
      <c r="AE27" s="17">
        <v>43813.700000000004</v>
      </c>
      <c r="AF27" s="33"/>
      <c r="AG27" s="17">
        <v>37512</v>
      </c>
      <c r="AH27" s="33"/>
      <c r="AI27" s="17"/>
      <c r="AJ27" s="17">
        <v>34434.400000000001</v>
      </c>
      <c r="AK27" s="17"/>
      <c r="AL27" s="17">
        <v>22147.5</v>
      </c>
      <c r="AM27" s="50"/>
    </row>
    <row r="28" spans="1:39">
      <c r="A28" s="56">
        <v>0.08</v>
      </c>
      <c r="C28" s="64" t="s">
        <v>16</v>
      </c>
      <c r="D28" s="49">
        <v>29913.200000000001</v>
      </c>
      <c r="E28" s="33"/>
      <c r="F28" s="17">
        <f>F13*A28</f>
        <v>37068.720000000001</v>
      </c>
      <c r="G28" s="33"/>
      <c r="H28" s="33"/>
      <c r="I28" s="17">
        <f>I13*A28</f>
        <v>38788.639999999999</v>
      </c>
      <c r="J28" s="33"/>
      <c r="K28" s="17">
        <v>35683.599999999999</v>
      </c>
      <c r="L28" s="33"/>
      <c r="M28" s="17">
        <v>37138.32</v>
      </c>
      <c r="N28" s="33"/>
      <c r="O28" s="17">
        <v>30665.52</v>
      </c>
      <c r="P28" s="33"/>
      <c r="Q28" s="33">
        <v>0.08</v>
      </c>
      <c r="R28" s="17">
        <v>27912.400000000001</v>
      </c>
      <c r="S28" s="33"/>
      <c r="T28" s="17">
        <v>29157.84</v>
      </c>
      <c r="U28" s="33"/>
      <c r="V28" s="17">
        <v>33108.639999999999</v>
      </c>
      <c r="W28" s="33"/>
      <c r="X28" s="17">
        <v>33258.879999999997</v>
      </c>
      <c r="Y28" s="33"/>
      <c r="Z28" s="33">
        <v>0.08</v>
      </c>
      <c r="AA28" s="17">
        <v>32770.959999999999</v>
      </c>
      <c r="AB28" s="33"/>
      <c r="AC28" s="17">
        <v>25030.639999999999</v>
      </c>
      <c r="AD28" s="33"/>
      <c r="AE28" s="17">
        <v>35050.959999999999</v>
      </c>
      <c r="AF28" s="33"/>
      <c r="AG28" s="17">
        <v>30009.600000000002</v>
      </c>
      <c r="AH28" s="33"/>
      <c r="AI28" s="17"/>
      <c r="AJ28" s="17">
        <v>27547.52</v>
      </c>
      <c r="AK28" s="17"/>
      <c r="AL28" s="17">
        <v>17718</v>
      </c>
      <c r="AM28" s="50"/>
    </row>
    <row r="29" spans="1:39">
      <c r="A29" s="56">
        <v>0.08</v>
      </c>
      <c r="C29" s="64" t="s">
        <v>17</v>
      </c>
      <c r="D29" s="49">
        <v>29913.200000000001</v>
      </c>
      <c r="E29" s="33"/>
      <c r="F29" s="17">
        <f>F13*A29</f>
        <v>37068.720000000001</v>
      </c>
      <c r="G29" s="33"/>
      <c r="H29" s="33"/>
      <c r="I29" s="17">
        <f>I13*A29</f>
        <v>38788.639999999999</v>
      </c>
      <c r="J29" s="33"/>
      <c r="K29" s="17">
        <v>35683.599999999999</v>
      </c>
      <c r="L29" s="33"/>
      <c r="M29" s="17">
        <v>37138.32</v>
      </c>
      <c r="N29" s="33"/>
      <c r="O29" s="17">
        <v>30665.52</v>
      </c>
      <c r="P29" s="33"/>
      <c r="Q29" s="33">
        <v>0.08</v>
      </c>
      <c r="R29" s="17">
        <v>27912.400000000001</v>
      </c>
      <c r="S29" s="33"/>
      <c r="T29" s="17">
        <v>29157.84</v>
      </c>
      <c r="U29" s="33"/>
      <c r="V29" s="17">
        <v>33108.639999999999</v>
      </c>
      <c r="W29" s="33"/>
      <c r="X29" s="17">
        <v>33258.879999999997</v>
      </c>
      <c r="Y29" s="33"/>
      <c r="Z29" s="33">
        <v>0.08</v>
      </c>
      <c r="AA29" s="17">
        <v>32770.959999999999</v>
      </c>
      <c r="AB29" s="33"/>
      <c r="AC29" s="17">
        <v>25030.639999999999</v>
      </c>
      <c r="AD29" s="33"/>
      <c r="AE29" s="17">
        <v>35050.959999999999</v>
      </c>
      <c r="AF29" s="33"/>
      <c r="AG29" s="17">
        <v>30009.600000000002</v>
      </c>
      <c r="AH29" s="33"/>
      <c r="AI29" s="17"/>
      <c r="AJ29" s="17">
        <v>27547.52</v>
      </c>
      <c r="AK29" s="17"/>
      <c r="AL29" s="17">
        <v>17718</v>
      </c>
      <c r="AM29" s="50"/>
    </row>
    <row r="30" spans="1:39">
      <c r="A30" s="56">
        <v>7.0000000000000007E-2</v>
      </c>
      <c r="C30" s="64" t="s">
        <v>18</v>
      </c>
      <c r="D30" s="49">
        <v>26174.050000000003</v>
      </c>
      <c r="E30" s="33"/>
      <c r="F30" s="17">
        <f>F13*A30</f>
        <v>32435.130000000005</v>
      </c>
      <c r="G30" s="33"/>
      <c r="H30" s="33"/>
      <c r="I30" s="17">
        <f>I13*A30</f>
        <v>33940.060000000005</v>
      </c>
      <c r="J30" s="33"/>
      <c r="K30" s="17">
        <v>31223.15</v>
      </c>
      <c r="L30" s="33"/>
      <c r="M30" s="17">
        <v>32496.030000000002</v>
      </c>
      <c r="N30" s="33"/>
      <c r="O30" s="17">
        <v>26832.33</v>
      </c>
      <c r="P30" s="33"/>
      <c r="Q30" s="33">
        <v>7.0000000000000007E-2</v>
      </c>
      <c r="R30" s="17">
        <v>24423.350000000002</v>
      </c>
      <c r="S30" s="33"/>
      <c r="T30" s="17">
        <v>25513.110000000004</v>
      </c>
      <c r="U30" s="33"/>
      <c r="V30" s="17">
        <v>28970.06</v>
      </c>
      <c r="W30" s="33"/>
      <c r="X30" s="17">
        <v>29101.520000000004</v>
      </c>
      <c r="Y30" s="33"/>
      <c r="Z30" s="33">
        <v>7.0000000000000007E-2</v>
      </c>
      <c r="AA30" s="17">
        <v>28674.590000000004</v>
      </c>
      <c r="AB30" s="33"/>
      <c r="AC30" s="17">
        <v>21901.81</v>
      </c>
      <c r="AD30" s="33"/>
      <c r="AE30" s="17">
        <v>30669.590000000004</v>
      </c>
      <c r="AF30" s="33"/>
      <c r="AG30" s="17">
        <v>26258.400000000001</v>
      </c>
      <c r="AH30" s="33"/>
      <c r="AI30" s="17"/>
      <c r="AJ30" s="17">
        <v>24104.080000000002</v>
      </c>
      <c r="AK30" s="17"/>
      <c r="AL30" s="17">
        <v>15503.250000000002</v>
      </c>
      <c r="AM30" s="50"/>
    </row>
    <row r="31" spans="1:39">
      <c r="A31" s="56">
        <v>7.0000000000000007E-2</v>
      </c>
      <c r="C31" s="64" t="s">
        <v>19</v>
      </c>
      <c r="D31" s="49">
        <v>26174.050000000003</v>
      </c>
      <c r="E31" s="33"/>
      <c r="F31" s="17">
        <f>F13*A31</f>
        <v>32435.130000000005</v>
      </c>
      <c r="G31" s="33"/>
      <c r="H31" s="33"/>
      <c r="I31" s="17">
        <f>I13*A31</f>
        <v>33940.060000000005</v>
      </c>
      <c r="J31" s="33"/>
      <c r="K31" s="17">
        <v>31223.15</v>
      </c>
      <c r="L31" s="33"/>
      <c r="M31" s="17">
        <v>32496.030000000002</v>
      </c>
      <c r="N31" s="33"/>
      <c r="O31" s="17">
        <v>26832.33</v>
      </c>
      <c r="P31" s="33"/>
      <c r="Q31" s="33">
        <v>7.0000000000000007E-2</v>
      </c>
      <c r="R31" s="17">
        <v>24423.350000000002</v>
      </c>
      <c r="S31" s="33"/>
      <c r="T31" s="17">
        <v>25513.110000000004</v>
      </c>
      <c r="U31" s="33"/>
      <c r="V31" s="17">
        <v>28970.06</v>
      </c>
      <c r="W31" s="33"/>
      <c r="X31" s="17">
        <v>29101.520000000004</v>
      </c>
      <c r="Y31" s="33"/>
      <c r="Z31" s="33">
        <v>7.0000000000000007E-2</v>
      </c>
      <c r="AA31" s="17">
        <v>28674.590000000004</v>
      </c>
      <c r="AB31" s="33"/>
      <c r="AC31" s="17">
        <v>21901.81</v>
      </c>
      <c r="AD31" s="33"/>
      <c r="AE31" s="17">
        <v>30669.590000000004</v>
      </c>
      <c r="AF31" s="33"/>
      <c r="AG31" s="17">
        <v>26258.400000000001</v>
      </c>
      <c r="AH31" s="33"/>
      <c r="AI31" s="17"/>
      <c r="AJ31" s="17">
        <v>24104.080000000002</v>
      </c>
      <c r="AK31" s="17"/>
      <c r="AL31" s="17">
        <v>15503.250000000002</v>
      </c>
      <c r="AM31" s="50"/>
    </row>
    <row r="32" spans="1:39">
      <c r="A32" s="56">
        <v>0.06</v>
      </c>
      <c r="C32" s="64" t="s">
        <v>20</v>
      </c>
      <c r="D32" s="49">
        <v>22434.899999999998</v>
      </c>
      <c r="E32" s="33"/>
      <c r="F32" s="17">
        <f>F13*A32</f>
        <v>27801.539999999997</v>
      </c>
      <c r="G32" s="33"/>
      <c r="H32" s="33"/>
      <c r="I32" s="17">
        <f>I13*A32</f>
        <v>29091.48</v>
      </c>
      <c r="J32" s="33"/>
      <c r="K32" s="17">
        <v>26762.7</v>
      </c>
      <c r="L32" s="33"/>
      <c r="M32" s="17">
        <v>27853.739999999998</v>
      </c>
      <c r="N32" s="33"/>
      <c r="O32" s="17">
        <v>22999.14</v>
      </c>
      <c r="P32" s="33"/>
      <c r="Q32" s="33">
        <v>0.06</v>
      </c>
      <c r="R32" s="17">
        <v>20934.3</v>
      </c>
      <c r="S32" s="33"/>
      <c r="T32" s="17">
        <v>21868.379999999997</v>
      </c>
      <c r="U32" s="33"/>
      <c r="V32" s="17">
        <v>24831.48</v>
      </c>
      <c r="W32" s="33"/>
      <c r="X32" s="17">
        <v>24944.16</v>
      </c>
      <c r="Y32" s="33"/>
      <c r="Z32" s="33">
        <v>0.06</v>
      </c>
      <c r="AA32" s="17">
        <v>24578.219999999998</v>
      </c>
      <c r="AB32" s="33"/>
      <c r="AC32" s="17">
        <v>18772.98</v>
      </c>
      <c r="AD32" s="33"/>
      <c r="AE32" s="17">
        <v>26288.219999999998</v>
      </c>
      <c r="AF32" s="33"/>
      <c r="AG32" s="17">
        <v>22507.200000000001</v>
      </c>
      <c r="AH32" s="33"/>
      <c r="AI32" s="17"/>
      <c r="AJ32" s="17">
        <v>20660.64</v>
      </c>
      <c r="AK32" s="17"/>
      <c r="AL32" s="17">
        <v>13288.5</v>
      </c>
      <c r="AM32" s="50"/>
    </row>
    <row r="33" spans="1:39">
      <c r="A33" s="56">
        <v>0.06</v>
      </c>
      <c r="C33" s="64" t="s">
        <v>21</v>
      </c>
      <c r="D33" s="49">
        <v>22434.899999999998</v>
      </c>
      <c r="E33" s="33"/>
      <c r="F33" s="17">
        <f>F13*A33</f>
        <v>27801.539999999997</v>
      </c>
      <c r="G33" s="33"/>
      <c r="H33" s="33"/>
      <c r="I33" s="17">
        <f>I13*A33</f>
        <v>29091.48</v>
      </c>
      <c r="J33" s="33"/>
      <c r="K33" s="17">
        <v>26762.7</v>
      </c>
      <c r="L33" s="33"/>
      <c r="M33" s="17">
        <v>27853.739999999998</v>
      </c>
      <c r="N33" s="33"/>
      <c r="O33" s="17">
        <v>22999.14</v>
      </c>
      <c r="P33" s="33"/>
      <c r="Q33" s="33">
        <v>0.06</v>
      </c>
      <c r="R33" s="17">
        <v>20934.3</v>
      </c>
      <c r="S33" s="33"/>
      <c r="T33" s="17">
        <v>21868.379999999997</v>
      </c>
      <c r="U33" s="33"/>
      <c r="V33" s="17">
        <v>24831.48</v>
      </c>
      <c r="W33" s="33"/>
      <c r="X33" s="17">
        <v>24944.16</v>
      </c>
      <c r="Y33" s="33"/>
      <c r="Z33" s="33">
        <v>0.06</v>
      </c>
      <c r="AA33" s="17">
        <v>24578.219999999998</v>
      </c>
      <c r="AB33" s="33"/>
      <c r="AC33" s="17">
        <v>18772.98</v>
      </c>
      <c r="AD33" s="33"/>
      <c r="AE33" s="17">
        <v>26288.219999999998</v>
      </c>
      <c r="AF33" s="33"/>
      <c r="AG33" s="17">
        <v>22507.200000000001</v>
      </c>
      <c r="AH33" s="33"/>
      <c r="AI33" s="17"/>
      <c r="AJ33" s="17">
        <v>20660.64</v>
      </c>
      <c r="AK33" s="17"/>
      <c r="AL33" s="17">
        <v>13288.5</v>
      </c>
      <c r="AM33" s="50"/>
    </row>
    <row r="34" spans="1:39">
      <c r="A34" s="56">
        <v>0.04</v>
      </c>
      <c r="C34" s="64" t="s">
        <v>22</v>
      </c>
      <c r="D34" s="49">
        <v>14956.6</v>
      </c>
      <c r="E34" s="33"/>
      <c r="F34" s="17">
        <f>F13*A34</f>
        <v>18534.36</v>
      </c>
      <c r="G34" s="33"/>
      <c r="H34" s="33"/>
      <c r="I34" s="17">
        <f>I13*A34</f>
        <v>19394.32</v>
      </c>
      <c r="J34" s="33"/>
      <c r="K34" s="17">
        <v>17841.8</v>
      </c>
      <c r="L34" s="33"/>
      <c r="M34" s="17">
        <v>18569.16</v>
      </c>
      <c r="N34" s="33"/>
      <c r="O34" s="17">
        <v>15332.76</v>
      </c>
      <c r="P34" s="33"/>
      <c r="Q34" s="33">
        <v>0.04</v>
      </c>
      <c r="R34" s="17">
        <v>13956.2</v>
      </c>
      <c r="S34" s="33"/>
      <c r="T34" s="17">
        <v>14578.92</v>
      </c>
      <c r="U34" s="33"/>
      <c r="V34" s="17">
        <v>16554.32</v>
      </c>
      <c r="W34" s="33"/>
      <c r="X34" s="17">
        <v>16629.439999999999</v>
      </c>
      <c r="Y34" s="33"/>
      <c r="Z34" s="33">
        <v>0.04</v>
      </c>
      <c r="AA34" s="17">
        <v>16385.48</v>
      </c>
      <c r="AB34" s="33"/>
      <c r="AC34" s="17">
        <v>12515.32</v>
      </c>
      <c r="AD34" s="33"/>
      <c r="AE34" s="17">
        <v>17525.48</v>
      </c>
      <c r="AF34" s="33"/>
      <c r="AG34" s="17">
        <v>15004.800000000001</v>
      </c>
      <c r="AH34" s="33"/>
      <c r="AI34" s="17"/>
      <c r="AJ34" s="17">
        <v>13773.76</v>
      </c>
      <c r="AK34" s="17"/>
      <c r="AL34" s="17">
        <v>8859</v>
      </c>
      <c r="AM34" s="50"/>
    </row>
    <row r="35" spans="1:39">
      <c r="A35" s="56">
        <v>0.04</v>
      </c>
      <c r="C35" s="64" t="s">
        <v>23</v>
      </c>
      <c r="D35" s="49">
        <v>14956.6</v>
      </c>
      <c r="E35" s="33"/>
      <c r="F35" s="17">
        <f>F13*A35</f>
        <v>18534.36</v>
      </c>
      <c r="G35" s="33"/>
      <c r="H35" s="33"/>
      <c r="I35" s="17">
        <f>I13*A36</f>
        <v>19394.32</v>
      </c>
      <c r="J35" s="33"/>
      <c r="K35" s="17">
        <v>17841.8</v>
      </c>
      <c r="L35" s="33"/>
      <c r="M35" s="17">
        <v>18569.16</v>
      </c>
      <c r="N35" s="33"/>
      <c r="O35" s="17">
        <v>15332.76</v>
      </c>
      <c r="P35" s="33"/>
      <c r="Q35" s="33">
        <v>0.04</v>
      </c>
      <c r="R35" s="17">
        <v>13956.2</v>
      </c>
      <c r="S35" s="33"/>
      <c r="T35" s="17">
        <v>14578.92</v>
      </c>
      <c r="U35" s="33"/>
      <c r="V35" s="17">
        <v>16554.32</v>
      </c>
      <c r="W35" s="33"/>
      <c r="X35" s="17">
        <v>16629.439999999999</v>
      </c>
      <c r="Y35" s="33"/>
      <c r="Z35" s="33">
        <v>0.04</v>
      </c>
      <c r="AA35" s="17">
        <v>16385.48</v>
      </c>
      <c r="AB35" s="33"/>
      <c r="AC35" s="17">
        <v>12515.32</v>
      </c>
      <c r="AD35" s="33"/>
      <c r="AE35" s="17">
        <v>17525.48</v>
      </c>
      <c r="AF35" s="33"/>
      <c r="AG35" s="17">
        <v>15004.800000000001</v>
      </c>
      <c r="AH35" s="33"/>
      <c r="AI35" s="17"/>
      <c r="AJ35" s="17">
        <v>13773.76</v>
      </c>
      <c r="AK35" s="17"/>
      <c r="AL35" s="17">
        <v>8859</v>
      </c>
      <c r="AM35" s="50"/>
    </row>
    <row r="36" spans="1:39">
      <c r="A36" s="56">
        <v>0.04</v>
      </c>
      <c r="C36" s="64" t="s">
        <v>24</v>
      </c>
      <c r="D36" s="49">
        <v>14956.6</v>
      </c>
      <c r="E36" s="33"/>
      <c r="F36" s="17">
        <f>F13*A36</f>
        <v>18534.36</v>
      </c>
      <c r="G36" s="33"/>
      <c r="H36" s="33"/>
      <c r="I36" s="17">
        <f>I13*A38</f>
        <v>19394.32</v>
      </c>
      <c r="J36" s="33"/>
      <c r="K36" s="17">
        <v>17841.8</v>
      </c>
      <c r="L36" s="33"/>
      <c r="M36" s="17">
        <v>18569.16</v>
      </c>
      <c r="N36" s="33"/>
      <c r="O36" s="17">
        <v>15332.76</v>
      </c>
      <c r="P36" s="33"/>
      <c r="Q36" s="33">
        <v>0.04</v>
      </c>
      <c r="R36" s="17">
        <v>13956.2</v>
      </c>
      <c r="S36" s="33"/>
      <c r="T36" s="17">
        <v>14578.92</v>
      </c>
      <c r="U36" s="33"/>
      <c r="V36" s="17">
        <v>16554.32</v>
      </c>
      <c r="W36" s="33"/>
      <c r="X36" s="17">
        <v>16629.439999999999</v>
      </c>
      <c r="Y36" s="33"/>
      <c r="Z36" s="33">
        <v>0.04</v>
      </c>
      <c r="AA36" s="17">
        <v>16385.48</v>
      </c>
      <c r="AB36" s="33"/>
      <c r="AC36" s="17">
        <v>12515.32</v>
      </c>
      <c r="AD36" s="33"/>
      <c r="AE36" s="17">
        <v>17525.48</v>
      </c>
      <c r="AF36" s="33"/>
      <c r="AG36" s="17">
        <v>15004.800000000001</v>
      </c>
      <c r="AH36" s="33"/>
      <c r="AI36" s="17"/>
      <c r="AJ36" s="17">
        <v>13773.76</v>
      </c>
      <c r="AK36" s="17"/>
      <c r="AL36" s="17">
        <v>8859</v>
      </c>
      <c r="AM36" s="50"/>
    </row>
    <row r="37" spans="1:39">
      <c r="A37" s="56">
        <v>0.04</v>
      </c>
      <c r="C37" s="64" t="s">
        <v>25</v>
      </c>
      <c r="D37" s="49">
        <v>14956.6</v>
      </c>
      <c r="E37" s="33"/>
      <c r="F37" s="17">
        <f>F13*A37</f>
        <v>18534.36</v>
      </c>
      <c r="G37" s="33"/>
      <c r="H37" s="33"/>
      <c r="I37" s="17">
        <f>I13*A39</f>
        <v>19394.32</v>
      </c>
      <c r="J37" s="33"/>
      <c r="K37" s="17">
        <v>17841.8</v>
      </c>
      <c r="L37" s="33"/>
      <c r="M37" s="17">
        <v>18569.16</v>
      </c>
      <c r="N37" s="33"/>
      <c r="O37" s="17">
        <v>15332.76</v>
      </c>
      <c r="P37" s="33"/>
      <c r="Q37" s="33">
        <v>0.04</v>
      </c>
      <c r="R37" s="17">
        <v>13956.2</v>
      </c>
      <c r="S37" s="33"/>
      <c r="T37" s="17">
        <v>14578.92</v>
      </c>
      <c r="U37" s="33"/>
      <c r="V37" s="17">
        <v>16554.32</v>
      </c>
      <c r="W37" s="33"/>
      <c r="X37" s="17">
        <v>16629.439999999999</v>
      </c>
      <c r="Y37" s="33"/>
      <c r="Z37" s="33">
        <v>0.04</v>
      </c>
      <c r="AA37" s="17">
        <v>16385.48</v>
      </c>
      <c r="AB37" s="33"/>
      <c r="AC37" s="17">
        <v>12515.32</v>
      </c>
      <c r="AD37" s="33"/>
      <c r="AE37" s="17">
        <v>17525.48</v>
      </c>
      <c r="AF37" s="33"/>
      <c r="AG37" s="17">
        <v>15004.800000000001</v>
      </c>
      <c r="AH37" s="33"/>
      <c r="AI37" s="17"/>
      <c r="AJ37" s="17">
        <v>13773.76</v>
      </c>
      <c r="AK37" s="17"/>
      <c r="AL37" s="17">
        <v>8859</v>
      </c>
      <c r="AM37" s="50"/>
    </row>
    <row r="38" spans="1:39">
      <c r="A38" s="56">
        <v>0.04</v>
      </c>
      <c r="C38" s="64" t="s">
        <v>26</v>
      </c>
      <c r="D38" s="49">
        <v>14956.6</v>
      </c>
      <c r="E38" s="33"/>
      <c r="F38" s="17">
        <f>F13*A38</f>
        <v>18534.36</v>
      </c>
      <c r="G38" s="33"/>
      <c r="H38" s="33"/>
      <c r="I38" s="17">
        <f>I13*A39</f>
        <v>19394.32</v>
      </c>
      <c r="J38" s="33"/>
      <c r="K38" s="17">
        <v>17841.8</v>
      </c>
      <c r="L38" s="33"/>
      <c r="M38" s="17">
        <v>18569.16</v>
      </c>
      <c r="N38" s="33"/>
      <c r="O38" s="17">
        <v>15332.76</v>
      </c>
      <c r="P38" s="33"/>
      <c r="Q38" s="33">
        <v>0.04</v>
      </c>
      <c r="R38" s="17">
        <v>13956.2</v>
      </c>
      <c r="S38" s="33"/>
      <c r="T38" s="17">
        <v>14578.92</v>
      </c>
      <c r="U38" s="33"/>
      <c r="V38" s="17">
        <v>16554.32</v>
      </c>
      <c r="W38" s="33"/>
      <c r="X38" s="17">
        <v>16629.439999999999</v>
      </c>
      <c r="Y38" s="33"/>
      <c r="Z38" s="33">
        <v>0.04</v>
      </c>
      <c r="AA38" s="17">
        <v>16385.48</v>
      </c>
      <c r="AB38" s="33"/>
      <c r="AC38" s="17">
        <v>12515.32</v>
      </c>
      <c r="AD38" s="33"/>
      <c r="AE38" s="17">
        <v>17525.48</v>
      </c>
      <c r="AF38" s="33"/>
      <c r="AG38" s="17">
        <v>15004.800000000001</v>
      </c>
      <c r="AH38" s="33"/>
      <c r="AI38" s="17"/>
      <c r="AJ38" s="17">
        <v>13773.76</v>
      </c>
      <c r="AK38" s="17"/>
      <c r="AL38" s="17">
        <v>8859</v>
      </c>
      <c r="AM38" s="50"/>
    </row>
    <row r="39" spans="1:39">
      <c r="A39" s="56">
        <v>0.04</v>
      </c>
      <c r="C39" s="64" t="s">
        <v>27</v>
      </c>
      <c r="D39" s="49">
        <v>14956.6</v>
      </c>
      <c r="E39" s="33"/>
      <c r="F39" s="17">
        <f>F13*A39</f>
        <v>18534.36</v>
      </c>
      <c r="G39" s="33"/>
      <c r="H39" s="33"/>
      <c r="I39" s="17">
        <f>I13*A40</f>
        <v>19394.32</v>
      </c>
      <c r="J39" s="33"/>
      <c r="K39" s="17">
        <v>17841.8</v>
      </c>
      <c r="L39" s="33"/>
      <c r="M39" s="17">
        <v>18569.16</v>
      </c>
      <c r="N39" s="33"/>
      <c r="O39" s="17">
        <v>15332.76</v>
      </c>
      <c r="P39" s="33"/>
      <c r="Q39" s="33">
        <v>0.04</v>
      </c>
      <c r="R39" s="17">
        <v>13956.2</v>
      </c>
      <c r="S39" s="33"/>
      <c r="T39" s="17">
        <v>14578.92</v>
      </c>
      <c r="U39" s="33"/>
      <c r="V39" s="17">
        <v>16554.32</v>
      </c>
      <c r="W39" s="33"/>
      <c r="X39" s="17">
        <v>16629.439999999999</v>
      </c>
      <c r="Y39" s="33"/>
      <c r="Z39" s="33">
        <v>0.04</v>
      </c>
      <c r="AA39" s="17">
        <v>16385.48</v>
      </c>
      <c r="AB39" s="33"/>
      <c r="AC39" s="17">
        <v>12515.32</v>
      </c>
      <c r="AD39" s="33"/>
      <c r="AE39" s="17">
        <v>17525.48</v>
      </c>
      <c r="AF39" s="33"/>
      <c r="AG39" s="17">
        <v>15004.800000000001</v>
      </c>
      <c r="AH39" s="33"/>
      <c r="AI39" s="17"/>
      <c r="AJ39" s="17">
        <v>13773.76</v>
      </c>
      <c r="AK39" s="17"/>
      <c r="AL39" s="17">
        <v>8859</v>
      </c>
      <c r="AM39" s="50"/>
    </row>
    <row r="40" spans="1:39" ht="18.75" thickBot="1">
      <c r="A40" s="56">
        <v>0.04</v>
      </c>
      <c r="C40" s="65" t="s">
        <v>28</v>
      </c>
      <c r="D40" s="51">
        <v>14956.6</v>
      </c>
      <c r="E40" s="29"/>
      <c r="F40" s="30">
        <f>F13*A40</f>
        <v>18534.36</v>
      </c>
      <c r="G40" s="29"/>
      <c r="H40" s="29"/>
      <c r="I40" s="30">
        <f>I39</f>
        <v>19394.32</v>
      </c>
      <c r="J40" s="29"/>
      <c r="K40" s="30">
        <v>17841.8</v>
      </c>
      <c r="L40" s="29"/>
      <c r="M40" s="30">
        <v>18569.16</v>
      </c>
      <c r="N40" s="29"/>
      <c r="O40" s="30">
        <v>15332.76</v>
      </c>
      <c r="P40" s="29"/>
      <c r="Q40" s="29">
        <v>0.04</v>
      </c>
      <c r="R40" s="30">
        <v>13956.2</v>
      </c>
      <c r="S40" s="29"/>
      <c r="T40" s="30">
        <v>14578.92</v>
      </c>
      <c r="U40" s="29"/>
      <c r="V40" s="30">
        <v>16554.32</v>
      </c>
      <c r="W40" s="29"/>
      <c r="X40" s="30">
        <v>16629.439999999999</v>
      </c>
      <c r="Y40" s="29"/>
      <c r="Z40" s="29">
        <v>0.04</v>
      </c>
      <c r="AA40" s="30">
        <v>16385.48</v>
      </c>
      <c r="AB40" s="29"/>
      <c r="AC40" s="30">
        <v>12515.32</v>
      </c>
      <c r="AD40" s="29"/>
      <c r="AE40" s="30">
        <v>17525.48</v>
      </c>
      <c r="AF40" s="29"/>
      <c r="AG40" s="30">
        <v>15004.800000000001</v>
      </c>
      <c r="AH40" s="29"/>
      <c r="AI40" s="30"/>
      <c r="AJ40" s="30">
        <v>13773.76</v>
      </c>
      <c r="AK40" s="30"/>
      <c r="AL40" s="30">
        <v>8859</v>
      </c>
      <c r="AM40" s="52"/>
    </row>
    <row r="41" spans="1:39">
      <c r="B41" s="53" t="s">
        <v>11</v>
      </c>
    </row>
    <row r="44" spans="1:39">
      <c r="D44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Maddox</dc:creator>
  <cp:lastModifiedBy>tim.anderson@commissionkings.ag</cp:lastModifiedBy>
  <dcterms:created xsi:type="dcterms:W3CDTF">2025-06-16T23:01:26Z</dcterms:created>
  <dcterms:modified xsi:type="dcterms:W3CDTF">2025-07-08T15:22:05Z</dcterms:modified>
</cp:coreProperties>
</file>