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itspty\citrixupm$\UserData\tm\Desktop\Media Reports - May - 25\"/>
    </mc:Choice>
  </mc:AlternateContent>
  <xr:revisionPtr revIDLastSave="0" documentId="8_{CC1B18BB-4374-477D-82E5-4D84C102C5A3}" xr6:coauthVersionLast="47" xr6:coauthVersionMax="47" xr10:uidLastSave="{00000000-0000-0000-0000-000000000000}"/>
  <bookViews>
    <workbookView xWindow="-120" yWindow="-120" windowWidth="21780" windowHeight="11190" xr2:uid="{2E2AF8A1-3EDE-8A41-81D9-1407A26249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" i="1" l="1"/>
  <c r="U18" i="1" s="1"/>
  <c r="S16" i="1"/>
  <c r="S18" i="1" s="1"/>
  <c r="AR12" i="1"/>
  <c r="AR23" i="1" s="1" a="1"/>
  <c r="AR23" i="1" s="1"/>
  <c r="AP12" i="1"/>
  <c r="AP23" i="1" s="1" a="1"/>
  <c r="AP23" i="1" s="1"/>
  <c r="AM12" i="1"/>
  <c r="AM23" i="1" s="1" a="1"/>
  <c r="AM23" i="1" s="1"/>
  <c r="AK12" i="1"/>
  <c r="AK23" i="1" s="1" a="1"/>
  <c r="AK23" i="1" s="1"/>
  <c r="AH12" i="1"/>
  <c r="AH23" i="1" s="1" a="1"/>
  <c r="AH23" i="1" s="1"/>
  <c r="AF12" i="1"/>
  <c r="AF23" i="1" s="1" a="1"/>
  <c r="AF23" i="1" s="1"/>
  <c r="AD12" i="1"/>
  <c r="AD23" i="1" s="1" a="1"/>
  <c r="AD23" i="1" s="1"/>
  <c r="AB12" i="1"/>
  <c r="AB23" i="1" s="1" a="1"/>
  <c r="AB23" i="1" s="1"/>
  <c r="Y12" i="1"/>
  <c r="Y23" i="1" s="1" a="1"/>
  <c r="Y23" i="1" s="1"/>
  <c r="W12" i="1"/>
  <c r="W23" i="1" s="1" a="1"/>
  <c r="W23" i="1" s="1"/>
  <c r="U12" i="1"/>
  <c r="U23" i="1" s="1" a="1"/>
  <c r="U23" i="1" s="1"/>
  <c r="S12" i="1"/>
  <c r="S23" i="1" s="1" a="1"/>
  <c r="S23" i="1" s="1"/>
  <c r="P12" i="1"/>
  <c r="P23" i="1" s="1" a="1"/>
  <c r="P23" i="1" s="1"/>
  <c r="N12" i="1"/>
  <c r="N23" i="1" s="1" a="1"/>
  <c r="N23" i="1" s="1"/>
  <c r="L12" i="1"/>
  <c r="L23" i="1" s="1" a="1"/>
  <c r="L23" i="1" s="1"/>
  <c r="J12" i="1"/>
  <c r="J23" i="1" s="1" a="1"/>
  <c r="J23" i="1" s="1"/>
  <c r="G12" i="1"/>
  <c r="G23" i="1" s="1" a="1"/>
  <c r="G23" i="1" s="1"/>
  <c r="E12" i="1"/>
  <c r="E23" i="1" s="1" a="1"/>
  <c r="E23" i="1" s="1"/>
  <c r="W16" i="1" l="1"/>
  <c r="W18" i="1" s="1"/>
  <c r="AB16" i="1"/>
  <c r="AB18" i="1" s="1"/>
  <c r="AH16" i="1"/>
  <c r="AH18" i="1" s="1"/>
  <c r="AM16" i="1"/>
  <c r="AM18" i="1" s="1"/>
  <c r="L16" i="1"/>
  <c r="L18" i="1" s="1"/>
  <c r="AD16" i="1"/>
  <c r="AD18" i="1" s="1"/>
  <c r="N16" i="1"/>
  <c r="N18" i="1" s="1"/>
  <c r="Y16" i="1"/>
  <c r="Y18" i="1" s="1"/>
  <c r="AF16" i="1"/>
  <c r="AF18" i="1" s="1"/>
  <c r="AK16" i="1"/>
  <c r="AK18" i="1" s="1"/>
  <c r="E16" i="1"/>
  <c r="AP16" i="1"/>
  <c r="AP18" i="1" s="1"/>
  <c r="G16" i="1"/>
  <c r="G18" i="1" s="1"/>
  <c r="AR16" i="1"/>
  <c r="AR18" i="1" s="1"/>
  <c r="J16" i="1"/>
  <c r="J18" i="1" s="1"/>
  <c r="P16" i="1"/>
  <c r="P18" i="1" s="1"/>
  <c r="AS16" i="1" l="1"/>
  <c r="AS18" i="1" s="1"/>
  <c r="E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<sst xmlns="http://schemas.openxmlformats.org/spreadsheetml/2006/main" count="133" uniqueCount="34">
  <si>
    <t>Betonline Delviery 2/1-2/28</t>
  </si>
  <si>
    <t>Impressions</t>
  </si>
  <si>
    <t>Completion %</t>
  </si>
  <si>
    <t xml:space="preserve">ESPN - </t>
  </si>
  <si>
    <t xml:space="preserve">Fox Sports - </t>
  </si>
  <si>
    <t>CBS Sports -</t>
  </si>
  <si>
    <t xml:space="preserve">RSN Live Games </t>
  </si>
  <si>
    <t xml:space="preserve">SB Nation </t>
  </si>
  <si>
    <t xml:space="preserve">Big 10 Network - </t>
  </si>
  <si>
    <t xml:space="preserve">ACC Network - </t>
  </si>
  <si>
    <t xml:space="preserve">SEC Network - </t>
  </si>
  <si>
    <t xml:space="preserve"> </t>
  </si>
  <si>
    <t>California</t>
  </si>
  <si>
    <t>Texas</t>
  </si>
  <si>
    <t>Florida</t>
  </si>
  <si>
    <t>Ohio</t>
  </si>
  <si>
    <t>Georgia</t>
  </si>
  <si>
    <t>North Carolina</t>
  </si>
  <si>
    <t>Virginia</t>
  </si>
  <si>
    <t>Missouri</t>
  </si>
  <si>
    <t>Maryland</t>
  </si>
  <si>
    <t>South Carolina</t>
  </si>
  <si>
    <t>Alabama</t>
  </si>
  <si>
    <t>Louisiana</t>
  </si>
  <si>
    <t>Kentucky</t>
  </si>
  <si>
    <t>Utah</t>
  </si>
  <si>
    <t>Arkansas</t>
  </si>
  <si>
    <t>Mississippi</t>
  </si>
  <si>
    <t xml:space="preserve">BOL Spend vs BOL Media Value </t>
  </si>
  <si>
    <t xml:space="preserve">BOL Actual Cost </t>
  </si>
  <si>
    <t xml:space="preserve">BOL Savings / added value </t>
  </si>
  <si>
    <t xml:space="preserve">Delivery By State </t>
  </si>
  <si>
    <t xml:space="preserve">Delivery BY Platform </t>
  </si>
  <si>
    <t xml:space="preserve">Market Value of Media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</si>
</sst>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4"/>
      <color rgb="FF000000"/>
      <name val="Arial"/>
      <family val="2"/>
    </font>
    <font>
      <sz val="14"/>
      <color theme="0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9"/>
      <name val="Aptos Narrow"/>
      <family val="2"/>
      <scheme val="minor"/>
    </font>
    <font>
      <sz val="14"/>
      <color theme="4" tint="0.39997558519241921"/>
      <name val="Aptos Narrow"/>
      <family val="2"/>
      <scheme val="minor"/>
    </font>
    <font>
      <b/>
      <sz val="14"/>
      <color theme="0"/>
      <name val="Arial"/>
      <family val="2"/>
    </font>
    <font>
      <sz val="14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8">
    <xf numFmtId="0" fontId="0" fillId="0" borderId="0" xfId="0"/>
    <xf numFmtId="164" fontId="2" fillId="0" borderId="0" xfId="1" applyNumberFormat="1" applyFont="1"/>
    <xf numFmtId="9" fontId="2" fillId="0" borderId="0" xfId="2" applyFont="1"/>
    <xf numFmtId="14" fontId="2" fillId="0" borderId="1" xfId="1" applyNumberFormat="1" applyFont="1" applyBorder="1" applyAlignment="1">
      <alignment horizontal="center"/>
    </xf>
    <xf numFmtId="14" fontId="2" fillId="0" borderId="2" xfId="1" applyNumberFormat="1" applyFont="1" applyBorder="1" applyAlignment="1">
      <alignment horizontal="center"/>
    </xf>
    <xf numFmtId="14" fontId="2" fillId="0" borderId="2" xfId="2" applyNumberFormat="1" applyFont="1" applyBorder="1" applyAlignment="1">
      <alignment horizontal="center"/>
    </xf>
    <xf numFmtId="14" fontId="2" fillId="0" borderId="3" xfId="2" applyNumberFormat="1" applyFont="1" applyBorder="1" applyAlignment="1">
      <alignment horizontal="center"/>
    </xf>
    <xf numFmtId="14" fontId="2" fillId="0" borderId="0" xfId="2" applyNumberFormat="1" applyFont="1" applyAlignment="1">
      <alignment horizontal="center"/>
    </xf>
    <xf numFmtId="9" fontId="2" fillId="0" borderId="2" xfId="2" applyFont="1" applyBorder="1" applyAlignment="1">
      <alignment horizontal="center"/>
    </xf>
    <xf numFmtId="9" fontId="2" fillId="0" borderId="3" xfId="2" applyFont="1" applyBorder="1" applyAlignment="1">
      <alignment horizontal="center"/>
    </xf>
    <xf numFmtId="14" fontId="2" fillId="0" borderId="0" xfId="1" applyNumberFormat="1" applyFont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164" fontId="3" fillId="0" borderId="5" xfId="1" applyNumberFormat="1" applyFont="1" applyBorder="1" applyAlignment="1">
      <alignment horizontal="center"/>
    </xf>
    <xf numFmtId="9" fontId="3" fillId="2" borderId="5" xfId="2" applyFont="1" applyFill="1" applyBorder="1" applyAlignment="1">
      <alignment horizontal="center"/>
    </xf>
    <xf numFmtId="9" fontId="3" fillId="2" borderId="6" xfId="2" applyFont="1" applyFill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164" fontId="4" fillId="0" borderId="7" xfId="1" applyNumberFormat="1" applyFont="1" applyBorder="1"/>
    <xf numFmtId="164" fontId="2" fillId="0" borderId="0" xfId="1" applyNumberFormat="1" applyFont="1" applyBorder="1"/>
    <xf numFmtId="9" fontId="5" fillId="0" borderId="0" xfId="2" applyFont="1" applyBorder="1" applyAlignment="1"/>
    <xf numFmtId="9" fontId="5" fillId="0" borderId="8" xfId="2" applyFont="1" applyBorder="1" applyAlignment="1"/>
    <xf numFmtId="9" fontId="5" fillId="0" borderId="0" xfId="2" applyFont="1" applyAlignment="1"/>
    <xf numFmtId="164" fontId="2" fillId="0" borderId="7" xfId="1" applyNumberFormat="1" applyFont="1" applyBorder="1"/>
    <xf numFmtId="164" fontId="2" fillId="0" borderId="9" xfId="1" applyNumberFormat="1" applyFont="1" applyBorder="1"/>
    <xf numFmtId="164" fontId="2" fillId="0" borderId="4" xfId="1" applyNumberFormat="1" applyFont="1" applyBorder="1"/>
    <xf numFmtId="9" fontId="2" fillId="0" borderId="5" xfId="2" applyFont="1" applyBorder="1"/>
    <xf numFmtId="164" fontId="2" fillId="0" borderId="5" xfId="1" applyNumberFormat="1" applyFont="1" applyBorder="1"/>
    <xf numFmtId="9" fontId="2" fillId="0" borderId="6" xfId="2" applyFont="1" applyBorder="1"/>
    <xf numFmtId="164" fontId="2" fillId="0" borderId="6" xfId="1" applyNumberFormat="1" applyFont="1" applyBorder="1"/>
    <xf numFmtId="9" fontId="2" fillId="0" borderId="10" xfId="2" applyFont="1" applyBorder="1"/>
    <xf numFmtId="9" fontId="2" fillId="0" borderId="11" xfId="2" applyFont="1" applyBorder="1"/>
    <xf numFmtId="164" fontId="2" fillId="0" borderId="11" xfId="1" applyNumberFormat="1" applyFont="1" applyBorder="1"/>
    <xf numFmtId="164" fontId="2" fillId="0" borderId="10" xfId="2" applyNumberFormat="1" applyFont="1" applyBorder="1"/>
    <xf numFmtId="9" fontId="6" fillId="3" borderId="0" xfId="2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64" fontId="7" fillId="0" borderId="0" xfId="1" applyNumberFormat="1" applyFont="1" applyAlignment="1">
      <alignment horizontal="center"/>
    </xf>
    <xf numFmtId="44" fontId="2" fillId="0" borderId="12" xfId="3" applyFont="1" applyBorder="1"/>
    <xf numFmtId="44" fontId="8" fillId="0" borderId="13" xfId="3" applyFont="1" applyBorder="1"/>
    <xf numFmtId="44" fontId="2" fillId="0" borderId="13" xfId="3" applyFont="1" applyBorder="1"/>
    <xf numFmtId="164" fontId="2" fillId="0" borderId="14" xfId="1" applyNumberFormat="1" applyFont="1" applyBorder="1"/>
    <xf numFmtId="164" fontId="9" fillId="0" borderId="0" xfId="1" applyNumberFormat="1" applyFont="1"/>
    <xf numFmtId="44" fontId="9" fillId="0" borderId="13" xfId="3" applyFont="1" applyBorder="1"/>
    <xf numFmtId="9" fontId="6" fillId="0" borderId="0" xfId="2" applyFont="1"/>
    <xf numFmtId="14" fontId="6" fillId="0" borderId="0" xfId="2" applyNumberFormat="1" applyFont="1" applyAlignment="1">
      <alignment horizontal="center"/>
    </xf>
    <xf numFmtId="9" fontId="10" fillId="2" borderId="5" xfId="2" applyFont="1" applyFill="1" applyBorder="1" applyAlignment="1">
      <alignment horizontal="center"/>
    </xf>
    <xf numFmtId="9" fontId="11" fillId="0" borderId="0" xfId="2" applyFont="1" applyAlignment="1"/>
    <xf numFmtId="9" fontId="6" fillId="0" borderId="0" xfId="2" applyFont="1" applyAlignment="1">
      <alignment horizontal="center"/>
    </xf>
    <xf numFmtId="44" fontId="2" fillId="0" borderId="2" xfId="3" applyFont="1" applyBorder="1"/>
    <xf numFmtId="44" fontId="6" fillId="0" borderId="2" xfId="3" applyFont="1" applyBorder="1"/>
    <xf numFmtId="44" fontId="2" fillId="0" borderId="3" xfId="3" applyFont="1" applyBorder="1"/>
    <xf numFmtId="44" fontId="8" fillId="0" borderId="0" xfId="3" applyFont="1" applyBorder="1"/>
    <xf numFmtId="44" fontId="6" fillId="0" borderId="0" xfId="3" applyFont="1" applyBorder="1"/>
    <xf numFmtId="44" fontId="8" fillId="0" borderId="8" xfId="3" applyFont="1" applyBorder="1"/>
    <xf numFmtId="44" fontId="9" fillId="0" borderId="0" xfId="3" applyFont="1" applyBorder="1"/>
    <xf numFmtId="44" fontId="9" fillId="0" borderId="8" xfId="3" applyFont="1" applyBorder="1"/>
    <xf numFmtId="44" fontId="2" fillId="0" borderId="0" xfId="3" applyFont="1" applyBorder="1"/>
    <xf numFmtId="44" fontId="2" fillId="0" borderId="8" xfId="3" applyFont="1" applyBorder="1"/>
    <xf numFmtId="9" fontId="6" fillId="0" borderId="11" xfId="2" applyFont="1" applyBorder="1"/>
    <xf numFmtId="164" fontId="2" fillId="0" borderId="10" xfId="1" applyNumberFormat="1" applyFont="1" applyBorder="1"/>
    <xf numFmtId="164" fontId="2" fillId="0" borderId="2" xfId="1" applyNumberFormat="1" applyFont="1" applyBorder="1"/>
    <xf numFmtId="164" fontId="2" fillId="0" borderId="2" xfId="2" applyNumberFormat="1" applyFont="1" applyBorder="1"/>
    <xf numFmtId="9" fontId="6" fillId="3" borderId="2" xfId="2" applyFont="1" applyFill="1" applyBorder="1"/>
    <xf numFmtId="164" fontId="2" fillId="0" borderId="3" xfId="1" applyNumberFormat="1" applyFont="1" applyBorder="1"/>
    <xf numFmtId="9" fontId="2" fillId="0" borderId="0" xfId="2" applyFont="1" applyBorder="1"/>
    <xf numFmtId="164" fontId="2" fillId="0" borderId="8" xfId="1" applyNumberFormat="1" applyFont="1" applyBorder="1"/>
    <xf numFmtId="9" fontId="6" fillId="3" borderId="11" xfId="2" applyFont="1" applyFill="1" applyBorder="1"/>
    <xf numFmtId="14" fontId="7" fillId="0" borderId="1" xfId="1" applyNumberFormat="1" applyFont="1" applyBorder="1" applyAlignment="1">
      <alignment horizontal="center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E9974-814A-254C-BA0E-CB82A88609D5}">
  <dimension ref="C1:AS38"/>
  <sheetViews>
    <sheetView tabSelected="1" workbookViewId="0">
      <selection activeCell="B8" sqref="B8"/>
    </sheetView>
  </sheetViews>
  <sheetFormatPr defaultColWidth="8.77734375" defaultRowHeight="18"/>
  <cols>
    <col min="1" max="3" width="8.77734375" style="1"/>
    <col min="4" max="4" width="39.6640625" style="1" customWidth="1"/>
    <col min="5" max="5" width="22" style="1" customWidth="1"/>
    <col min="6" max="6" width="19" style="2" customWidth="1"/>
    <col min="7" max="7" width="29.33203125" style="1" customWidth="1"/>
    <col min="8" max="8" width="22.77734375" style="2" customWidth="1"/>
    <col min="9" max="9" width="13.44140625" style="2" customWidth="1"/>
    <col min="10" max="10" width="17.109375" style="1" customWidth="1"/>
    <col min="11" max="11" width="22.109375" style="2" customWidth="1"/>
    <col min="12" max="12" width="16.6640625" style="1" customWidth="1"/>
    <col min="13" max="13" width="22.33203125" style="2" customWidth="1"/>
    <col min="14" max="14" width="19.77734375" style="1" customWidth="1"/>
    <col min="15" max="15" width="19.109375" style="2" customWidth="1"/>
    <col min="16" max="16" width="18.6640625" style="1" customWidth="1"/>
    <col min="17" max="17" width="17.44140625" style="2" customWidth="1"/>
    <col min="18" max="18" width="13.44140625" style="43" customWidth="1"/>
    <col min="19" max="19" width="19.33203125" style="1" customWidth="1"/>
    <col min="20" max="20" width="22" style="2" customWidth="1"/>
    <col min="21" max="21" width="18" style="1" customWidth="1"/>
    <col min="22" max="22" width="22.6640625" style="2" customWidth="1"/>
    <col min="23" max="23" width="18.6640625" style="1" customWidth="1"/>
    <col min="24" max="24" width="23.77734375" style="2" customWidth="1"/>
    <col min="25" max="25" width="20.6640625" style="1" customWidth="1"/>
    <col min="26" max="26" width="20" style="2" customWidth="1"/>
    <col min="27" max="27" width="13.44140625" style="43" customWidth="1"/>
    <col min="28" max="28" width="17.6640625" style="1" customWidth="1"/>
    <col min="29" max="29" width="17.44140625" style="2" customWidth="1"/>
    <col min="30" max="30" width="19.33203125" style="1" customWidth="1"/>
    <col min="31" max="31" width="13.44140625" style="2" bestFit="1" customWidth="1"/>
    <col min="32" max="32" width="17.6640625" style="1" customWidth="1"/>
    <col min="33" max="33" width="13.44140625" style="2" bestFit="1" customWidth="1"/>
    <col min="34" max="34" width="16.109375" style="1" customWidth="1"/>
    <col min="35" max="35" width="18.77734375" style="2" customWidth="1"/>
    <col min="36" max="36" width="11.6640625" style="1" bestFit="1" customWidth="1"/>
    <col min="37" max="37" width="19.77734375" style="1" customWidth="1"/>
    <col min="38" max="38" width="17.109375" style="1" customWidth="1"/>
    <col min="39" max="39" width="16.77734375" style="1" customWidth="1"/>
    <col min="40" max="40" width="22.77734375" style="1" customWidth="1"/>
    <col min="41" max="41" width="9.44140625" style="1" bestFit="1" customWidth="1"/>
    <col min="42" max="42" width="22.6640625" style="1" customWidth="1"/>
    <col min="43" max="43" width="17.77734375" style="1" customWidth="1"/>
    <col min="44" max="44" width="22.109375" style="1" customWidth="1"/>
    <col min="45" max="45" width="17.33203125" style="1" customWidth="1"/>
    <col min="46" max="16384" width="8.77734375" style="1"/>
  </cols>
  <sheetData>
    <row r="1" spans="4:45" ht="18.75" thickBot="1"/>
    <row r="2" spans="4:45" s="10" customFormat="1" ht="18.75" thickBot="1">
      <c r="D2" s="67" t="s">
        <v>32</v>
      </c>
      <c r="E2" s="4">
        <v>45778</v>
      </c>
      <c r="F2" s="5"/>
      <c r="G2" s="4">
        <v>45779</v>
      </c>
      <c r="H2" s="6"/>
      <c r="I2" s="7"/>
      <c r="J2" s="3">
        <v>45780</v>
      </c>
      <c r="K2" s="5"/>
      <c r="L2" s="4">
        <v>45781</v>
      </c>
      <c r="M2" s="5"/>
      <c r="N2" s="4">
        <v>45785</v>
      </c>
      <c r="O2" s="5"/>
      <c r="P2" s="4">
        <v>45786</v>
      </c>
      <c r="Q2" s="6"/>
      <c r="R2" s="44"/>
      <c r="S2" s="3">
        <v>45787</v>
      </c>
      <c r="T2" s="5"/>
      <c r="U2" s="4">
        <v>45788</v>
      </c>
      <c r="V2" s="5"/>
      <c r="W2" s="4">
        <v>45792</v>
      </c>
      <c r="X2" s="8"/>
      <c r="Y2" s="4">
        <v>45793</v>
      </c>
      <c r="Z2" s="9"/>
      <c r="AA2" s="47"/>
      <c r="AB2" s="3">
        <v>45794</v>
      </c>
      <c r="AC2" s="8"/>
      <c r="AD2" s="4">
        <v>45795</v>
      </c>
      <c r="AE2" s="8"/>
      <c r="AF2" s="4">
        <v>45799</v>
      </c>
      <c r="AG2" s="8"/>
      <c r="AH2" s="4">
        <v>45800</v>
      </c>
      <c r="AI2" s="9"/>
      <c r="AK2" s="3">
        <v>45801</v>
      </c>
      <c r="AL2" s="5"/>
      <c r="AM2" s="4">
        <v>45802</v>
      </c>
      <c r="AN2" s="6"/>
      <c r="AP2" s="3">
        <v>45806</v>
      </c>
      <c r="AQ2" s="5"/>
      <c r="AR2" s="4">
        <v>45807</v>
      </c>
      <c r="AS2" s="6"/>
    </row>
    <row r="3" spans="4:45" s="15" customFormat="1" ht="18.75" thickBot="1">
      <c r="D3" s="11" t="s">
        <v>0</v>
      </c>
      <c r="E3" s="12" t="s">
        <v>1</v>
      </c>
      <c r="F3" s="13" t="s">
        <v>2</v>
      </c>
      <c r="G3" s="12" t="s">
        <v>1</v>
      </c>
      <c r="H3" s="14" t="s">
        <v>2</v>
      </c>
      <c r="I3" s="13"/>
      <c r="J3" s="11" t="s">
        <v>1</v>
      </c>
      <c r="K3" s="13" t="s">
        <v>2</v>
      </c>
      <c r="L3" s="12" t="s">
        <v>1</v>
      </c>
      <c r="M3" s="13" t="s">
        <v>2</v>
      </c>
      <c r="N3" s="12" t="s">
        <v>1</v>
      </c>
      <c r="O3" s="13" t="s">
        <v>2</v>
      </c>
      <c r="P3" s="12" t="s">
        <v>1</v>
      </c>
      <c r="Q3" s="14" t="s">
        <v>2</v>
      </c>
      <c r="R3" s="45"/>
      <c r="S3" s="11" t="s">
        <v>1</v>
      </c>
      <c r="T3" s="13" t="s">
        <v>2</v>
      </c>
      <c r="U3" s="12" t="s">
        <v>1</v>
      </c>
      <c r="V3" s="13" t="s">
        <v>2</v>
      </c>
      <c r="W3" s="12" t="s">
        <v>1</v>
      </c>
      <c r="X3" s="13" t="s">
        <v>2</v>
      </c>
      <c r="Y3" s="12" t="s">
        <v>1</v>
      </c>
      <c r="Z3" s="14" t="s">
        <v>2</v>
      </c>
      <c r="AA3" s="45"/>
      <c r="AB3" s="11" t="s">
        <v>1</v>
      </c>
      <c r="AC3" s="13" t="s">
        <v>2</v>
      </c>
      <c r="AD3" s="12" t="s">
        <v>1</v>
      </c>
      <c r="AE3" s="13" t="s">
        <v>2</v>
      </c>
      <c r="AF3" s="12" t="s">
        <v>1</v>
      </c>
      <c r="AG3" s="13" t="s">
        <v>2</v>
      </c>
      <c r="AH3" s="12" t="s">
        <v>1</v>
      </c>
      <c r="AI3" s="14" t="s">
        <v>2</v>
      </c>
      <c r="AK3" s="11" t="s">
        <v>1</v>
      </c>
      <c r="AL3" s="13" t="s">
        <v>2</v>
      </c>
      <c r="AM3" s="12" t="s">
        <v>1</v>
      </c>
      <c r="AN3" s="14" t="s">
        <v>2</v>
      </c>
      <c r="AP3" s="11" t="s">
        <v>1</v>
      </c>
      <c r="AQ3" s="13" t="s">
        <v>2</v>
      </c>
      <c r="AR3" s="12" t="s">
        <v>1</v>
      </c>
      <c r="AS3" s="14" t="s">
        <v>2</v>
      </c>
    </row>
    <row r="4" spans="4:45">
      <c r="D4" s="16" t="s">
        <v>3</v>
      </c>
      <c r="E4" s="17">
        <v>9876</v>
      </c>
      <c r="F4" s="18">
        <v>0.98299999999999998</v>
      </c>
      <c r="G4" s="17">
        <v>58738</v>
      </c>
      <c r="H4" s="19">
        <v>0.97099999999999997</v>
      </c>
      <c r="I4" s="20"/>
      <c r="J4" s="21">
        <v>75643</v>
      </c>
      <c r="K4" s="18">
        <v>0.96599999999999997</v>
      </c>
      <c r="L4" s="17">
        <v>65431</v>
      </c>
      <c r="M4" s="18">
        <v>0.98299999999999998</v>
      </c>
      <c r="N4" s="17">
        <v>91234</v>
      </c>
      <c r="O4" s="18">
        <v>0.98299999999999998</v>
      </c>
      <c r="P4" s="17">
        <v>63245</v>
      </c>
      <c r="Q4" s="19">
        <v>0.96199999999999997</v>
      </c>
      <c r="R4" s="46"/>
      <c r="S4" s="21">
        <v>70456</v>
      </c>
      <c r="T4" s="18">
        <v>0.97199999999999998</v>
      </c>
      <c r="U4" s="17">
        <v>74321</v>
      </c>
      <c r="V4" s="18">
        <v>0.98099999999999998</v>
      </c>
      <c r="W4" s="17">
        <v>64376</v>
      </c>
      <c r="X4" s="18">
        <v>0.97799999999999998</v>
      </c>
      <c r="Y4" s="17">
        <v>46785</v>
      </c>
      <c r="Z4" s="19">
        <v>0.97499999999999998</v>
      </c>
      <c r="AA4" s="46"/>
      <c r="AB4" s="21">
        <v>77543</v>
      </c>
      <c r="AC4" s="18">
        <v>0.97499999999999998</v>
      </c>
      <c r="AD4" s="17">
        <v>64578</v>
      </c>
      <c r="AE4" s="18">
        <v>0.98399999999999999</v>
      </c>
      <c r="AF4" s="17">
        <v>58765</v>
      </c>
      <c r="AG4" s="18">
        <v>0.97599999999999998</v>
      </c>
      <c r="AH4" s="17">
        <v>45674</v>
      </c>
      <c r="AI4" s="19">
        <v>0.98099999999999998</v>
      </c>
      <c r="AK4" s="21">
        <v>37654</v>
      </c>
      <c r="AL4" s="18">
        <v>0.96799999999999997</v>
      </c>
      <c r="AM4" s="17">
        <v>25678</v>
      </c>
      <c r="AN4" s="19">
        <v>0.96499999999999997</v>
      </c>
      <c r="AP4" s="21">
        <v>55432</v>
      </c>
      <c r="AQ4" s="18">
        <v>0.97199999999999998</v>
      </c>
      <c r="AR4" s="17">
        <v>27654</v>
      </c>
      <c r="AS4" s="19">
        <v>0.98099999999999998</v>
      </c>
    </row>
    <row r="5" spans="4:45">
      <c r="D5" s="16" t="s">
        <v>4</v>
      </c>
      <c r="E5" s="17">
        <v>19854</v>
      </c>
      <c r="F5" s="18">
        <v>0.96599999999999997</v>
      </c>
      <c r="G5" s="17">
        <v>17641</v>
      </c>
      <c r="H5" s="19">
        <v>0.98199999999999998</v>
      </c>
      <c r="I5" s="20"/>
      <c r="J5" s="21">
        <v>56784</v>
      </c>
      <c r="K5" s="18">
        <v>0.99099999999999999</v>
      </c>
      <c r="L5" s="17">
        <v>38975</v>
      </c>
      <c r="M5" s="18">
        <v>0.98599999999999999</v>
      </c>
      <c r="N5" s="17">
        <v>52346</v>
      </c>
      <c r="O5" s="18">
        <v>0.97299999999999998</v>
      </c>
      <c r="P5" s="17">
        <v>48976</v>
      </c>
      <c r="Q5" s="19">
        <v>0.99199999999999999</v>
      </c>
      <c r="R5" s="46"/>
      <c r="S5" s="21">
        <v>32768</v>
      </c>
      <c r="T5" s="18">
        <v>0.996</v>
      </c>
      <c r="U5" s="17">
        <v>36875</v>
      </c>
      <c r="V5" s="18">
        <v>0.98399999999999999</v>
      </c>
      <c r="W5" s="17">
        <v>31875</v>
      </c>
      <c r="X5" s="18">
        <v>0.99099999999999999</v>
      </c>
      <c r="Y5" s="17">
        <v>17826</v>
      </c>
      <c r="Z5" s="19">
        <v>0.97299999999999998</v>
      </c>
      <c r="AA5" s="46"/>
      <c r="AB5" s="21">
        <v>38987</v>
      </c>
      <c r="AC5" s="18">
        <v>0.98299999999999998</v>
      </c>
      <c r="AD5" s="17">
        <v>35678</v>
      </c>
      <c r="AE5" s="18">
        <v>0.96599999999999997</v>
      </c>
      <c r="AF5" s="17">
        <v>24675</v>
      </c>
      <c r="AG5" s="18">
        <v>0.99399999999999999</v>
      </c>
      <c r="AH5" s="17">
        <v>22345</v>
      </c>
      <c r="AI5" s="19">
        <v>0.995</v>
      </c>
      <c r="AK5" s="21">
        <v>16754</v>
      </c>
      <c r="AL5" s="18">
        <v>0.99</v>
      </c>
      <c r="AM5" s="17">
        <v>15432</v>
      </c>
      <c r="AN5" s="19">
        <v>0.96</v>
      </c>
      <c r="AP5" s="21">
        <v>23145</v>
      </c>
      <c r="AQ5" s="18">
        <v>0.996</v>
      </c>
      <c r="AR5" s="17">
        <v>21678</v>
      </c>
      <c r="AS5" s="19">
        <v>0.98399999999999999</v>
      </c>
    </row>
    <row r="6" spans="4:45">
      <c r="D6" s="16" t="s">
        <v>5</v>
      </c>
      <c r="E6" s="17">
        <v>65432</v>
      </c>
      <c r="F6" s="18">
        <v>0.997</v>
      </c>
      <c r="G6" s="17">
        <v>78888</v>
      </c>
      <c r="H6" s="19">
        <v>0.996</v>
      </c>
      <c r="I6" s="20"/>
      <c r="J6" s="21">
        <v>58764</v>
      </c>
      <c r="K6" s="18">
        <v>0.98899999999999999</v>
      </c>
      <c r="L6" s="17">
        <v>49843</v>
      </c>
      <c r="M6" s="18">
        <v>0.98</v>
      </c>
      <c r="N6" s="17">
        <v>80765</v>
      </c>
      <c r="O6" s="18">
        <v>0.99399999999999999</v>
      </c>
      <c r="P6" s="17">
        <v>60897</v>
      </c>
      <c r="Q6" s="19">
        <v>0.96599999999999997</v>
      </c>
      <c r="R6" s="46"/>
      <c r="S6" s="21">
        <v>45876</v>
      </c>
      <c r="T6" s="18">
        <v>0.98699999999999999</v>
      </c>
      <c r="U6" s="17">
        <v>32567</v>
      </c>
      <c r="V6" s="18">
        <v>0.98699999999999999</v>
      </c>
      <c r="W6" s="17">
        <v>75632</v>
      </c>
      <c r="X6" s="18">
        <v>0.98399999999999999</v>
      </c>
      <c r="Y6" s="17">
        <v>62345</v>
      </c>
      <c r="Z6" s="19">
        <v>0.99099999999999999</v>
      </c>
      <c r="AA6" s="46"/>
      <c r="AB6" s="21">
        <v>38908</v>
      </c>
      <c r="AC6" s="18">
        <v>0.97899999999999998</v>
      </c>
      <c r="AD6" s="17">
        <v>26789</v>
      </c>
      <c r="AE6" s="18">
        <v>0.97699999999999998</v>
      </c>
      <c r="AF6" s="17">
        <v>71234</v>
      </c>
      <c r="AG6" s="18">
        <v>0.98499999999999999</v>
      </c>
      <c r="AH6" s="17">
        <v>43265</v>
      </c>
      <c r="AI6" s="19">
        <v>0.98899999999999999</v>
      </c>
      <c r="AK6" s="21">
        <v>68975</v>
      </c>
      <c r="AL6" s="18">
        <v>0.97299999999999998</v>
      </c>
      <c r="AM6" s="17">
        <v>45678</v>
      </c>
      <c r="AN6" s="19">
        <v>0.99099999999999999</v>
      </c>
      <c r="AP6" s="21">
        <v>21456</v>
      </c>
      <c r="AQ6" s="18">
        <v>0.98699999999999999</v>
      </c>
      <c r="AR6" s="17">
        <v>23654</v>
      </c>
      <c r="AS6" s="19">
        <v>0.98699999999999999</v>
      </c>
    </row>
    <row r="7" spans="4:45">
      <c r="D7" s="16" t="s">
        <v>6</v>
      </c>
      <c r="E7" s="17">
        <v>97453</v>
      </c>
      <c r="F7" s="18">
        <v>0.96599999999999997</v>
      </c>
      <c r="G7" s="17">
        <v>71644</v>
      </c>
      <c r="H7" s="19">
        <v>0.96399999999999997</v>
      </c>
      <c r="I7" s="20"/>
      <c r="J7" s="21">
        <v>94573</v>
      </c>
      <c r="K7" s="18">
        <v>0.99</v>
      </c>
      <c r="L7" s="17">
        <v>63265</v>
      </c>
      <c r="M7" s="18">
        <v>0.99399999999999999</v>
      </c>
      <c r="N7" s="17">
        <v>75681</v>
      </c>
      <c r="O7" s="18">
        <v>0.97</v>
      </c>
      <c r="P7" s="17">
        <v>72689</v>
      </c>
      <c r="Q7" s="19">
        <v>0.99199999999999999</v>
      </c>
      <c r="R7" s="46"/>
      <c r="S7" s="21">
        <v>80543</v>
      </c>
      <c r="T7" s="18">
        <v>0.997</v>
      </c>
      <c r="U7" s="17">
        <v>45763</v>
      </c>
      <c r="V7" s="18">
        <v>0.997</v>
      </c>
      <c r="W7" s="17">
        <v>91234</v>
      </c>
      <c r="X7" s="18">
        <v>0.996</v>
      </c>
      <c r="Y7" s="17">
        <v>67890</v>
      </c>
      <c r="Z7" s="19">
        <v>0.98799999999999999</v>
      </c>
      <c r="AA7" s="46"/>
      <c r="AB7" s="21">
        <v>87453</v>
      </c>
      <c r="AC7" s="18">
        <v>0.98899999999999999</v>
      </c>
      <c r="AD7" s="17">
        <v>78453</v>
      </c>
      <c r="AE7" s="18">
        <v>0.98899999999999999</v>
      </c>
      <c r="AF7" s="17">
        <v>73456</v>
      </c>
      <c r="AG7" s="18">
        <v>0.98699999999999999</v>
      </c>
      <c r="AH7" s="17">
        <v>75678</v>
      </c>
      <c r="AI7" s="19">
        <v>0.995</v>
      </c>
      <c r="AK7" s="21">
        <v>75678</v>
      </c>
      <c r="AL7" s="18">
        <v>0.97099999999999997</v>
      </c>
      <c r="AM7" s="17">
        <v>57890</v>
      </c>
      <c r="AN7" s="19">
        <v>0.97899999999999998</v>
      </c>
      <c r="AP7" s="21">
        <v>26789</v>
      </c>
      <c r="AQ7" s="18">
        <v>0.997</v>
      </c>
      <c r="AR7" s="17">
        <v>30876</v>
      </c>
      <c r="AS7" s="19">
        <v>0.997</v>
      </c>
    </row>
    <row r="8" spans="4:45">
      <c r="D8" s="16" t="s">
        <v>7</v>
      </c>
      <c r="E8" s="17">
        <v>1400</v>
      </c>
      <c r="F8" s="18">
        <v>0.97199999999999998</v>
      </c>
      <c r="G8" s="17">
        <v>1414</v>
      </c>
      <c r="H8" s="19">
        <v>0.98899999999999999</v>
      </c>
      <c r="I8" s="20"/>
      <c r="J8" s="21">
        <v>1713</v>
      </c>
      <c r="K8" s="18">
        <v>0.98699999999999999</v>
      </c>
      <c r="L8" s="17">
        <v>1428</v>
      </c>
      <c r="M8" s="18">
        <v>0.98</v>
      </c>
      <c r="N8" s="17">
        <v>1456</v>
      </c>
      <c r="O8" s="18">
        <v>0.99299999999999999</v>
      </c>
      <c r="P8" s="17">
        <v>1678</v>
      </c>
      <c r="Q8" s="19">
        <v>0.96</v>
      </c>
      <c r="R8" s="46"/>
      <c r="S8" s="21">
        <v>1389</v>
      </c>
      <c r="T8" s="18">
        <v>0.98199999999999998</v>
      </c>
      <c r="U8" s="17">
        <v>1357</v>
      </c>
      <c r="V8" s="18">
        <v>0.98199999999999998</v>
      </c>
      <c r="W8" s="17">
        <v>1465</v>
      </c>
      <c r="X8" s="18">
        <v>0.98499999999999999</v>
      </c>
      <c r="Y8" s="17">
        <v>1456</v>
      </c>
      <c r="Z8" s="19">
        <v>0.98399999999999999</v>
      </c>
      <c r="AA8" s="46"/>
      <c r="AB8" s="21">
        <v>1330</v>
      </c>
      <c r="AC8" s="18">
        <v>0.98599999999999999</v>
      </c>
      <c r="AD8" s="17">
        <v>1265</v>
      </c>
      <c r="AE8" s="18">
        <v>0.98399999999999999</v>
      </c>
      <c r="AF8" s="17">
        <v>1356</v>
      </c>
      <c r="AG8" s="18">
        <v>0.98</v>
      </c>
      <c r="AH8" s="17">
        <v>176</v>
      </c>
      <c r="AI8" s="19">
        <v>0.99099999999999999</v>
      </c>
      <c r="AK8" s="21">
        <v>1123</v>
      </c>
      <c r="AL8" s="18">
        <v>0.98299999999999998</v>
      </c>
      <c r="AM8" s="17">
        <v>1100</v>
      </c>
      <c r="AN8" s="19">
        <v>0.99299999999999999</v>
      </c>
      <c r="AP8" s="21">
        <v>1098</v>
      </c>
      <c r="AQ8" s="18">
        <v>0.98199999999999998</v>
      </c>
      <c r="AR8" s="17">
        <v>1012</v>
      </c>
      <c r="AS8" s="19">
        <v>0.98199999999999998</v>
      </c>
    </row>
    <row r="9" spans="4:45">
      <c r="D9" s="16" t="s">
        <v>8</v>
      </c>
      <c r="E9" s="17">
        <v>67879</v>
      </c>
      <c r="F9" s="18">
        <v>0.98099999999999998</v>
      </c>
      <c r="G9" s="17">
        <v>66636</v>
      </c>
      <c r="H9" s="19">
        <v>0.997</v>
      </c>
      <c r="I9" s="20"/>
      <c r="J9" s="21">
        <v>63251</v>
      </c>
      <c r="K9" s="18">
        <v>0.97</v>
      </c>
      <c r="L9" s="17">
        <v>66784</v>
      </c>
      <c r="M9" s="18">
        <v>0.98199999999999998</v>
      </c>
      <c r="N9" s="17">
        <v>71345</v>
      </c>
      <c r="O9" s="18">
        <v>0.995</v>
      </c>
      <c r="P9" s="17">
        <v>67361</v>
      </c>
      <c r="Q9" s="19">
        <v>0.997</v>
      </c>
      <c r="R9" s="46"/>
      <c r="S9" s="21">
        <v>50987</v>
      </c>
      <c r="T9" s="18">
        <v>0.98</v>
      </c>
      <c r="U9" s="17">
        <v>53653</v>
      </c>
      <c r="V9" s="18">
        <v>0.98</v>
      </c>
      <c r="W9" s="17">
        <v>65478</v>
      </c>
      <c r="X9" s="18">
        <v>0.98599999999999999</v>
      </c>
      <c r="Y9" s="17">
        <v>77896</v>
      </c>
      <c r="Z9" s="19">
        <v>0.98199999999999998</v>
      </c>
      <c r="AA9" s="46"/>
      <c r="AB9" s="21">
        <v>64325</v>
      </c>
      <c r="AC9" s="18">
        <v>0.97699999999999998</v>
      </c>
      <c r="AD9" s="17">
        <v>50875</v>
      </c>
      <c r="AE9" s="18">
        <v>0.98499999999999999</v>
      </c>
      <c r="AF9" s="17">
        <v>70987</v>
      </c>
      <c r="AG9" s="18">
        <v>0.98</v>
      </c>
      <c r="AH9" s="17">
        <v>61234</v>
      </c>
      <c r="AI9" s="19">
        <v>0.98599999999999999</v>
      </c>
      <c r="AK9" s="21">
        <v>30564</v>
      </c>
      <c r="AL9" s="18">
        <v>0.96499999999999997</v>
      </c>
      <c r="AM9" s="17">
        <v>23456</v>
      </c>
      <c r="AN9" s="19">
        <v>0.97299999999999998</v>
      </c>
      <c r="AP9" s="21">
        <v>25678</v>
      </c>
      <c r="AQ9" s="18">
        <v>0.98</v>
      </c>
      <c r="AR9" s="17">
        <v>26789</v>
      </c>
      <c r="AS9" s="19">
        <v>0.98</v>
      </c>
    </row>
    <row r="10" spans="4:45">
      <c r="D10" s="16" t="s">
        <v>9</v>
      </c>
      <c r="E10" s="17">
        <v>61234</v>
      </c>
      <c r="F10" s="18">
        <v>0.98599999999999999</v>
      </c>
      <c r="G10" s="17">
        <v>57206</v>
      </c>
      <c r="H10" s="19">
        <v>0.97899999999999998</v>
      </c>
      <c r="I10" s="20"/>
      <c r="J10" s="21">
        <v>59876</v>
      </c>
      <c r="K10" s="18">
        <v>0.98799999999999999</v>
      </c>
      <c r="L10" s="17">
        <v>61234</v>
      </c>
      <c r="M10" s="18">
        <v>0.997</v>
      </c>
      <c r="N10" s="17">
        <v>55234</v>
      </c>
      <c r="O10" s="18">
        <v>0.98</v>
      </c>
      <c r="P10" s="17">
        <v>53094</v>
      </c>
      <c r="Q10" s="19">
        <v>0.97599999999999998</v>
      </c>
      <c r="R10" s="46"/>
      <c r="S10" s="21">
        <v>35678</v>
      </c>
      <c r="T10" s="18">
        <v>0.96599999999999997</v>
      </c>
      <c r="U10" s="17">
        <v>36789</v>
      </c>
      <c r="V10" s="18">
        <v>0.96599999999999997</v>
      </c>
      <c r="W10" s="17">
        <v>40987</v>
      </c>
      <c r="X10" s="18">
        <v>0.98499999999999999</v>
      </c>
      <c r="Y10" s="17">
        <v>65342</v>
      </c>
      <c r="Z10" s="19">
        <v>0.98299999999999998</v>
      </c>
      <c r="AA10" s="46"/>
      <c r="AB10" s="21">
        <v>58795</v>
      </c>
      <c r="AC10" s="18">
        <v>0.96799999999999997</v>
      </c>
      <c r="AD10" s="17">
        <v>67453</v>
      </c>
      <c r="AE10" s="18">
        <v>0.97099999999999997</v>
      </c>
      <c r="AF10" s="17">
        <v>77564</v>
      </c>
      <c r="AG10" s="18">
        <v>0.97699999999999998</v>
      </c>
      <c r="AH10" s="17">
        <v>54321</v>
      </c>
      <c r="AI10" s="19">
        <v>0.97499999999999998</v>
      </c>
      <c r="AK10" s="21">
        <v>38768</v>
      </c>
      <c r="AL10" s="18">
        <v>0.98599999999999999</v>
      </c>
      <c r="AM10" s="17">
        <v>20983</v>
      </c>
      <c r="AN10" s="19">
        <v>0.99399999999999999</v>
      </c>
      <c r="AP10" s="21">
        <v>26575</v>
      </c>
      <c r="AQ10" s="18">
        <v>0.96599999999999997</v>
      </c>
      <c r="AR10" s="17">
        <v>25678</v>
      </c>
      <c r="AS10" s="19">
        <v>0.96599999999999997</v>
      </c>
    </row>
    <row r="11" spans="4:45" ht="18.75" thickBot="1">
      <c r="D11" s="16" t="s">
        <v>10</v>
      </c>
      <c r="E11" s="17">
        <v>54387</v>
      </c>
      <c r="F11" s="18">
        <v>0.96599999999999997</v>
      </c>
      <c r="G11" s="17">
        <v>34844</v>
      </c>
      <c r="H11" s="19">
        <v>0.97</v>
      </c>
      <c r="I11" s="20"/>
      <c r="J11" s="21">
        <v>64532</v>
      </c>
      <c r="K11" s="18">
        <v>0.97</v>
      </c>
      <c r="L11" s="17">
        <v>45763</v>
      </c>
      <c r="M11" s="18">
        <v>0.99199999999999999</v>
      </c>
      <c r="N11" s="17">
        <v>40987</v>
      </c>
      <c r="O11" s="18">
        <v>0.99399999999999999</v>
      </c>
      <c r="P11" s="17">
        <v>46980</v>
      </c>
      <c r="Q11" s="19">
        <v>0.96799999999999997</v>
      </c>
      <c r="R11" s="46"/>
      <c r="S11" s="21">
        <v>41230</v>
      </c>
      <c r="T11" s="18">
        <v>0.98799999999999999</v>
      </c>
      <c r="U11" s="17">
        <v>32145</v>
      </c>
      <c r="V11" s="18">
        <v>0.98799999999999999</v>
      </c>
      <c r="W11" s="17">
        <v>40978</v>
      </c>
      <c r="X11" s="18">
        <v>0.98299999999999998</v>
      </c>
      <c r="Y11" s="17">
        <v>37854</v>
      </c>
      <c r="Z11" s="19">
        <v>0.98399999999999999</v>
      </c>
      <c r="AA11" s="46"/>
      <c r="AB11" s="21">
        <v>32567</v>
      </c>
      <c r="AC11" s="18">
        <v>0.98499999999999999</v>
      </c>
      <c r="AD11" s="17">
        <v>41936</v>
      </c>
      <c r="AE11" s="18">
        <v>0.99099999999999999</v>
      </c>
      <c r="AF11" s="17">
        <v>30876</v>
      </c>
      <c r="AG11" s="18">
        <v>0.98899999999999999</v>
      </c>
      <c r="AH11" s="17">
        <v>48765</v>
      </c>
      <c r="AI11" s="19">
        <v>0.98599999999999999</v>
      </c>
      <c r="AK11" s="21">
        <v>40134</v>
      </c>
      <c r="AL11" s="18">
        <v>0.98099999999999998</v>
      </c>
      <c r="AM11" s="17">
        <v>31258</v>
      </c>
      <c r="AN11" s="19">
        <v>0.99399999999999999</v>
      </c>
      <c r="AP11" s="21">
        <v>26543</v>
      </c>
      <c r="AQ11" s="18">
        <v>0.98799999999999999</v>
      </c>
      <c r="AR11" s="17">
        <v>18976</v>
      </c>
      <c r="AS11" s="19">
        <v>0.98799999999999999</v>
      </c>
    </row>
    <row r="12" spans="4:45" ht="18.75" thickBot="1">
      <c r="D12" s="22"/>
      <c r="E12" s="23">
        <f>SUM(E4:E11)</f>
        <v>377515</v>
      </c>
      <c r="F12" s="24"/>
      <c r="G12" s="25">
        <f>SUM(G4:G11)</f>
        <v>387011</v>
      </c>
      <c r="H12" s="26"/>
      <c r="J12" s="23">
        <f>SUM(J4:J11)</f>
        <v>475136</v>
      </c>
      <c r="K12" s="24"/>
      <c r="L12" s="25">
        <f>SUM(L4:L11)</f>
        <v>392723</v>
      </c>
      <c r="M12" s="24"/>
      <c r="N12" s="25">
        <f>SUM(N4:N11)</f>
        <v>469048</v>
      </c>
      <c r="O12" s="24"/>
      <c r="P12" s="27">
        <f>SUM(P4:P11)</f>
        <v>414920</v>
      </c>
      <c r="Q12" s="28"/>
      <c r="S12" s="23">
        <f>SUM(S4:S11)</f>
        <v>358927</v>
      </c>
      <c r="T12" s="24"/>
      <c r="U12" s="25">
        <f>SUM(U4:U11)</f>
        <v>313470</v>
      </c>
      <c r="V12" s="24"/>
      <c r="W12" s="25">
        <f>SUM(W4:W11)</f>
        <v>412025</v>
      </c>
      <c r="X12" s="24"/>
      <c r="Y12" s="27">
        <f>SUM(Y4:Y11)</f>
        <v>377394</v>
      </c>
      <c r="Z12" s="28"/>
      <c r="AB12" s="22">
        <f>SUM(AB4:AB11)</f>
        <v>399908</v>
      </c>
      <c r="AC12" s="29"/>
      <c r="AD12" s="30">
        <f>SUM(AD4:AD11)</f>
        <v>367027</v>
      </c>
      <c r="AE12" s="29"/>
      <c r="AF12" s="30">
        <f>SUM(AF4:AF11)</f>
        <v>408913</v>
      </c>
      <c r="AG12" s="29"/>
      <c r="AH12" s="30">
        <f>SUM(AH4:AH11)</f>
        <v>351458</v>
      </c>
      <c r="AI12" s="28"/>
      <c r="AK12" s="23">
        <f>SUM(AK4:AK11)</f>
        <v>309650</v>
      </c>
      <c r="AL12" s="24"/>
      <c r="AM12" s="27">
        <f>SUM(AM4:AM11)</f>
        <v>221475</v>
      </c>
      <c r="AN12" s="31" t="s">
        <v>11</v>
      </c>
      <c r="AP12" s="23">
        <f>SUM(AP4:AP11)</f>
        <v>206716</v>
      </c>
      <c r="AQ12" s="24"/>
      <c r="AR12" s="25">
        <f>SUM(AR4:AR11)</f>
        <v>176317</v>
      </c>
      <c r="AS12" s="26"/>
    </row>
    <row r="15" spans="4:45" ht="18.75" thickBot="1">
      <c r="D15" s="36" t="s">
        <v>28</v>
      </c>
    </row>
    <row r="16" spans="4:45">
      <c r="D16" s="37" t="s">
        <v>33</v>
      </c>
      <c r="E16" s="48">
        <f>E12*30/1000</f>
        <v>11325.45</v>
      </c>
      <c r="F16" s="48" t="s">
        <v>11</v>
      </c>
      <c r="G16" s="48">
        <f t="shared" ref="G16:AR16" si="0">G12*30/1000</f>
        <v>11610.33</v>
      </c>
      <c r="H16" s="48" t="s">
        <v>11</v>
      </c>
      <c r="I16" s="48" t="s">
        <v>11</v>
      </c>
      <c r="J16" s="48">
        <f t="shared" si="0"/>
        <v>14254.08</v>
      </c>
      <c r="K16" s="48" t="s">
        <v>11</v>
      </c>
      <c r="L16" s="48">
        <f t="shared" si="0"/>
        <v>11781.69</v>
      </c>
      <c r="M16" s="48" t="s">
        <v>11</v>
      </c>
      <c r="N16" s="48">
        <f t="shared" si="0"/>
        <v>14071.44</v>
      </c>
      <c r="O16" s="48" t="s">
        <v>11</v>
      </c>
      <c r="P16" s="48">
        <f t="shared" si="0"/>
        <v>12447.6</v>
      </c>
      <c r="Q16" s="48" t="s">
        <v>11</v>
      </c>
      <c r="R16" s="49" t="s">
        <v>11</v>
      </c>
      <c r="S16" s="48">
        <f t="shared" si="0"/>
        <v>10767.81</v>
      </c>
      <c r="T16" s="48" t="s">
        <v>11</v>
      </c>
      <c r="U16" s="48">
        <f t="shared" si="0"/>
        <v>9404.1</v>
      </c>
      <c r="V16" s="48" t="s">
        <v>11</v>
      </c>
      <c r="W16" s="48">
        <f t="shared" si="0"/>
        <v>12360.75</v>
      </c>
      <c r="X16" s="48" t="s">
        <v>11</v>
      </c>
      <c r="Y16" s="48">
        <f t="shared" si="0"/>
        <v>11321.82</v>
      </c>
      <c r="Z16" s="48" t="s">
        <v>11</v>
      </c>
      <c r="AA16" s="49" t="s">
        <v>11</v>
      </c>
      <c r="AB16" s="48">
        <f t="shared" si="0"/>
        <v>11997.24</v>
      </c>
      <c r="AC16" s="48" t="s">
        <v>11</v>
      </c>
      <c r="AD16" s="48">
        <f t="shared" si="0"/>
        <v>11010.81</v>
      </c>
      <c r="AE16" s="48" t="s">
        <v>11</v>
      </c>
      <c r="AF16" s="48">
        <f t="shared" si="0"/>
        <v>12267.39</v>
      </c>
      <c r="AG16" s="48" t="s">
        <v>11</v>
      </c>
      <c r="AH16" s="48">
        <f t="shared" si="0"/>
        <v>10543.74</v>
      </c>
      <c r="AI16" s="48" t="s">
        <v>11</v>
      </c>
      <c r="AJ16" s="48" t="s">
        <v>11</v>
      </c>
      <c r="AK16" s="48">
        <f t="shared" si="0"/>
        <v>9289.5</v>
      </c>
      <c r="AL16" s="48" t="s">
        <v>11</v>
      </c>
      <c r="AM16" s="48">
        <f t="shared" si="0"/>
        <v>6644.25</v>
      </c>
      <c r="AN16" s="48" t="s">
        <v>11</v>
      </c>
      <c r="AO16" s="48" t="s">
        <v>11</v>
      </c>
      <c r="AP16" s="48">
        <f t="shared" si="0"/>
        <v>6201.48</v>
      </c>
      <c r="AQ16" s="48" t="s">
        <v>11</v>
      </c>
      <c r="AR16" s="48">
        <f t="shared" si="0"/>
        <v>5289.51</v>
      </c>
      <c r="AS16" s="50">
        <f>SUM(E16:AR16)</f>
        <v>192588.99000000002</v>
      </c>
    </row>
    <row r="17" spans="3:45">
      <c r="D17" s="38" t="s">
        <v>29</v>
      </c>
      <c r="E17" s="51">
        <v>5222</v>
      </c>
      <c r="F17" s="51" t="s">
        <v>11</v>
      </c>
      <c r="G17" s="51">
        <v>5222</v>
      </c>
      <c r="H17" s="51" t="s">
        <v>11</v>
      </c>
      <c r="I17" s="51" t="s">
        <v>11</v>
      </c>
      <c r="J17" s="51">
        <v>5222</v>
      </c>
      <c r="K17" s="51" t="s">
        <v>11</v>
      </c>
      <c r="L17" s="51">
        <v>5222</v>
      </c>
      <c r="M17" s="51" t="s">
        <v>11</v>
      </c>
      <c r="N17" s="51">
        <v>5222</v>
      </c>
      <c r="O17" s="51" t="s">
        <v>11</v>
      </c>
      <c r="P17" s="51">
        <v>5222</v>
      </c>
      <c r="Q17" s="51" t="s">
        <v>11</v>
      </c>
      <c r="R17" s="52" t="s">
        <v>11</v>
      </c>
      <c r="S17" s="51">
        <v>5222</v>
      </c>
      <c r="T17" s="51" t="s">
        <v>11</v>
      </c>
      <c r="U17" s="51">
        <v>5222</v>
      </c>
      <c r="V17" s="51" t="s">
        <v>11</v>
      </c>
      <c r="W17" s="51">
        <v>5222</v>
      </c>
      <c r="X17" s="51" t="s">
        <v>11</v>
      </c>
      <c r="Y17" s="51">
        <v>5222</v>
      </c>
      <c r="Z17" s="51" t="s">
        <v>11</v>
      </c>
      <c r="AA17" s="52" t="s">
        <v>11</v>
      </c>
      <c r="AB17" s="51">
        <v>5222</v>
      </c>
      <c r="AC17" s="51" t="s">
        <v>11</v>
      </c>
      <c r="AD17" s="51">
        <v>5222</v>
      </c>
      <c r="AE17" s="51" t="s">
        <v>11</v>
      </c>
      <c r="AF17" s="51">
        <v>5222</v>
      </c>
      <c r="AG17" s="51" t="s">
        <v>11</v>
      </c>
      <c r="AH17" s="51">
        <v>5222</v>
      </c>
      <c r="AI17" s="51" t="s">
        <v>11</v>
      </c>
      <c r="AJ17" s="51" t="s">
        <v>11</v>
      </c>
      <c r="AK17" s="51">
        <v>5222</v>
      </c>
      <c r="AL17" s="51" t="s">
        <v>11</v>
      </c>
      <c r="AM17" s="51">
        <v>5222</v>
      </c>
      <c r="AN17" s="51" t="s">
        <v>11</v>
      </c>
      <c r="AO17" s="51" t="s">
        <v>11</v>
      </c>
      <c r="AP17" s="51">
        <v>5222</v>
      </c>
      <c r="AQ17" s="51" t="s">
        <v>11</v>
      </c>
      <c r="AR17" s="51">
        <v>5222</v>
      </c>
      <c r="AS17" s="53">
        <v>94000</v>
      </c>
    </row>
    <row r="18" spans="3:45" s="41" customFormat="1">
      <c r="D18" s="42" t="s">
        <v>30</v>
      </c>
      <c r="E18" s="54">
        <f>E16-E17</f>
        <v>6103.4500000000007</v>
      </c>
      <c r="F18" s="54" t="s">
        <v>11</v>
      </c>
      <c r="G18" s="54">
        <f t="shared" ref="G18:AS18" si="1">G16-G17</f>
        <v>6388.33</v>
      </c>
      <c r="H18" s="54" t="s">
        <v>11</v>
      </c>
      <c r="I18" s="54" t="s">
        <v>11</v>
      </c>
      <c r="J18" s="54">
        <f t="shared" si="1"/>
        <v>9032.08</v>
      </c>
      <c r="K18" s="54" t="s">
        <v>11</v>
      </c>
      <c r="L18" s="54">
        <f t="shared" si="1"/>
        <v>6559.6900000000005</v>
      </c>
      <c r="M18" s="54" t="s">
        <v>11</v>
      </c>
      <c r="N18" s="54">
        <f t="shared" si="1"/>
        <v>8849.44</v>
      </c>
      <c r="O18" s="54" t="s">
        <v>11</v>
      </c>
      <c r="P18" s="54">
        <f t="shared" si="1"/>
        <v>7225.6</v>
      </c>
      <c r="Q18" s="54" t="s">
        <v>11</v>
      </c>
      <c r="R18" s="52" t="s">
        <v>11</v>
      </c>
      <c r="S18" s="54">
        <f t="shared" si="1"/>
        <v>5545.8099999999995</v>
      </c>
      <c r="T18" s="54" t="s">
        <v>11</v>
      </c>
      <c r="U18" s="54">
        <f t="shared" si="1"/>
        <v>4182.1000000000004</v>
      </c>
      <c r="V18" s="54" t="s">
        <v>11</v>
      </c>
      <c r="W18" s="54">
        <f t="shared" si="1"/>
        <v>7138.75</v>
      </c>
      <c r="X18" s="54" t="s">
        <v>11</v>
      </c>
      <c r="Y18" s="54">
        <f t="shared" si="1"/>
        <v>6099.82</v>
      </c>
      <c r="Z18" s="54" t="s">
        <v>11</v>
      </c>
      <c r="AA18" s="52" t="s">
        <v>11</v>
      </c>
      <c r="AB18" s="54">
        <f t="shared" si="1"/>
        <v>6775.24</v>
      </c>
      <c r="AC18" s="54" t="s">
        <v>11</v>
      </c>
      <c r="AD18" s="54">
        <f t="shared" si="1"/>
        <v>5788.8099999999995</v>
      </c>
      <c r="AE18" s="54"/>
      <c r="AF18" s="54">
        <f t="shared" si="1"/>
        <v>7045.3899999999994</v>
      </c>
      <c r="AG18" s="54" t="s">
        <v>11</v>
      </c>
      <c r="AH18" s="54">
        <f t="shared" si="1"/>
        <v>5321.74</v>
      </c>
      <c r="AI18" s="54" t="s">
        <v>11</v>
      </c>
      <c r="AJ18" s="54" t="s">
        <v>11</v>
      </c>
      <c r="AK18" s="54">
        <f t="shared" si="1"/>
        <v>4067.5</v>
      </c>
      <c r="AL18" s="54" t="s">
        <v>11</v>
      </c>
      <c r="AM18" s="54">
        <f t="shared" si="1"/>
        <v>1422.25</v>
      </c>
      <c r="AN18" s="54" t="s">
        <v>11</v>
      </c>
      <c r="AO18" s="54" t="s">
        <v>11</v>
      </c>
      <c r="AP18" s="54">
        <f t="shared" si="1"/>
        <v>979.47999999999956</v>
      </c>
      <c r="AQ18" s="54" t="s">
        <v>11</v>
      </c>
      <c r="AR18" s="54">
        <f t="shared" si="1"/>
        <v>67.510000000000218</v>
      </c>
      <c r="AS18" s="55">
        <f t="shared" si="1"/>
        <v>98588.99000000002</v>
      </c>
    </row>
    <row r="19" spans="3:45">
      <c r="D19" s="39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2"/>
      <c r="S19" s="56"/>
      <c r="T19" s="56"/>
      <c r="U19" s="56"/>
      <c r="V19" s="56"/>
      <c r="W19" s="56"/>
      <c r="X19" s="56"/>
      <c r="Y19" s="56"/>
      <c r="Z19" s="56"/>
      <c r="AA19" s="52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7"/>
    </row>
    <row r="20" spans="3:45" ht="18.75" thickBot="1">
      <c r="D20" s="40"/>
      <c r="E20" s="30"/>
      <c r="F20" s="29"/>
      <c r="G20" s="30"/>
      <c r="H20" s="29"/>
      <c r="I20" s="29"/>
      <c r="J20" s="30"/>
      <c r="K20" s="29"/>
      <c r="L20" s="30"/>
      <c r="M20" s="29"/>
      <c r="N20" s="30"/>
      <c r="O20" s="29"/>
      <c r="P20" s="30"/>
      <c r="Q20" s="29"/>
      <c r="R20" s="58"/>
      <c r="S20" s="30"/>
      <c r="T20" s="29"/>
      <c r="U20" s="30"/>
      <c r="V20" s="29"/>
      <c r="W20" s="30"/>
      <c r="X20" s="29"/>
      <c r="Y20" s="30"/>
      <c r="Z20" s="29"/>
      <c r="AA20" s="58"/>
      <c r="AB20" s="30"/>
      <c r="AC20" s="29"/>
      <c r="AD20" s="30"/>
      <c r="AE20" s="29"/>
      <c r="AF20" s="30"/>
      <c r="AG20" s="29"/>
      <c r="AH20" s="30"/>
      <c r="AI20" s="29"/>
      <c r="AJ20" s="30"/>
      <c r="AK20" s="30"/>
      <c r="AL20" s="30"/>
      <c r="AM20" s="30"/>
      <c r="AN20" s="30"/>
      <c r="AO20" s="30"/>
      <c r="AP20" s="30"/>
      <c r="AQ20" s="30"/>
      <c r="AR20" s="30"/>
      <c r="AS20" s="59">
        <v>6419633</v>
      </c>
    </row>
    <row r="21" spans="3:45">
      <c r="D21" s="17"/>
    </row>
    <row r="22" spans="3:45" ht="18.75" thickBot="1">
      <c r="D22" s="36" t="s">
        <v>31</v>
      </c>
    </row>
    <row r="23" spans="3:45">
      <c r="C23" s="32">
        <v>0.1</v>
      </c>
      <c r="D23" s="33" t="s">
        <v>12</v>
      </c>
      <c r="E23" s="60" cm="1">
        <f t="array" ref="E23:E38">E12*C23:C38</f>
        <v>37751.5</v>
      </c>
      <c r="F23" s="61"/>
      <c r="G23" s="60" cm="1">
        <f t="array" ref="G23:G38">G12*C23:C38</f>
        <v>38701.1</v>
      </c>
      <c r="H23" s="61"/>
      <c r="I23" s="61"/>
      <c r="J23" s="60" cm="1">
        <f t="array" ref="J23:J38">J12*C23:C38</f>
        <v>47513.600000000006</v>
      </c>
      <c r="K23" s="61"/>
      <c r="L23" s="60" cm="1">
        <f t="array" ref="L23:L38">L12*C23:C38</f>
        <v>39272.300000000003</v>
      </c>
      <c r="M23" s="61"/>
      <c r="N23" s="60" cm="1">
        <f t="array" ref="N23:N38">N12*C23:C38</f>
        <v>46904.800000000003</v>
      </c>
      <c r="O23" s="61"/>
      <c r="P23" s="60" cm="1">
        <f t="array" ref="P23:P38">P12*C23:C38</f>
        <v>41492</v>
      </c>
      <c r="Q23" s="61"/>
      <c r="R23" s="62">
        <v>0.1</v>
      </c>
      <c r="S23" s="60" cm="1">
        <f t="array" ref="S23:S38">S12*C23:C38</f>
        <v>35892.700000000004</v>
      </c>
      <c r="T23" s="61"/>
      <c r="U23" s="60" cm="1">
        <f t="array" ref="U23:U38">U12*C23:C38</f>
        <v>31347</v>
      </c>
      <c r="V23" s="61"/>
      <c r="W23" s="60" cm="1">
        <f t="array" ref="W23:W38">W12*R23:R38</f>
        <v>41202.5</v>
      </c>
      <c r="X23" s="61"/>
      <c r="Y23" s="60" cm="1">
        <f t="array" ref="Y23:Y38">Y12*R23:R38</f>
        <v>37739.4</v>
      </c>
      <c r="Z23" s="61"/>
      <c r="AA23" s="62">
        <v>0.1</v>
      </c>
      <c r="AB23" s="60" cm="1">
        <f t="array" ref="AB23:AB38">AB12*R23:R38</f>
        <v>39990.800000000003</v>
      </c>
      <c r="AC23" s="61"/>
      <c r="AD23" s="60" cm="1">
        <f t="array" ref="AD23:AD38">AD12*AA23:AA38</f>
        <v>36702.700000000004</v>
      </c>
      <c r="AE23" s="61"/>
      <c r="AF23" s="60" cm="1">
        <f t="array" ref="AF23:AF38">AF12*AA23:AA38</f>
        <v>40891.300000000003</v>
      </c>
      <c r="AG23" s="61"/>
      <c r="AH23" s="60" cm="1">
        <f t="array" ref="AH23:AH38">AH12*AA23:AA38</f>
        <v>35145.800000000003</v>
      </c>
      <c r="AI23" s="61"/>
      <c r="AJ23" s="60"/>
      <c r="AK23" s="60" cm="1">
        <f t="array" ref="AK23:AK38">AK12*AA23:AA38</f>
        <v>30965</v>
      </c>
      <c r="AL23" s="60"/>
      <c r="AM23" s="60" cm="1">
        <f t="array" ref="AM23:AM38">AM12*AA23:AA38</f>
        <v>22147.5</v>
      </c>
      <c r="AN23" s="60"/>
      <c r="AO23" s="60"/>
      <c r="AP23" s="60" cm="1">
        <f t="array" ref="AP23:AP38">AP12*AA23:AA38</f>
        <v>20671.600000000002</v>
      </c>
      <c r="AQ23" s="60"/>
      <c r="AR23" s="60" cm="1">
        <f t="array" ref="AR23:AR38">AR12*AA23:AA38</f>
        <v>17631.7</v>
      </c>
      <c r="AS23" s="63"/>
    </row>
    <row r="24" spans="3:45">
      <c r="C24" s="32">
        <v>0.1</v>
      </c>
      <c r="D24" s="34" t="s">
        <v>13</v>
      </c>
      <c r="E24" s="17">
        <v>37751.5</v>
      </c>
      <c r="F24" s="64"/>
      <c r="G24" s="17">
        <v>38701.1</v>
      </c>
      <c r="H24" s="64"/>
      <c r="I24" s="64"/>
      <c r="J24" s="17">
        <v>47513.600000000006</v>
      </c>
      <c r="K24" s="64"/>
      <c r="L24" s="17">
        <v>39272.300000000003</v>
      </c>
      <c r="M24" s="64"/>
      <c r="N24" s="17">
        <v>46904.800000000003</v>
      </c>
      <c r="O24" s="64"/>
      <c r="P24" s="17">
        <v>41492</v>
      </c>
      <c r="Q24" s="64"/>
      <c r="R24" s="32">
        <v>0.1</v>
      </c>
      <c r="S24" s="17">
        <v>35892.700000000004</v>
      </c>
      <c r="T24" s="64"/>
      <c r="U24" s="17">
        <v>31347</v>
      </c>
      <c r="V24" s="64"/>
      <c r="W24" s="17">
        <v>41202.5</v>
      </c>
      <c r="X24" s="64"/>
      <c r="Y24" s="17">
        <v>37739.4</v>
      </c>
      <c r="Z24" s="64"/>
      <c r="AA24" s="32">
        <v>0.1</v>
      </c>
      <c r="AB24" s="17">
        <v>39990.800000000003</v>
      </c>
      <c r="AC24" s="64"/>
      <c r="AD24" s="17">
        <v>36702.700000000004</v>
      </c>
      <c r="AE24" s="64"/>
      <c r="AF24" s="17">
        <v>40891.300000000003</v>
      </c>
      <c r="AG24" s="64"/>
      <c r="AH24" s="17">
        <v>35145.800000000003</v>
      </c>
      <c r="AI24" s="64"/>
      <c r="AJ24" s="17"/>
      <c r="AK24" s="17">
        <v>30965</v>
      </c>
      <c r="AL24" s="17"/>
      <c r="AM24" s="17">
        <v>22147.5</v>
      </c>
      <c r="AN24" s="17"/>
      <c r="AO24" s="17"/>
      <c r="AP24" s="17">
        <v>20671.600000000002</v>
      </c>
      <c r="AQ24" s="17"/>
      <c r="AR24" s="17">
        <v>17631.7</v>
      </c>
      <c r="AS24" s="65"/>
    </row>
    <row r="25" spans="3:45">
      <c r="C25" s="32">
        <v>0.1</v>
      </c>
      <c r="D25" s="34" t="s">
        <v>14</v>
      </c>
      <c r="E25" s="17">
        <v>37751.5</v>
      </c>
      <c r="F25" s="64"/>
      <c r="G25" s="17">
        <v>38701.1</v>
      </c>
      <c r="H25" s="64"/>
      <c r="I25" s="64"/>
      <c r="J25" s="17">
        <v>47513.600000000006</v>
      </c>
      <c r="K25" s="64"/>
      <c r="L25" s="17">
        <v>39272.300000000003</v>
      </c>
      <c r="M25" s="64"/>
      <c r="N25" s="17">
        <v>46904.800000000003</v>
      </c>
      <c r="O25" s="64"/>
      <c r="P25" s="17">
        <v>41492</v>
      </c>
      <c r="Q25" s="64"/>
      <c r="R25" s="32">
        <v>0.1</v>
      </c>
      <c r="S25" s="17">
        <v>35892.700000000004</v>
      </c>
      <c r="T25" s="64"/>
      <c r="U25" s="17">
        <v>31347</v>
      </c>
      <c r="V25" s="64"/>
      <c r="W25" s="17">
        <v>41202.5</v>
      </c>
      <c r="X25" s="64"/>
      <c r="Y25" s="17">
        <v>37739.4</v>
      </c>
      <c r="Z25" s="64"/>
      <c r="AA25" s="32">
        <v>0.1</v>
      </c>
      <c r="AB25" s="17">
        <v>39990.800000000003</v>
      </c>
      <c r="AC25" s="64"/>
      <c r="AD25" s="17">
        <v>36702.700000000004</v>
      </c>
      <c r="AE25" s="64"/>
      <c r="AF25" s="17">
        <v>40891.300000000003</v>
      </c>
      <c r="AG25" s="64"/>
      <c r="AH25" s="17">
        <v>35145.800000000003</v>
      </c>
      <c r="AI25" s="64"/>
      <c r="AJ25" s="17"/>
      <c r="AK25" s="17">
        <v>30965</v>
      </c>
      <c r="AL25" s="17"/>
      <c r="AM25" s="17">
        <v>22147.5</v>
      </c>
      <c r="AN25" s="17"/>
      <c r="AO25" s="17"/>
      <c r="AP25" s="17">
        <v>20671.600000000002</v>
      </c>
      <c r="AQ25" s="17"/>
      <c r="AR25" s="17">
        <v>17631.7</v>
      </c>
      <c r="AS25" s="65"/>
    </row>
    <row r="26" spans="3:45">
      <c r="C26" s="32">
        <v>0.08</v>
      </c>
      <c r="D26" s="34" t="s">
        <v>15</v>
      </c>
      <c r="E26" s="17">
        <v>30201.200000000001</v>
      </c>
      <c r="F26" s="64"/>
      <c r="G26" s="17">
        <v>30960.880000000001</v>
      </c>
      <c r="H26" s="64"/>
      <c r="I26" s="64"/>
      <c r="J26" s="17">
        <v>38010.879999999997</v>
      </c>
      <c r="K26" s="64"/>
      <c r="L26" s="17">
        <v>31417.84</v>
      </c>
      <c r="M26" s="64"/>
      <c r="N26" s="17">
        <v>37523.840000000004</v>
      </c>
      <c r="O26" s="64"/>
      <c r="P26" s="17">
        <v>33193.599999999999</v>
      </c>
      <c r="Q26" s="64"/>
      <c r="R26" s="32">
        <v>0.08</v>
      </c>
      <c r="S26" s="17">
        <v>28714.16</v>
      </c>
      <c r="T26" s="64"/>
      <c r="U26" s="17">
        <v>25077.600000000002</v>
      </c>
      <c r="V26" s="64"/>
      <c r="W26" s="17">
        <v>32962</v>
      </c>
      <c r="X26" s="64"/>
      <c r="Y26" s="17">
        <v>30191.52</v>
      </c>
      <c r="Z26" s="64"/>
      <c r="AA26" s="32">
        <v>0.08</v>
      </c>
      <c r="AB26" s="17">
        <v>31992.639999999999</v>
      </c>
      <c r="AC26" s="64"/>
      <c r="AD26" s="17">
        <v>29362.16</v>
      </c>
      <c r="AE26" s="64"/>
      <c r="AF26" s="17">
        <v>32713.040000000001</v>
      </c>
      <c r="AG26" s="64"/>
      <c r="AH26" s="17">
        <v>28116.639999999999</v>
      </c>
      <c r="AI26" s="64"/>
      <c r="AJ26" s="17"/>
      <c r="AK26" s="17">
        <v>24772</v>
      </c>
      <c r="AL26" s="17"/>
      <c r="AM26" s="17">
        <v>17718</v>
      </c>
      <c r="AN26" s="17"/>
      <c r="AO26" s="17"/>
      <c r="AP26" s="17">
        <v>16537.28</v>
      </c>
      <c r="AQ26" s="17"/>
      <c r="AR26" s="17">
        <v>14105.36</v>
      </c>
      <c r="AS26" s="65"/>
    </row>
    <row r="27" spans="3:45">
      <c r="C27" s="32">
        <v>0.08</v>
      </c>
      <c r="D27" s="34" t="s">
        <v>16</v>
      </c>
      <c r="E27" s="17">
        <v>30201.200000000001</v>
      </c>
      <c r="F27" s="64"/>
      <c r="G27" s="17">
        <v>30960.880000000001</v>
      </c>
      <c r="H27" s="64"/>
      <c r="I27" s="64"/>
      <c r="J27" s="17">
        <v>38010.879999999997</v>
      </c>
      <c r="K27" s="64"/>
      <c r="L27" s="17">
        <v>31417.84</v>
      </c>
      <c r="M27" s="64"/>
      <c r="N27" s="17">
        <v>37523.840000000004</v>
      </c>
      <c r="O27" s="64"/>
      <c r="P27" s="17">
        <v>33193.599999999999</v>
      </c>
      <c r="Q27" s="64"/>
      <c r="R27" s="32">
        <v>0.08</v>
      </c>
      <c r="S27" s="17">
        <v>28714.16</v>
      </c>
      <c r="T27" s="64"/>
      <c r="U27" s="17">
        <v>25077.600000000002</v>
      </c>
      <c r="V27" s="64"/>
      <c r="W27" s="17">
        <v>32962</v>
      </c>
      <c r="X27" s="64"/>
      <c r="Y27" s="17">
        <v>30191.52</v>
      </c>
      <c r="Z27" s="64"/>
      <c r="AA27" s="32">
        <v>0.08</v>
      </c>
      <c r="AB27" s="17">
        <v>31992.639999999999</v>
      </c>
      <c r="AC27" s="64"/>
      <c r="AD27" s="17">
        <v>29362.16</v>
      </c>
      <c r="AE27" s="64"/>
      <c r="AF27" s="17">
        <v>32713.040000000001</v>
      </c>
      <c r="AG27" s="64"/>
      <c r="AH27" s="17">
        <v>28116.639999999999</v>
      </c>
      <c r="AI27" s="64"/>
      <c r="AJ27" s="17"/>
      <c r="AK27" s="17">
        <v>24772</v>
      </c>
      <c r="AL27" s="17"/>
      <c r="AM27" s="17">
        <v>17718</v>
      </c>
      <c r="AN27" s="17"/>
      <c r="AO27" s="17"/>
      <c r="AP27" s="17">
        <v>16537.28</v>
      </c>
      <c r="AQ27" s="17"/>
      <c r="AR27" s="17">
        <v>14105.36</v>
      </c>
      <c r="AS27" s="65"/>
    </row>
    <row r="28" spans="3:45">
      <c r="C28" s="32">
        <v>7.0000000000000007E-2</v>
      </c>
      <c r="D28" s="34" t="s">
        <v>17</v>
      </c>
      <c r="E28" s="17">
        <v>26426.050000000003</v>
      </c>
      <c r="F28" s="64"/>
      <c r="G28" s="17">
        <v>27090.770000000004</v>
      </c>
      <c r="H28" s="64"/>
      <c r="I28" s="64"/>
      <c r="J28" s="17">
        <v>33259.520000000004</v>
      </c>
      <c r="K28" s="64"/>
      <c r="L28" s="17">
        <v>27490.610000000004</v>
      </c>
      <c r="M28" s="64"/>
      <c r="N28" s="17">
        <v>32833.360000000001</v>
      </c>
      <c r="O28" s="64"/>
      <c r="P28" s="17">
        <v>29044.400000000001</v>
      </c>
      <c r="Q28" s="64"/>
      <c r="R28" s="32">
        <v>7.0000000000000007E-2</v>
      </c>
      <c r="S28" s="17">
        <v>25124.890000000003</v>
      </c>
      <c r="T28" s="64"/>
      <c r="U28" s="17">
        <v>21942.9</v>
      </c>
      <c r="V28" s="64"/>
      <c r="W28" s="17">
        <v>28841.750000000004</v>
      </c>
      <c r="X28" s="64"/>
      <c r="Y28" s="17">
        <v>26417.58</v>
      </c>
      <c r="Z28" s="64"/>
      <c r="AA28" s="32">
        <v>7.0000000000000007E-2</v>
      </c>
      <c r="AB28" s="17">
        <v>27993.56</v>
      </c>
      <c r="AC28" s="64"/>
      <c r="AD28" s="17">
        <v>25691.890000000003</v>
      </c>
      <c r="AE28" s="64"/>
      <c r="AF28" s="17">
        <v>28623.910000000003</v>
      </c>
      <c r="AG28" s="64"/>
      <c r="AH28" s="17">
        <v>24602.06</v>
      </c>
      <c r="AI28" s="64"/>
      <c r="AJ28" s="17"/>
      <c r="AK28" s="17">
        <v>21675.500000000004</v>
      </c>
      <c r="AL28" s="17"/>
      <c r="AM28" s="17">
        <v>15503.250000000002</v>
      </c>
      <c r="AN28" s="17"/>
      <c r="AO28" s="17"/>
      <c r="AP28" s="17">
        <v>14470.12</v>
      </c>
      <c r="AQ28" s="17"/>
      <c r="AR28" s="17">
        <v>12342.19</v>
      </c>
      <c r="AS28" s="65"/>
    </row>
    <row r="29" spans="3:45">
      <c r="C29" s="32">
        <v>7.0000000000000007E-2</v>
      </c>
      <c r="D29" s="34" t="s">
        <v>18</v>
      </c>
      <c r="E29" s="17">
        <v>26426.050000000003</v>
      </c>
      <c r="F29" s="64"/>
      <c r="G29" s="17">
        <v>27090.770000000004</v>
      </c>
      <c r="H29" s="64"/>
      <c r="I29" s="64"/>
      <c r="J29" s="17">
        <v>33259.520000000004</v>
      </c>
      <c r="K29" s="64"/>
      <c r="L29" s="17">
        <v>27490.610000000004</v>
      </c>
      <c r="M29" s="64"/>
      <c r="N29" s="17">
        <v>32833.360000000001</v>
      </c>
      <c r="O29" s="64"/>
      <c r="P29" s="17">
        <v>29044.400000000001</v>
      </c>
      <c r="Q29" s="64"/>
      <c r="R29" s="32">
        <v>7.0000000000000007E-2</v>
      </c>
      <c r="S29" s="17">
        <v>25124.890000000003</v>
      </c>
      <c r="T29" s="64"/>
      <c r="U29" s="17">
        <v>21942.9</v>
      </c>
      <c r="V29" s="64"/>
      <c r="W29" s="17">
        <v>28841.750000000004</v>
      </c>
      <c r="X29" s="64"/>
      <c r="Y29" s="17">
        <v>26417.58</v>
      </c>
      <c r="Z29" s="64"/>
      <c r="AA29" s="32">
        <v>7.0000000000000007E-2</v>
      </c>
      <c r="AB29" s="17">
        <v>27993.56</v>
      </c>
      <c r="AC29" s="64"/>
      <c r="AD29" s="17">
        <v>25691.890000000003</v>
      </c>
      <c r="AE29" s="64"/>
      <c r="AF29" s="17">
        <v>28623.910000000003</v>
      </c>
      <c r="AG29" s="64"/>
      <c r="AH29" s="17">
        <v>24602.06</v>
      </c>
      <c r="AI29" s="64"/>
      <c r="AJ29" s="17"/>
      <c r="AK29" s="17">
        <v>21675.500000000004</v>
      </c>
      <c r="AL29" s="17"/>
      <c r="AM29" s="17">
        <v>15503.250000000002</v>
      </c>
      <c r="AN29" s="17"/>
      <c r="AO29" s="17"/>
      <c r="AP29" s="17">
        <v>14470.12</v>
      </c>
      <c r="AQ29" s="17"/>
      <c r="AR29" s="17">
        <v>12342.19</v>
      </c>
      <c r="AS29" s="65"/>
    </row>
    <row r="30" spans="3:45">
      <c r="C30" s="32">
        <v>0.06</v>
      </c>
      <c r="D30" s="34" t="s">
        <v>19</v>
      </c>
      <c r="E30" s="17">
        <v>22650.899999999998</v>
      </c>
      <c r="F30" s="64"/>
      <c r="G30" s="17">
        <v>23220.66</v>
      </c>
      <c r="H30" s="64"/>
      <c r="I30" s="64"/>
      <c r="J30" s="17">
        <v>28508.16</v>
      </c>
      <c r="K30" s="64"/>
      <c r="L30" s="17">
        <v>23563.379999999997</v>
      </c>
      <c r="M30" s="64"/>
      <c r="N30" s="17">
        <v>28142.879999999997</v>
      </c>
      <c r="O30" s="64"/>
      <c r="P30" s="17">
        <v>24895.200000000001</v>
      </c>
      <c r="Q30" s="64"/>
      <c r="R30" s="32">
        <v>0.06</v>
      </c>
      <c r="S30" s="17">
        <v>21535.62</v>
      </c>
      <c r="T30" s="64"/>
      <c r="U30" s="17">
        <v>18808.2</v>
      </c>
      <c r="V30" s="64"/>
      <c r="W30" s="17">
        <v>24721.5</v>
      </c>
      <c r="X30" s="64"/>
      <c r="Y30" s="17">
        <v>22643.64</v>
      </c>
      <c r="Z30" s="64"/>
      <c r="AA30" s="32">
        <v>0.06</v>
      </c>
      <c r="AB30" s="17">
        <v>23994.48</v>
      </c>
      <c r="AC30" s="64"/>
      <c r="AD30" s="17">
        <v>22021.62</v>
      </c>
      <c r="AE30" s="64"/>
      <c r="AF30" s="17">
        <v>24534.78</v>
      </c>
      <c r="AG30" s="64"/>
      <c r="AH30" s="17">
        <v>21087.48</v>
      </c>
      <c r="AI30" s="64"/>
      <c r="AJ30" s="17"/>
      <c r="AK30" s="17">
        <v>18579</v>
      </c>
      <c r="AL30" s="17"/>
      <c r="AM30" s="17">
        <v>13288.5</v>
      </c>
      <c r="AN30" s="17"/>
      <c r="AO30" s="17"/>
      <c r="AP30" s="17">
        <v>12402.96</v>
      </c>
      <c r="AQ30" s="17"/>
      <c r="AR30" s="17">
        <v>10579.02</v>
      </c>
      <c r="AS30" s="65"/>
    </row>
    <row r="31" spans="3:45">
      <c r="C31" s="32">
        <v>0.06</v>
      </c>
      <c r="D31" s="34" t="s">
        <v>20</v>
      </c>
      <c r="E31" s="17">
        <v>22650.899999999998</v>
      </c>
      <c r="F31" s="64"/>
      <c r="G31" s="17">
        <v>23220.66</v>
      </c>
      <c r="H31" s="64"/>
      <c r="I31" s="64"/>
      <c r="J31" s="17">
        <v>28508.16</v>
      </c>
      <c r="K31" s="64"/>
      <c r="L31" s="17">
        <v>23563.379999999997</v>
      </c>
      <c r="M31" s="64"/>
      <c r="N31" s="17">
        <v>28142.879999999997</v>
      </c>
      <c r="O31" s="64"/>
      <c r="P31" s="17">
        <v>24895.200000000001</v>
      </c>
      <c r="Q31" s="64"/>
      <c r="R31" s="32">
        <v>0.06</v>
      </c>
      <c r="S31" s="17">
        <v>21535.62</v>
      </c>
      <c r="T31" s="64"/>
      <c r="U31" s="17">
        <v>18808.2</v>
      </c>
      <c r="V31" s="64"/>
      <c r="W31" s="17">
        <v>24721.5</v>
      </c>
      <c r="X31" s="64"/>
      <c r="Y31" s="17">
        <v>22643.64</v>
      </c>
      <c r="Z31" s="64"/>
      <c r="AA31" s="32">
        <v>0.06</v>
      </c>
      <c r="AB31" s="17">
        <v>23994.48</v>
      </c>
      <c r="AC31" s="64"/>
      <c r="AD31" s="17">
        <v>22021.62</v>
      </c>
      <c r="AE31" s="64"/>
      <c r="AF31" s="17">
        <v>24534.78</v>
      </c>
      <c r="AG31" s="64"/>
      <c r="AH31" s="17">
        <v>21087.48</v>
      </c>
      <c r="AI31" s="64"/>
      <c r="AJ31" s="17"/>
      <c r="AK31" s="17">
        <v>18579</v>
      </c>
      <c r="AL31" s="17"/>
      <c r="AM31" s="17">
        <v>13288.5</v>
      </c>
      <c r="AN31" s="17"/>
      <c r="AO31" s="17"/>
      <c r="AP31" s="17">
        <v>12402.96</v>
      </c>
      <c r="AQ31" s="17"/>
      <c r="AR31" s="17">
        <v>10579.02</v>
      </c>
      <c r="AS31" s="65"/>
    </row>
    <row r="32" spans="3:45">
      <c r="C32" s="32">
        <v>0.04</v>
      </c>
      <c r="D32" s="34" t="s">
        <v>21</v>
      </c>
      <c r="E32" s="17">
        <v>15100.6</v>
      </c>
      <c r="F32" s="64"/>
      <c r="G32" s="17">
        <v>15480.44</v>
      </c>
      <c r="H32" s="64"/>
      <c r="I32" s="64"/>
      <c r="J32" s="17">
        <v>19005.439999999999</v>
      </c>
      <c r="K32" s="64"/>
      <c r="L32" s="17">
        <v>15708.92</v>
      </c>
      <c r="M32" s="64"/>
      <c r="N32" s="17">
        <v>18761.920000000002</v>
      </c>
      <c r="O32" s="64"/>
      <c r="P32" s="17">
        <v>16596.8</v>
      </c>
      <c r="Q32" s="64"/>
      <c r="R32" s="32">
        <v>0.04</v>
      </c>
      <c r="S32" s="17">
        <v>14357.08</v>
      </c>
      <c r="T32" s="64"/>
      <c r="U32" s="17">
        <v>12538.800000000001</v>
      </c>
      <c r="V32" s="64"/>
      <c r="W32" s="17">
        <v>16481</v>
      </c>
      <c r="X32" s="64"/>
      <c r="Y32" s="17">
        <v>15095.76</v>
      </c>
      <c r="Z32" s="64"/>
      <c r="AA32" s="32">
        <v>0.04</v>
      </c>
      <c r="AB32" s="17">
        <v>15996.32</v>
      </c>
      <c r="AC32" s="64"/>
      <c r="AD32" s="17">
        <v>14681.08</v>
      </c>
      <c r="AE32" s="64"/>
      <c r="AF32" s="17">
        <v>16356.52</v>
      </c>
      <c r="AG32" s="64"/>
      <c r="AH32" s="17">
        <v>14058.32</v>
      </c>
      <c r="AI32" s="64"/>
      <c r="AJ32" s="17"/>
      <c r="AK32" s="17">
        <v>12386</v>
      </c>
      <c r="AL32" s="17"/>
      <c r="AM32" s="17">
        <v>8859</v>
      </c>
      <c r="AN32" s="17"/>
      <c r="AO32" s="17"/>
      <c r="AP32" s="17">
        <v>8268.64</v>
      </c>
      <c r="AQ32" s="17"/>
      <c r="AR32" s="17">
        <v>7052.68</v>
      </c>
      <c r="AS32" s="65"/>
    </row>
    <row r="33" spans="3:45">
      <c r="C33" s="32">
        <v>0.04</v>
      </c>
      <c r="D33" s="34" t="s">
        <v>22</v>
      </c>
      <c r="E33" s="17">
        <v>15100.6</v>
      </c>
      <c r="F33" s="64"/>
      <c r="G33" s="17">
        <v>15480.44</v>
      </c>
      <c r="H33" s="64"/>
      <c r="I33" s="64"/>
      <c r="J33" s="17">
        <v>19005.439999999999</v>
      </c>
      <c r="K33" s="64"/>
      <c r="L33" s="17">
        <v>15708.92</v>
      </c>
      <c r="M33" s="64"/>
      <c r="N33" s="17">
        <v>18761.920000000002</v>
      </c>
      <c r="O33" s="64"/>
      <c r="P33" s="17">
        <v>16596.8</v>
      </c>
      <c r="Q33" s="64"/>
      <c r="R33" s="32">
        <v>0.04</v>
      </c>
      <c r="S33" s="17">
        <v>14357.08</v>
      </c>
      <c r="T33" s="64"/>
      <c r="U33" s="17">
        <v>12538.800000000001</v>
      </c>
      <c r="V33" s="64"/>
      <c r="W33" s="17">
        <v>16481</v>
      </c>
      <c r="X33" s="64"/>
      <c r="Y33" s="17">
        <v>15095.76</v>
      </c>
      <c r="Z33" s="64"/>
      <c r="AA33" s="32">
        <v>0.04</v>
      </c>
      <c r="AB33" s="17">
        <v>15996.32</v>
      </c>
      <c r="AC33" s="64"/>
      <c r="AD33" s="17">
        <v>14681.08</v>
      </c>
      <c r="AE33" s="64"/>
      <c r="AF33" s="17">
        <v>16356.52</v>
      </c>
      <c r="AG33" s="64"/>
      <c r="AH33" s="17">
        <v>14058.32</v>
      </c>
      <c r="AI33" s="64"/>
      <c r="AJ33" s="17"/>
      <c r="AK33" s="17">
        <v>12386</v>
      </c>
      <c r="AL33" s="17"/>
      <c r="AM33" s="17">
        <v>8859</v>
      </c>
      <c r="AN33" s="17"/>
      <c r="AO33" s="17"/>
      <c r="AP33" s="17">
        <v>8268.64</v>
      </c>
      <c r="AQ33" s="17"/>
      <c r="AR33" s="17">
        <v>7052.68</v>
      </c>
      <c r="AS33" s="65"/>
    </row>
    <row r="34" spans="3:45">
      <c r="C34" s="32">
        <v>0.04</v>
      </c>
      <c r="D34" s="34" t="s">
        <v>23</v>
      </c>
      <c r="E34" s="17">
        <v>15100.6</v>
      </c>
      <c r="F34" s="64"/>
      <c r="G34" s="17">
        <v>15480.44</v>
      </c>
      <c r="H34" s="64"/>
      <c r="I34" s="64"/>
      <c r="J34" s="17">
        <v>19005.439999999999</v>
      </c>
      <c r="K34" s="64"/>
      <c r="L34" s="17">
        <v>15708.92</v>
      </c>
      <c r="M34" s="64"/>
      <c r="N34" s="17">
        <v>18761.920000000002</v>
      </c>
      <c r="O34" s="64"/>
      <c r="P34" s="17">
        <v>16596.8</v>
      </c>
      <c r="Q34" s="64"/>
      <c r="R34" s="32">
        <v>0.04</v>
      </c>
      <c r="S34" s="17">
        <v>14357.08</v>
      </c>
      <c r="T34" s="64"/>
      <c r="U34" s="17">
        <v>12538.800000000001</v>
      </c>
      <c r="V34" s="64"/>
      <c r="W34" s="17">
        <v>16481</v>
      </c>
      <c r="X34" s="64"/>
      <c r="Y34" s="17">
        <v>15095.76</v>
      </c>
      <c r="Z34" s="64"/>
      <c r="AA34" s="32">
        <v>0.04</v>
      </c>
      <c r="AB34" s="17">
        <v>15996.32</v>
      </c>
      <c r="AC34" s="64"/>
      <c r="AD34" s="17">
        <v>14681.08</v>
      </c>
      <c r="AE34" s="64"/>
      <c r="AF34" s="17">
        <v>16356.52</v>
      </c>
      <c r="AG34" s="64"/>
      <c r="AH34" s="17">
        <v>14058.32</v>
      </c>
      <c r="AI34" s="64"/>
      <c r="AJ34" s="17"/>
      <c r="AK34" s="17">
        <v>12386</v>
      </c>
      <c r="AL34" s="17"/>
      <c r="AM34" s="17">
        <v>8859</v>
      </c>
      <c r="AN34" s="17"/>
      <c r="AO34" s="17"/>
      <c r="AP34" s="17">
        <v>8268.64</v>
      </c>
      <c r="AQ34" s="17"/>
      <c r="AR34" s="17">
        <v>7052.68</v>
      </c>
      <c r="AS34" s="65"/>
    </row>
    <row r="35" spans="3:45">
      <c r="C35" s="32">
        <v>0.04</v>
      </c>
      <c r="D35" s="34" t="s">
        <v>24</v>
      </c>
      <c r="E35" s="17">
        <v>15100.6</v>
      </c>
      <c r="F35" s="64"/>
      <c r="G35" s="17">
        <v>15480.44</v>
      </c>
      <c r="H35" s="64"/>
      <c r="I35" s="64"/>
      <c r="J35" s="17">
        <v>19005.439999999999</v>
      </c>
      <c r="K35" s="64"/>
      <c r="L35" s="17">
        <v>15708.92</v>
      </c>
      <c r="M35" s="64"/>
      <c r="N35" s="17">
        <v>18761.920000000002</v>
      </c>
      <c r="O35" s="64"/>
      <c r="P35" s="17">
        <v>16596.8</v>
      </c>
      <c r="Q35" s="64"/>
      <c r="R35" s="32">
        <v>0.04</v>
      </c>
      <c r="S35" s="17">
        <v>14357.08</v>
      </c>
      <c r="T35" s="64"/>
      <c r="U35" s="17">
        <v>12538.800000000001</v>
      </c>
      <c r="V35" s="64"/>
      <c r="W35" s="17">
        <v>16481</v>
      </c>
      <c r="X35" s="64"/>
      <c r="Y35" s="17">
        <v>15095.76</v>
      </c>
      <c r="Z35" s="64"/>
      <c r="AA35" s="32">
        <v>0.04</v>
      </c>
      <c r="AB35" s="17">
        <v>15996.32</v>
      </c>
      <c r="AC35" s="64"/>
      <c r="AD35" s="17">
        <v>14681.08</v>
      </c>
      <c r="AE35" s="64"/>
      <c r="AF35" s="17">
        <v>16356.52</v>
      </c>
      <c r="AG35" s="64"/>
      <c r="AH35" s="17">
        <v>14058.32</v>
      </c>
      <c r="AI35" s="64"/>
      <c r="AJ35" s="17"/>
      <c r="AK35" s="17">
        <v>12386</v>
      </c>
      <c r="AL35" s="17"/>
      <c r="AM35" s="17">
        <v>8859</v>
      </c>
      <c r="AN35" s="17"/>
      <c r="AO35" s="17"/>
      <c r="AP35" s="17">
        <v>8268.64</v>
      </c>
      <c r="AQ35" s="17"/>
      <c r="AR35" s="17">
        <v>7052.68</v>
      </c>
      <c r="AS35" s="65"/>
    </row>
    <row r="36" spans="3:45">
      <c r="C36" s="32">
        <v>0.04</v>
      </c>
      <c r="D36" s="34" t="s">
        <v>25</v>
      </c>
      <c r="E36" s="17">
        <v>15100.6</v>
      </c>
      <c r="F36" s="64"/>
      <c r="G36" s="17">
        <v>15480.44</v>
      </c>
      <c r="H36" s="64"/>
      <c r="I36" s="64"/>
      <c r="J36" s="17">
        <v>19005.439999999999</v>
      </c>
      <c r="K36" s="64"/>
      <c r="L36" s="17">
        <v>15708.92</v>
      </c>
      <c r="M36" s="64"/>
      <c r="N36" s="17">
        <v>18761.920000000002</v>
      </c>
      <c r="O36" s="64"/>
      <c r="P36" s="17">
        <v>16596.8</v>
      </c>
      <c r="Q36" s="64"/>
      <c r="R36" s="32">
        <v>0.04</v>
      </c>
      <c r="S36" s="17">
        <v>14357.08</v>
      </c>
      <c r="T36" s="64"/>
      <c r="U36" s="17">
        <v>12538.800000000001</v>
      </c>
      <c r="V36" s="64"/>
      <c r="W36" s="17">
        <v>16481</v>
      </c>
      <c r="X36" s="64"/>
      <c r="Y36" s="17">
        <v>15095.76</v>
      </c>
      <c r="Z36" s="64"/>
      <c r="AA36" s="32">
        <v>0.04</v>
      </c>
      <c r="AB36" s="17">
        <v>15996.32</v>
      </c>
      <c r="AC36" s="64"/>
      <c r="AD36" s="17">
        <v>14681.08</v>
      </c>
      <c r="AE36" s="64"/>
      <c r="AF36" s="17">
        <v>16356.52</v>
      </c>
      <c r="AG36" s="64"/>
      <c r="AH36" s="17">
        <v>14058.32</v>
      </c>
      <c r="AI36" s="64"/>
      <c r="AJ36" s="17"/>
      <c r="AK36" s="17">
        <v>12386</v>
      </c>
      <c r="AL36" s="17"/>
      <c r="AM36" s="17">
        <v>8859</v>
      </c>
      <c r="AN36" s="17"/>
      <c r="AO36" s="17"/>
      <c r="AP36" s="17">
        <v>8268.64</v>
      </c>
      <c r="AQ36" s="17"/>
      <c r="AR36" s="17">
        <v>7052.68</v>
      </c>
      <c r="AS36" s="65"/>
    </row>
    <row r="37" spans="3:45">
      <c r="C37" s="32">
        <v>0.04</v>
      </c>
      <c r="D37" s="34" t="s">
        <v>26</v>
      </c>
      <c r="E37" s="17">
        <v>15100.6</v>
      </c>
      <c r="F37" s="64"/>
      <c r="G37" s="17">
        <v>15480.44</v>
      </c>
      <c r="H37" s="64"/>
      <c r="I37" s="64"/>
      <c r="J37" s="17">
        <v>19005.439999999999</v>
      </c>
      <c r="K37" s="64"/>
      <c r="L37" s="17">
        <v>15708.92</v>
      </c>
      <c r="M37" s="64"/>
      <c r="N37" s="17">
        <v>18761.920000000002</v>
      </c>
      <c r="O37" s="64"/>
      <c r="P37" s="17">
        <v>16596.8</v>
      </c>
      <c r="Q37" s="64"/>
      <c r="R37" s="32">
        <v>0.04</v>
      </c>
      <c r="S37" s="17">
        <v>14357.08</v>
      </c>
      <c r="T37" s="64"/>
      <c r="U37" s="17">
        <v>12538.800000000001</v>
      </c>
      <c r="V37" s="64"/>
      <c r="W37" s="17">
        <v>16481</v>
      </c>
      <c r="X37" s="64"/>
      <c r="Y37" s="17">
        <v>15095.76</v>
      </c>
      <c r="Z37" s="64"/>
      <c r="AA37" s="32">
        <v>0.04</v>
      </c>
      <c r="AB37" s="17">
        <v>15996.32</v>
      </c>
      <c r="AC37" s="64"/>
      <c r="AD37" s="17">
        <v>14681.08</v>
      </c>
      <c r="AE37" s="64"/>
      <c r="AF37" s="17">
        <v>16356.52</v>
      </c>
      <c r="AG37" s="64"/>
      <c r="AH37" s="17">
        <v>14058.32</v>
      </c>
      <c r="AI37" s="64"/>
      <c r="AJ37" s="17"/>
      <c r="AK37" s="17">
        <v>12386</v>
      </c>
      <c r="AL37" s="17"/>
      <c r="AM37" s="17">
        <v>8859</v>
      </c>
      <c r="AN37" s="17"/>
      <c r="AO37" s="17"/>
      <c r="AP37" s="17">
        <v>8268.64</v>
      </c>
      <c r="AQ37" s="17"/>
      <c r="AR37" s="17">
        <v>7052.68</v>
      </c>
      <c r="AS37" s="65"/>
    </row>
    <row r="38" spans="3:45" ht="18.75" thickBot="1">
      <c r="C38" s="32">
        <v>0.04</v>
      </c>
      <c r="D38" s="35" t="s">
        <v>27</v>
      </c>
      <c r="E38" s="30">
        <v>15100.6</v>
      </c>
      <c r="F38" s="29"/>
      <c r="G38" s="30">
        <v>15480.44</v>
      </c>
      <c r="H38" s="29"/>
      <c r="I38" s="29"/>
      <c r="J38" s="30">
        <v>19005.439999999999</v>
      </c>
      <c r="K38" s="29"/>
      <c r="L38" s="30">
        <v>15708.92</v>
      </c>
      <c r="M38" s="29"/>
      <c r="N38" s="30">
        <v>18761.920000000002</v>
      </c>
      <c r="O38" s="29"/>
      <c r="P38" s="30">
        <v>16596.8</v>
      </c>
      <c r="Q38" s="29"/>
      <c r="R38" s="66">
        <v>0.04</v>
      </c>
      <c r="S38" s="30">
        <v>14357.08</v>
      </c>
      <c r="T38" s="29"/>
      <c r="U38" s="30">
        <v>12538.800000000001</v>
      </c>
      <c r="V38" s="29"/>
      <c r="W38" s="30">
        <v>16481</v>
      </c>
      <c r="X38" s="29"/>
      <c r="Y38" s="30">
        <v>15095.76</v>
      </c>
      <c r="Z38" s="29"/>
      <c r="AA38" s="66">
        <v>0.04</v>
      </c>
      <c r="AB38" s="30">
        <v>15996.32</v>
      </c>
      <c r="AC38" s="29"/>
      <c r="AD38" s="30">
        <v>14681.08</v>
      </c>
      <c r="AE38" s="29"/>
      <c r="AF38" s="30">
        <v>16356.52</v>
      </c>
      <c r="AG38" s="29"/>
      <c r="AH38" s="30">
        <v>14058.32</v>
      </c>
      <c r="AI38" s="29"/>
      <c r="AJ38" s="30"/>
      <c r="AK38" s="30">
        <v>12386</v>
      </c>
      <c r="AL38" s="30"/>
      <c r="AM38" s="30">
        <v>8859</v>
      </c>
      <c r="AN38" s="30"/>
      <c r="AO38" s="30"/>
      <c r="AP38" s="30">
        <v>8268.64</v>
      </c>
      <c r="AQ38" s="30"/>
      <c r="AR38" s="30">
        <v>7052.68</v>
      </c>
      <c r="AS38" s="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Maddox</dc:creator>
  <cp:lastModifiedBy>tim.anderson@commissionkings.ag</cp:lastModifiedBy>
  <dcterms:created xsi:type="dcterms:W3CDTF">2025-06-16T23:01:26Z</dcterms:created>
  <dcterms:modified xsi:type="dcterms:W3CDTF">2025-07-08T15:21:11Z</dcterms:modified>
</cp:coreProperties>
</file>