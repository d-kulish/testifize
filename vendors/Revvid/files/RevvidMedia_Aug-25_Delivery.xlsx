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O:\Marketing Team\Marketing\MarketingMediaData\Media Reports - August - 25\"/>
    </mc:Choice>
  </mc:AlternateContent>
  <xr:revisionPtr revIDLastSave="0" documentId="8_{E5A6239A-750E-43F7-8ECE-3296EB71ADD4}" xr6:coauthVersionLast="47" xr6:coauthVersionMax="47" xr10:uidLastSave="{00000000-0000-0000-0000-000000000000}"/>
  <bookViews>
    <workbookView xWindow="-120" yWindow="-120" windowWidth="21840" windowHeight="11190" xr2:uid="{C6AE24AD-060F-FB46-97A6-EACEA001F2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12" i="1" l="1"/>
  <c r="W12" i="1"/>
  <c r="V12" i="1"/>
  <c r="C13" i="1"/>
  <c r="U12" i="1"/>
  <c r="S12" i="1"/>
  <c r="R12" i="1"/>
  <c r="Q12" i="1"/>
  <c r="P12" i="1"/>
  <c r="N12" i="1"/>
  <c r="M12" i="1"/>
  <c r="L12" i="1"/>
  <c r="K12" i="1"/>
  <c r="I12" i="1"/>
  <c r="H12" i="1"/>
  <c r="G12" i="1"/>
  <c r="F12" i="1"/>
  <c r="D12" i="1"/>
  <c r="C12" i="1"/>
  <c r="B12" i="1"/>
  <c r="B14" i="1" s="1"/>
  <c r="C14" i="1" l="1"/>
  <c r="D13" i="1"/>
  <c r="D14" i="1" l="1"/>
  <c r="F13" i="1"/>
  <c r="F14" i="1" l="1"/>
  <c r="G13" i="1"/>
  <c r="G14" i="1" l="1"/>
  <c r="H13" i="1"/>
  <c r="H14" i="1" l="1"/>
  <c r="I13" i="1"/>
  <c r="K13" i="1" l="1"/>
  <c r="I14" i="1"/>
  <c r="L13" i="1" l="1"/>
  <c r="K14" i="1"/>
  <c r="M13" i="1" l="1"/>
  <c r="L14" i="1"/>
  <c r="N13" i="1" l="1"/>
  <c r="M14" i="1"/>
  <c r="P13" i="1" l="1"/>
  <c r="N14" i="1"/>
  <c r="P14" i="1" l="1"/>
  <c r="Q13" i="1"/>
  <c r="Q14" i="1" l="1"/>
  <c r="R13" i="1"/>
  <c r="R14" i="1" l="1"/>
  <c r="S13" i="1"/>
  <c r="S14" i="1" l="1"/>
  <c r="U13" i="1"/>
  <c r="U14" i="1" l="1"/>
  <c r="V13" i="1"/>
  <c r="W13" i="1" l="1"/>
  <c r="V14" i="1"/>
  <c r="W14" i="1" l="1"/>
  <c r="X13" i="1"/>
  <c r="X14" i="1" s="1"/>
</calcChain>
</file>

<file path=xl/sharedStrings.xml><?xml version="1.0" encoding="utf-8"?>
<sst xmlns="http://schemas.openxmlformats.org/spreadsheetml/2006/main" count="31" uniqueCount="13">
  <si>
    <t>Betonline Delviery Aug</t>
  </si>
  <si>
    <t>Impressions</t>
  </si>
  <si>
    <t xml:space="preserve">ESPN - </t>
  </si>
  <si>
    <t xml:space="preserve">Fox Sports - </t>
  </si>
  <si>
    <t>USA Today</t>
  </si>
  <si>
    <t>CBS Sports -</t>
  </si>
  <si>
    <t xml:space="preserve">RSN Live Games </t>
  </si>
  <si>
    <t xml:space="preserve">Big 10 Network - </t>
  </si>
  <si>
    <t xml:space="preserve">ACC Network - </t>
  </si>
  <si>
    <t xml:space="preserve">SEC Network - </t>
  </si>
  <si>
    <t xml:space="preserve">Daily Impressions </t>
  </si>
  <si>
    <t>Daily Spend</t>
  </si>
  <si>
    <t>CPM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</si>
</sst>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7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name val="Arial"/>
      <family val="2"/>
    </font>
    <font>
      <sz val="14"/>
      <name val="Arial"/>
      <family val="2"/>
    </font>
    <font>
      <b/>
      <sz val="14"/>
      <color theme="1"/>
      <name val="Aptos Narrow"/>
      <scheme val="minor"/>
    </font>
    <font>
      <b/>
      <sz val="14"/>
      <color rgb="FFFF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0">
    <xf numFmtId="0" fontId="0" fillId="0" borderId="0" xfId="0"/>
    <xf numFmtId="164" fontId="2" fillId="0" borderId="0" xfId="1" applyNumberFormat="1" applyFont="1" applyBorder="1"/>
    <xf numFmtId="14" fontId="2" fillId="0" borderId="0" xfId="1" applyNumberFormat="1" applyFont="1" applyBorder="1" applyAlignment="1">
      <alignment horizontal="center"/>
    </xf>
    <xf numFmtId="14" fontId="2" fillId="0" borderId="1" xfId="1" applyNumberFormat="1" applyFont="1" applyBorder="1" applyAlignment="1">
      <alignment horizontal="center"/>
    </xf>
    <xf numFmtId="14" fontId="2" fillId="0" borderId="2" xfId="1" applyNumberFormat="1" applyFont="1" applyBorder="1" applyAlignment="1">
      <alignment horizontal="center"/>
    </xf>
    <xf numFmtId="14" fontId="2" fillId="0" borderId="3" xfId="1" applyNumberFormat="1" applyFont="1" applyBorder="1" applyAlignment="1">
      <alignment horizontal="center"/>
    </xf>
    <xf numFmtId="14" fontId="2" fillId="0" borderId="4" xfId="1" applyNumberFormat="1" applyFont="1" applyBorder="1" applyAlignment="1">
      <alignment horizontal="center"/>
    </xf>
    <xf numFmtId="164" fontId="3" fillId="0" borderId="0" xfId="1" applyNumberFormat="1" applyFont="1" applyBorder="1" applyAlignment="1">
      <alignment horizontal="center"/>
    </xf>
    <xf numFmtId="164" fontId="3" fillId="0" borderId="5" xfId="1" applyNumberFormat="1" applyFont="1" applyBorder="1" applyAlignment="1">
      <alignment horizontal="center"/>
    </xf>
    <xf numFmtId="164" fontId="3" fillId="0" borderId="6" xfId="1" applyNumberFormat="1" applyFont="1" applyBorder="1" applyAlignment="1">
      <alignment horizontal="center"/>
    </xf>
    <xf numFmtId="164" fontId="2" fillId="0" borderId="0" xfId="1" applyNumberFormat="1" applyFont="1" applyBorder="1" applyAlignment="1">
      <alignment horizontal="center"/>
    </xf>
    <xf numFmtId="164" fontId="3" fillId="0" borderId="7" xfId="1" applyNumberFormat="1" applyFont="1" applyBorder="1" applyAlignment="1">
      <alignment horizontal="center"/>
    </xf>
    <xf numFmtId="164" fontId="4" fillId="0" borderId="0" xfId="1" applyNumberFormat="1" applyFont="1" applyBorder="1"/>
    <xf numFmtId="164" fontId="2" fillId="0" borderId="5" xfId="1" applyNumberFormat="1" applyFont="1" applyBorder="1"/>
    <xf numFmtId="164" fontId="2" fillId="0" borderId="6" xfId="1" applyNumberFormat="1" applyFont="1" applyBorder="1"/>
    <xf numFmtId="164" fontId="2" fillId="0" borderId="7" xfId="1" applyNumberFormat="1" applyFont="1" applyBorder="1"/>
    <xf numFmtId="164" fontId="5" fillId="2" borderId="0" xfId="1" applyNumberFormat="1" applyFont="1" applyFill="1" applyBorder="1"/>
    <xf numFmtId="164" fontId="5" fillId="2" borderId="1" xfId="1" applyNumberFormat="1" applyFont="1" applyFill="1" applyBorder="1"/>
    <xf numFmtId="164" fontId="5" fillId="2" borderId="2" xfId="1" applyNumberFormat="1" applyFont="1" applyFill="1" applyBorder="1"/>
    <xf numFmtId="164" fontId="5" fillId="2" borderId="3" xfId="1" applyNumberFormat="1" applyFont="1" applyFill="1" applyBorder="1"/>
    <xf numFmtId="164" fontId="5" fillId="0" borderId="0" xfId="1" applyNumberFormat="1" applyFont="1" applyBorder="1"/>
    <xf numFmtId="164" fontId="5" fillId="2" borderId="4" xfId="1" applyNumberFormat="1" applyFont="1" applyFill="1" applyBorder="1"/>
    <xf numFmtId="44" fontId="5" fillId="2" borderId="0" xfId="2" applyFont="1" applyFill="1" applyBorder="1"/>
    <xf numFmtId="44" fontId="6" fillId="2" borderId="5" xfId="2" applyFont="1" applyFill="1" applyBorder="1"/>
    <xf numFmtId="44" fontId="6" fillId="2" borderId="0" xfId="2" applyFont="1" applyFill="1" applyBorder="1"/>
    <xf numFmtId="44" fontId="6" fillId="2" borderId="6" xfId="2" applyFont="1" applyFill="1" applyBorder="1"/>
    <xf numFmtId="44" fontId="5" fillId="2" borderId="8" xfId="2" applyFont="1" applyFill="1" applyBorder="1"/>
    <xf numFmtId="44" fontId="5" fillId="2" borderId="9" xfId="2" applyFont="1" applyFill="1" applyBorder="1"/>
    <xf numFmtId="44" fontId="5" fillId="2" borderId="10" xfId="2" applyFont="1" applyFill="1" applyBorder="1"/>
    <xf numFmtId="44" fontId="2" fillId="0" borderId="0" xfId="2" applyFont="1" applyBorder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51A04-7A45-9743-A4DF-53073415AF88}">
  <dimension ref="A1:X16"/>
  <sheetViews>
    <sheetView tabSelected="1" workbookViewId="0">
      <selection activeCell="A38" sqref="A38"/>
    </sheetView>
  </sheetViews>
  <sheetFormatPr defaultColWidth="8.77734375" defaultRowHeight="18"/>
  <cols>
    <col min="1" max="1" width="39.6640625" style="1" customWidth="1"/>
    <col min="2" max="2" width="22" style="1" customWidth="1"/>
    <col min="3" max="3" width="23.6640625" style="1" customWidth="1"/>
    <col min="4" max="4" width="17.109375" style="1" customWidth="1"/>
    <col min="6" max="6" width="16.6640625" style="1" customWidth="1"/>
    <col min="7" max="7" width="19.77734375" style="1" customWidth="1"/>
    <col min="8" max="8" width="18.6640625" style="1" customWidth="1"/>
    <col min="9" max="9" width="19.33203125" style="1" customWidth="1"/>
    <col min="11" max="11" width="18" style="1" customWidth="1"/>
    <col min="12" max="12" width="18.6640625" style="1" customWidth="1"/>
    <col min="13" max="13" width="20.6640625" style="1" customWidth="1"/>
    <col min="14" max="14" width="17.6640625" style="1" customWidth="1"/>
    <col min="16" max="16" width="19.33203125" style="1" customWidth="1"/>
    <col min="17" max="17" width="17.6640625" style="1" customWidth="1"/>
    <col min="18" max="18" width="16.109375" style="1" customWidth="1"/>
    <col min="19" max="19" width="19.77734375" style="1" customWidth="1"/>
    <col min="21" max="21" width="16.77734375" style="1" customWidth="1"/>
    <col min="22" max="22" width="18.77734375" style="1" customWidth="1"/>
    <col min="23" max="23" width="14" style="1" customWidth="1"/>
    <col min="24" max="24" width="21.33203125" style="1" customWidth="1"/>
    <col min="25" max="16384" width="8.77734375" style="1"/>
  </cols>
  <sheetData>
    <row r="1" spans="1:24" ht="18.75" thickBot="1"/>
    <row r="2" spans="1:24" s="2" customFormat="1" ht="18.75" thickBot="1">
      <c r="B2" s="3">
        <v>45870</v>
      </c>
      <c r="C2" s="4">
        <v>45871</v>
      </c>
      <c r="D2" s="5">
        <v>45872</v>
      </c>
      <c r="F2" s="6">
        <v>45876</v>
      </c>
      <c r="G2" s="3">
        <v>45877</v>
      </c>
      <c r="H2" s="4">
        <v>45878</v>
      </c>
      <c r="I2" s="5">
        <v>45879</v>
      </c>
      <c r="K2" s="6">
        <v>45883</v>
      </c>
      <c r="L2" s="3">
        <v>45884</v>
      </c>
      <c r="M2" s="4">
        <v>45885</v>
      </c>
      <c r="N2" s="5">
        <v>45886</v>
      </c>
      <c r="P2" s="6">
        <v>45890</v>
      </c>
      <c r="Q2" s="3">
        <v>45891</v>
      </c>
      <c r="R2" s="4">
        <v>45892</v>
      </c>
      <c r="S2" s="5">
        <v>45893</v>
      </c>
      <c r="U2" s="3">
        <v>45897</v>
      </c>
      <c r="V2" s="4">
        <v>45898</v>
      </c>
      <c r="W2" s="4">
        <v>45899</v>
      </c>
      <c r="X2" s="5">
        <v>45900</v>
      </c>
    </row>
    <row r="3" spans="1:24" s="10" customFormat="1">
      <c r="A3" s="7" t="s">
        <v>0</v>
      </c>
      <c r="B3" s="8" t="s">
        <v>1</v>
      </c>
      <c r="C3" s="7" t="s">
        <v>1</v>
      </c>
      <c r="D3" s="9" t="s">
        <v>1</v>
      </c>
      <c r="F3" s="11" t="s">
        <v>1</v>
      </c>
      <c r="G3" s="8" t="s">
        <v>1</v>
      </c>
      <c r="H3" s="7" t="s">
        <v>1</v>
      </c>
      <c r="I3" s="9" t="s">
        <v>1</v>
      </c>
      <c r="K3" s="11" t="s">
        <v>1</v>
      </c>
      <c r="L3" s="8" t="s">
        <v>1</v>
      </c>
      <c r="M3" s="7" t="s">
        <v>1</v>
      </c>
      <c r="N3" s="9" t="s">
        <v>1</v>
      </c>
      <c r="P3" s="11" t="s">
        <v>1</v>
      </c>
      <c r="Q3" s="8" t="s">
        <v>1</v>
      </c>
      <c r="R3" s="7" t="s">
        <v>1</v>
      </c>
      <c r="S3" s="9" t="s">
        <v>1</v>
      </c>
      <c r="U3" s="8" t="s">
        <v>1</v>
      </c>
      <c r="V3" s="7" t="s">
        <v>1</v>
      </c>
      <c r="W3" s="7" t="s">
        <v>1</v>
      </c>
      <c r="X3" s="9" t="s">
        <v>1</v>
      </c>
    </row>
    <row r="4" spans="1:24">
      <c r="A4" s="12" t="s">
        <v>2</v>
      </c>
      <c r="B4" s="13">
        <v>59765</v>
      </c>
      <c r="C4" s="1">
        <v>55678</v>
      </c>
      <c r="D4" s="14">
        <v>75643</v>
      </c>
      <c r="F4" s="15">
        <v>68736</v>
      </c>
      <c r="G4" s="13">
        <v>77564</v>
      </c>
      <c r="H4" s="1">
        <v>68234</v>
      </c>
      <c r="I4" s="14">
        <v>75498</v>
      </c>
      <c r="K4" s="15">
        <v>85348</v>
      </c>
      <c r="L4" s="13">
        <v>66432</v>
      </c>
      <c r="M4" s="1">
        <v>49874</v>
      </c>
      <c r="N4" s="14">
        <v>81456</v>
      </c>
      <c r="P4" s="15">
        <v>83476</v>
      </c>
      <c r="Q4" s="13">
        <v>67453</v>
      </c>
      <c r="R4" s="1">
        <v>56432</v>
      </c>
      <c r="S4" s="14">
        <v>48558</v>
      </c>
      <c r="U4" s="13">
        <v>34567</v>
      </c>
      <c r="V4" s="1">
        <v>71345</v>
      </c>
      <c r="W4" s="1">
        <v>667845</v>
      </c>
      <c r="X4" s="14">
        <v>58976</v>
      </c>
    </row>
    <row r="5" spans="1:24">
      <c r="A5" s="12" t="s">
        <v>3</v>
      </c>
      <c r="B5" s="13">
        <v>18765</v>
      </c>
      <c r="C5" s="1">
        <v>18345</v>
      </c>
      <c r="D5" s="14">
        <v>56784</v>
      </c>
      <c r="F5" s="15">
        <v>39126</v>
      </c>
      <c r="G5" s="13">
        <v>48907</v>
      </c>
      <c r="H5" s="1">
        <v>49675</v>
      </c>
      <c r="I5" s="14">
        <v>38754</v>
      </c>
      <c r="K5" s="15">
        <v>35189</v>
      </c>
      <c r="L5" s="13">
        <v>37654</v>
      </c>
      <c r="M5" s="1">
        <v>17826</v>
      </c>
      <c r="N5" s="14">
        <v>43789</v>
      </c>
      <c r="P5" s="15">
        <v>36783</v>
      </c>
      <c r="Q5" s="13">
        <v>36754</v>
      </c>
      <c r="R5" s="1">
        <v>28765</v>
      </c>
      <c r="S5" s="14">
        <v>17826</v>
      </c>
      <c r="U5" s="13">
        <v>21456</v>
      </c>
      <c r="V5" s="1">
        <v>43289</v>
      </c>
      <c r="W5" s="1">
        <v>54734</v>
      </c>
      <c r="X5" s="14">
        <v>43789</v>
      </c>
    </row>
    <row r="6" spans="1:24">
      <c r="A6" s="12" t="s">
        <v>4</v>
      </c>
      <c r="B6" s="13">
        <v>4578</v>
      </c>
      <c r="C6" s="1">
        <v>4678</v>
      </c>
      <c r="D6" s="14">
        <v>3180</v>
      </c>
      <c r="F6" s="15">
        <v>5609</v>
      </c>
      <c r="G6" s="13">
        <v>4567</v>
      </c>
      <c r="H6" s="1">
        <v>4444</v>
      </c>
      <c r="I6" s="14">
        <v>3275</v>
      </c>
      <c r="K6" s="15">
        <v>3267</v>
      </c>
      <c r="L6" s="13">
        <v>4325</v>
      </c>
      <c r="M6" s="1">
        <v>3306</v>
      </c>
      <c r="N6" s="14">
        <v>3678</v>
      </c>
      <c r="P6" s="15">
        <v>4325</v>
      </c>
      <c r="Q6" s="13">
        <v>2932</v>
      </c>
      <c r="R6" s="1">
        <v>2842</v>
      </c>
      <c r="S6" s="14">
        <v>2992</v>
      </c>
      <c r="U6" s="13">
        <v>5436</v>
      </c>
      <c r="V6" s="1">
        <v>6896</v>
      </c>
      <c r="W6" s="1">
        <v>5432</v>
      </c>
      <c r="X6" s="14">
        <v>5290</v>
      </c>
    </row>
    <row r="7" spans="1:24">
      <c r="A7" s="12" t="s">
        <v>5</v>
      </c>
      <c r="B7" s="13">
        <v>70432</v>
      </c>
      <c r="C7" s="1">
        <v>80654</v>
      </c>
      <c r="D7" s="14">
        <v>63421</v>
      </c>
      <c r="F7" s="15">
        <v>61896</v>
      </c>
      <c r="G7" s="13">
        <v>85602</v>
      </c>
      <c r="H7" s="1">
        <v>68247</v>
      </c>
      <c r="I7" s="14">
        <v>40855</v>
      </c>
      <c r="K7" s="15">
        <v>36542</v>
      </c>
      <c r="L7" s="13">
        <v>89234</v>
      </c>
      <c r="M7" s="1">
        <v>63983</v>
      </c>
      <c r="N7" s="14">
        <v>35678</v>
      </c>
      <c r="P7" s="15">
        <v>38909</v>
      </c>
      <c r="Q7" s="13">
        <v>70863</v>
      </c>
      <c r="R7" s="1">
        <v>58763</v>
      </c>
      <c r="S7" s="14">
        <v>80881</v>
      </c>
      <c r="U7" s="13">
        <v>89567</v>
      </c>
      <c r="V7" s="1">
        <v>91674</v>
      </c>
      <c r="W7" s="1">
        <v>66890</v>
      </c>
      <c r="X7" s="14">
        <v>81095</v>
      </c>
    </row>
    <row r="8" spans="1:24">
      <c r="A8" s="12" t="s">
        <v>6</v>
      </c>
      <c r="B8" s="13">
        <v>98675</v>
      </c>
      <c r="C8" s="1">
        <v>79345</v>
      </c>
      <c r="D8" s="14">
        <v>61357</v>
      </c>
      <c r="F8" s="15">
        <v>74185</v>
      </c>
      <c r="G8" s="13">
        <v>65098</v>
      </c>
      <c r="H8" s="1">
        <v>62908</v>
      </c>
      <c r="I8" s="14">
        <v>41679</v>
      </c>
      <c r="K8" s="15">
        <v>39067</v>
      </c>
      <c r="L8" s="13">
        <v>68906</v>
      </c>
      <c r="M8" s="1">
        <v>51782</v>
      </c>
      <c r="N8" s="14">
        <v>37612</v>
      </c>
      <c r="P8" s="15">
        <v>28907</v>
      </c>
      <c r="Q8" s="13">
        <v>71817</v>
      </c>
      <c r="R8" s="1">
        <v>51695</v>
      </c>
      <c r="S8" s="14">
        <v>81764</v>
      </c>
      <c r="U8" s="13">
        <v>84564</v>
      </c>
      <c r="V8" s="1">
        <v>74032</v>
      </c>
      <c r="W8" s="1">
        <v>58097</v>
      </c>
      <c r="X8" s="14">
        <v>71784</v>
      </c>
    </row>
    <row r="9" spans="1:24">
      <c r="A9" s="12" t="s">
        <v>7</v>
      </c>
      <c r="B9" s="13">
        <v>66642</v>
      </c>
      <c r="C9" s="1">
        <v>61456</v>
      </c>
      <c r="D9" s="14">
        <v>74321</v>
      </c>
      <c r="F9" s="15">
        <v>58095</v>
      </c>
      <c r="G9" s="13">
        <v>77234</v>
      </c>
      <c r="H9" s="1">
        <v>63478</v>
      </c>
      <c r="I9" s="14">
        <v>76432</v>
      </c>
      <c r="K9" s="15">
        <v>58124</v>
      </c>
      <c r="L9" s="13">
        <v>53789</v>
      </c>
      <c r="M9" s="1">
        <v>71265</v>
      </c>
      <c r="N9" s="14">
        <v>71896</v>
      </c>
      <c r="P9" s="15">
        <v>58345</v>
      </c>
      <c r="Q9" s="13">
        <v>73873</v>
      </c>
      <c r="R9" s="1">
        <v>62397</v>
      </c>
      <c r="S9" s="14">
        <v>36649</v>
      </c>
      <c r="U9" s="13">
        <v>50327</v>
      </c>
      <c r="V9" s="1">
        <v>68235</v>
      </c>
      <c r="W9" s="1">
        <v>61890</v>
      </c>
      <c r="X9" s="14">
        <v>50162</v>
      </c>
    </row>
    <row r="10" spans="1:24">
      <c r="A10" s="12" t="s">
        <v>8</v>
      </c>
      <c r="B10" s="13">
        <v>57215</v>
      </c>
      <c r="C10" s="1">
        <v>54987</v>
      </c>
      <c r="D10" s="14">
        <v>54321</v>
      </c>
      <c r="F10" s="15">
        <v>57245</v>
      </c>
      <c r="G10" s="13">
        <v>61346</v>
      </c>
      <c r="H10" s="1">
        <v>48157</v>
      </c>
      <c r="I10" s="14">
        <v>49876</v>
      </c>
      <c r="K10" s="15">
        <v>48146</v>
      </c>
      <c r="L10" s="13">
        <v>48765</v>
      </c>
      <c r="M10" s="1">
        <v>56943</v>
      </c>
      <c r="N10" s="14">
        <v>66908</v>
      </c>
      <c r="P10" s="15">
        <v>69087</v>
      </c>
      <c r="Q10" s="13">
        <v>75631</v>
      </c>
      <c r="R10" s="1">
        <v>65412</v>
      </c>
      <c r="S10" s="14">
        <v>43221</v>
      </c>
      <c r="U10" s="13">
        <v>32568</v>
      </c>
      <c r="V10" s="1">
        <v>59024</v>
      </c>
      <c r="W10" s="1">
        <v>53678</v>
      </c>
      <c r="X10" s="14">
        <v>49876</v>
      </c>
    </row>
    <row r="11" spans="1:24" ht="18.75" thickBot="1">
      <c r="A11" s="12" t="s">
        <v>9</v>
      </c>
      <c r="B11" s="13">
        <v>54657</v>
      </c>
      <c r="C11" s="1">
        <v>35908</v>
      </c>
      <c r="D11" s="14">
        <v>65432</v>
      </c>
      <c r="F11" s="15">
        <v>42098</v>
      </c>
      <c r="G11" s="13">
        <v>41908</v>
      </c>
      <c r="H11" s="1">
        <v>38457</v>
      </c>
      <c r="I11" s="14">
        <v>42874</v>
      </c>
      <c r="K11" s="15">
        <v>41785</v>
      </c>
      <c r="L11" s="13">
        <v>38907</v>
      </c>
      <c r="M11" s="1">
        <v>43876</v>
      </c>
      <c r="N11" s="14">
        <v>53908</v>
      </c>
      <c r="P11" s="15">
        <v>49124</v>
      </c>
      <c r="Q11" s="13">
        <v>47653</v>
      </c>
      <c r="R11" s="1">
        <v>68743</v>
      </c>
      <c r="S11" s="14">
        <v>45642</v>
      </c>
      <c r="U11" s="13">
        <v>30674</v>
      </c>
      <c r="V11" s="1">
        <v>47305</v>
      </c>
      <c r="W11" s="1">
        <v>41890</v>
      </c>
      <c r="X11" s="14">
        <v>32890</v>
      </c>
    </row>
    <row r="12" spans="1:24" s="20" customFormat="1" ht="18.75" thickBot="1">
      <c r="A12" s="16" t="s">
        <v>10</v>
      </c>
      <c r="B12" s="17">
        <f>SUM(B4:B11)</f>
        <v>430729</v>
      </c>
      <c r="C12" s="18">
        <f>SUM(C4:C11)</f>
        <v>391051</v>
      </c>
      <c r="D12" s="19">
        <f>SUM(D4:D11)</f>
        <v>454459</v>
      </c>
      <c r="F12" s="21">
        <f>SUM(F4:F11)</f>
        <v>406990</v>
      </c>
      <c r="G12" s="17">
        <f>SUM(G4:G11)</f>
        <v>462226</v>
      </c>
      <c r="H12" s="18">
        <f>SUM(H4:H11)</f>
        <v>403600</v>
      </c>
      <c r="I12" s="19">
        <f>SUM(I4:I11)</f>
        <v>369243</v>
      </c>
      <c r="K12" s="21">
        <f>SUM(K4:K11)</f>
        <v>347468</v>
      </c>
      <c r="L12" s="17">
        <f>SUM(L4:L11)</f>
        <v>408012</v>
      </c>
      <c r="M12" s="18">
        <f>SUM(M4:M11)</f>
        <v>358855</v>
      </c>
      <c r="N12" s="19">
        <f>SUM(N4:N11)</f>
        <v>394925</v>
      </c>
      <c r="P12" s="21">
        <f>SUM(P4:P11)</f>
        <v>368956</v>
      </c>
      <c r="Q12" s="17">
        <f>SUM(Q4:Q11)</f>
        <v>446976</v>
      </c>
      <c r="R12" s="18">
        <f>SUM(R4:R11)</f>
        <v>395049</v>
      </c>
      <c r="S12" s="19">
        <f>SUM(S4:S11)</f>
        <v>357533</v>
      </c>
      <c r="U12" s="17">
        <f>SUM(U4:U11)</f>
        <v>349159</v>
      </c>
      <c r="V12" s="18">
        <f>SUM(V4:V11)</f>
        <v>461800</v>
      </c>
      <c r="W12" s="18">
        <f>SUM(W4:W11)</f>
        <v>1010456</v>
      </c>
      <c r="X12" s="19">
        <f>SUM(X4:X11)</f>
        <v>393862</v>
      </c>
    </row>
    <row r="13" spans="1:24" s="20" customFormat="1">
      <c r="A13" s="22" t="s">
        <v>11</v>
      </c>
      <c r="B13" s="23">
        <v>5875</v>
      </c>
      <c r="C13" s="24">
        <f>B13</f>
        <v>5875</v>
      </c>
      <c r="D13" s="25">
        <f>C13</f>
        <v>5875</v>
      </c>
      <c r="F13" s="23">
        <f>D13</f>
        <v>5875</v>
      </c>
      <c r="G13" s="24">
        <f>F13</f>
        <v>5875</v>
      </c>
      <c r="H13" s="24">
        <f>G13</f>
        <v>5875</v>
      </c>
      <c r="I13" s="25">
        <f>H13</f>
        <v>5875</v>
      </c>
      <c r="K13" s="23">
        <f>I13</f>
        <v>5875</v>
      </c>
      <c r="L13" s="24">
        <f>K13</f>
        <v>5875</v>
      </c>
      <c r="M13" s="24">
        <f>L13</f>
        <v>5875</v>
      </c>
      <c r="N13" s="25">
        <f>M13</f>
        <v>5875</v>
      </c>
      <c r="P13" s="23">
        <f>N13</f>
        <v>5875</v>
      </c>
      <c r="Q13" s="24">
        <f>P13</f>
        <v>5875</v>
      </c>
      <c r="R13" s="24">
        <f>Q13</f>
        <v>5875</v>
      </c>
      <c r="S13" s="25">
        <f>R13</f>
        <v>5875</v>
      </c>
      <c r="U13" s="23">
        <f>S13</f>
        <v>5875</v>
      </c>
      <c r="V13" s="24">
        <f>U13</f>
        <v>5875</v>
      </c>
      <c r="W13" s="24">
        <f>V13</f>
        <v>5875</v>
      </c>
      <c r="X13" s="25">
        <f>W13</f>
        <v>5875</v>
      </c>
    </row>
    <row r="14" spans="1:24" s="20" customFormat="1" ht="18.75" thickBot="1">
      <c r="A14" s="16" t="s">
        <v>12</v>
      </c>
      <c r="B14" s="26">
        <f>B13/B12*1000</f>
        <v>13.639666704586874</v>
      </c>
      <c r="C14" s="27">
        <f>C13/C12*1000</f>
        <v>15.023615845503528</v>
      </c>
      <c r="D14" s="28">
        <f>D13/D12*1000</f>
        <v>12.927458802664265</v>
      </c>
      <c r="F14" s="26">
        <f>F13/F12*1000</f>
        <v>14.435244109191872</v>
      </c>
      <c r="G14" s="27">
        <f>G13/G12*1000</f>
        <v>12.710232656752325</v>
      </c>
      <c r="H14" s="27">
        <f>H13/H12*1000</f>
        <v>14.556491575817642</v>
      </c>
      <c r="I14" s="28">
        <f>I13/I12*1000</f>
        <v>15.910931283734559</v>
      </c>
      <c r="K14" s="26">
        <f>K13/K12*1000</f>
        <v>16.908031818757408</v>
      </c>
      <c r="L14" s="27">
        <f>L13/L12*1000</f>
        <v>14.399086301383294</v>
      </c>
      <c r="M14" s="27">
        <f>M13/M12*1000</f>
        <v>16.371514957294728</v>
      </c>
      <c r="N14" s="28">
        <f>N13/N12*1000</f>
        <v>14.876242324491992</v>
      </c>
      <c r="P14" s="26">
        <f>P13/P12*1000</f>
        <v>15.923307928316657</v>
      </c>
      <c r="Q14" s="27">
        <f>Q13/Q12*1000</f>
        <v>13.14388244558992</v>
      </c>
      <c r="R14" s="27">
        <f>R13/R12*1000</f>
        <v>14.871572893489162</v>
      </c>
      <c r="S14" s="28">
        <f>S13/S12*1000</f>
        <v>16.432049628985293</v>
      </c>
      <c r="U14" s="26">
        <f>U13/U12*1000</f>
        <v>16.826145108675416</v>
      </c>
      <c r="V14" s="27">
        <f>V13/V12*1000</f>
        <v>12.721957557384147</v>
      </c>
      <c r="W14" s="27">
        <f>W13/W12*1000</f>
        <v>5.8142066552130922</v>
      </c>
      <c r="X14" s="28">
        <f>X13/X12*1000</f>
        <v>14.916392035789185</v>
      </c>
    </row>
    <row r="16" spans="1:24" s="29" customForma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Maddox</dc:creator>
  <cp:lastModifiedBy>tim.anderson@commissionkings.ag</cp:lastModifiedBy>
  <dcterms:created xsi:type="dcterms:W3CDTF">2025-09-16T18:56:09Z</dcterms:created>
  <dcterms:modified xsi:type="dcterms:W3CDTF">2025-09-17T19:30:01Z</dcterms:modified>
</cp:coreProperties>
</file>