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Marketing Team\Marketing\MarketingMediaData\Media Reports - Sept - 25\"/>
    </mc:Choice>
  </mc:AlternateContent>
  <xr:revisionPtr revIDLastSave="0" documentId="8_{7D7D67AF-F548-4C41-950B-B872FDCF18AF}" xr6:coauthVersionLast="47" xr6:coauthVersionMax="47" xr10:uidLastSave="{00000000-0000-0000-0000-000000000000}"/>
  <bookViews>
    <workbookView xWindow="-120" yWindow="-120" windowWidth="21840" windowHeight="11130" xr2:uid="{C6AE24AD-060F-FB46-97A6-EACEA001F238}"/>
  </bookViews>
  <sheets>
    <sheet name="Sep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3" i="1" l="1"/>
  <c r="B14" i="1"/>
  <c r="B12" i="1"/>
  <c r="D12" i="1"/>
  <c r="C13" i="1"/>
  <c r="T12" i="1"/>
  <c r="S12" i="1"/>
  <c r="R12" i="1"/>
  <c r="Q12" i="1"/>
  <c r="O12" i="1"/>
  <c r="N12" i="1"/>
  <c r="M12" i="1"/>
  <c r="L12" i="1"/>
  <c r="J12" i="1"/>
  <c r="I12" i="1"/>
  <c r="H12" i="1"/>
  <c r="G12" i="1"/>
  <c r="E12" i="1"/>
  <c r="C14" i="1" l="1"/>
  <c r="D13" i="1"/>
  <c r="D14" i="1" l="1"/>
  <c r="E13" i="1"/>
  <c r="E14" i="1" l="1"/>
  <c r="G13" i="1"/>
  <c r="G14" i="1" l="1"/>
  <c r="H13" i="1"/>
  <c r="H14" i="1" l="1"/>
  <c r="I13" i="1"/>
  <c r="J13" i="1" l="1"/>
  <c r="I14" i="1"/>
  <c r="L13" i="1" l="1"/>
  <c r="J14" i="1"/>
  <c r="M13" i="1" l="1"/>
  <c r="L14" i="1"/>
  <c r="N13" i="1" l="1"/>
  <c r="M14" i="1"/>
  <c r="O13" i="1" l="1"/>
  <c r="N14" i="1"/>
  <c r="O14" i="1" l="1"/>
  <c r="Q13" i="1"/>
  <c r="Q14" i="1" l="1"/>
  <c r="R13" i="1"/>
  <c r="R14" i="1" l="1"/>
  <c r="S13" i="1"/>
  <c r="S14" i="1" l="1"/>
  <c r="T13" i="1"/>
  <c r="T14" i="1" l="1"/>
</calcChain>
</file>

<file path=xl/sharedStrings.xml><?xml version="1.0" encoding="utf-8"?>
<sst xmlns="http://schemas.openxmlformats.org/spreadsheetml/2006/main" count="31" uniqueCount="16">
  <si>
    <t>Impressions</t>
  </si>
  <si>
    <t xml:space="preserve">ESPN - </t>
  </si>
  <si>
    <t xml:space="preserve">Fox Sports - </t>
  </si>
  <si>
    <t>USA Today</t>
  </si>
  <si>
    <t>CBS Sports -</t>
  </si>
  <si>
    <t xml:space="preserve">RSN Live Games </t>
  </si>
  <si>
    <t xml:space="preserve">Big 10 Network - </t>
  </si>
  <si>
    <t xml:space="preserve">ACC Network - </t>
  </si>
  <si>
    <t xml:space="preserve">SEC Network - </t>
  </si>
  <si>
    <t xml:space="preserve">Daily Impressions </t>
  </si>
  <si>
    <t>Daily Spend</t>
  </si>
  <si>
    <t>CPM</t>
  </si>
  <si>
    <t>Betonline Delviery SEPT</t>
  </si>
  <si>
    <t>TTL IMPS</t>
  </si>
  <si>
    <t>SPEND</t>
  </si>
  <si>
    <t xml:space="preserve">CPM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</si>
</sst>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4"/>
      <color theme="1"/>
      <name val="Aptos Narrow"/>
      <scheme val="minor"/>
    </font>
    <font>
      <b/>
      <sz val="14"/>
      <color rgb="FFFF0000"/>
      <name val="Aptos Narrow"/>
      <scheme val="minor"/>
    </font>
    <font>
      <b/>
      <sz val="20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9">
    <xf numFmtId="0" fontId="0" fillId="0" borderId="0" xfId="0"/>
    <xf numFmtId="164" fontId="2" fillId="0" borderId="0" xfId="1" applyNumberFormat="1" applyFont="1" applyBorder="1"/>
    <xf numFmtId="14" fontId="2" fillId="0" borderId="0" xfId="1" applyNumberFormat="1" applyFont="1" applyBorder="1" applyAlignment="1">
      <alignment horizontal="center"/>
    </xf>
    <xf numFmtId="14" fontId="2" fillId="0" borderId="1" xfId="1" applyNumberFormat="1" applyFont="1" applyBorder="1" applyAlignment="1">
      <alignment horizontal="center"/>
    </xf>
    <xf numFmtId="14" fontId="2" fillId="0" borderId="2" xfId="1" applyNumberFormat="1" applyFont="1" applyBorder="1" applyAlignment="1">
      <alignment horizontal="center"/>
    </xf>
    <xf numFmtId="14" fontId="2" fillId="0" borderId="3" xfId="1" applyNumberFormat="1" applyFont="1" applyBorder="1" applyAlignment="1">
      <alignment horizontal="center"/>
    </xf>
    <xf numFmtId="14" fontId="2" fillId="0" borderId="4" xfId="1" applyNumberFormat="1" applyFont="1" applyBorder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164" fontId="3" fillId="0" borderId="5" xfId="1" applyNumberFormat="1" applyFont="1" applyBorder="1" applyAlignment="1">
      <alignment horizontal="center"/>
    </xf>
    <xf numFmtId="164" fontId="3" fillId="0" borderId="6" xfId="1" applyNumberFormat="1" applyFont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164" fontId="4" fillId="0" borderId="0" xfId="1" applyNumberFormat="1" applyFont="1" applyBorder="1"/>
    <xf numFmtId="164" fontId="2" fillId="0" borderId="5" xfId="1" applyNumberFormat="1" applyFont="1" applyBorder="1"/>
    <xf numFmtId="164" fontId="2" fillId="0" borderId="6" xfId="1" applyNumberFormat="1" applyFont="1" applyBorder="1"/>
    <xf numFmtId="164" fontId="2" fillId="0" borderId="7" xfId="1" applyNumberFormat="1" applyFont="1" applyBorder="1"/>
    <xf numFmtId="164" fontId="5" fillId="0" borderId="0" xfId="1" applyNumberFormat="1" applyFont="1" applyBorder="1"/>
    <xf numFmtId="44" fontId="2" fillId="0" borderId="0" xfId="2" applyFont="1" applyBorder="1"/>
    <xf numFmtId="164" fontId="5" fillId="2" borderId="4" xfId="1" applyNumberFormat="1" applyFont="1" applyFill="1" applyBorder="1"/>
    <xf numFmtId="164" fontId="5" fillId="2" borderId="3" xfId="1" applyNumberFormat="1" applyFont="1" applyFill="1" applyBorder="1"/>
    <xf numFmtId="44" fontId="6" fillId="2" borderId="5" xfId="2" applyFont="1" applyFill="1" applyBorder="1"/>
    <xf numFmtId="44" fontId="6" fillId="2" borderId="7" xfId="2" applyFont="1" applyFill="1" applyBorder="1"/>
    <xf numFmtId="44" fontId="6" fillId="2" borderId="6" xfId="2" applyFont="1" applyFill="1" applyBorder="1"/>
    <xf numFmtId="44" fontId="6" fillId="2" borderId="11" xfId="2" applyFont="1" applyFill="1" applyBorder="1"/>
    <xf numFmtId="44" fontId="5" fillId="2" borderId="8" xfId="2" applyFont="1" applyFill="1" applyBorder="1"/>
    <xf numFmtId="44" fontId="5" fillId="2" borderId="12" xfId="2" applyFont="1" applyFill="1" applyBorder="1"/>
    <xf numFmtId="44" fontId="5" fillId="2" borderId="10" xfId="2" applyFont="1" applyFill="1" applyBorder="1"/>
    <xf numFmtId="164" fontId="5" fillId="2" borderId="0" xfId="1" applyNumberFormat="1" applyFont="1" applyFill="1" applyBorder="1"/>
    <xf numFmtId="44" fontId="5" fillId="2" borderId="0" xfId="2" applyFont="1" applyFill="1" applyBorder="1"/>
    <xf numFmtId="164" fontId="5" fillId="2" borderId="1" xfId="1" applyNumberFormat="1" applyFont="1" applyFill="1" applyBorder="1"/>
    <xf numFmtId="164" fontId="5" fillId="2" borderId="2" xfId="1" applyNumberFormat="1" applyFont="1" applyFill="1" applyBorder="1"/>
    <xf numFmtId="44" fontId="6" fillId="2" borderId="0" xfId="2" applyFont="1" applyFill="1" applyBorder="1"/>
    <xf numFmtId="44" fontId="5" fillId="2" borderId="9" xfId="2" applyFont="1" applyFill="1" applyBorder="1"/>
    <xf numFmtId="164" fontId="2" fillId="2" borderId="7" xfId="1" applyNumberFormat="1" applyFont="1" applyFill="1" applyBorder="1"/>
    <xf numFmtId="44" fontId="7" fillId="3" borderId="0" xfId="2" applyFont="1" applyFill="1"/>
    <xf numFmtId="164" fontId="7" fillId="3" borderId="0" xfId="1" applyNumberFormat="1" applyFont="1" applyFill="1"/>
    <xf numFmtId="164" fontId="5" fillId="0" borderId="11" xfId="1" applyNumberFormat="1" applyFont="1" applyBorder="1"/>
    <xf numFmtId="164" fontId="5" fillId="0" borderId="7" xfId="1" applyNumberFormat="1" applyFont="1" applyBorder="1"/>
    <xf numFmtId="164" fontId="5" fillId="0" borderId="12" xfId="1" applyNumberFormat="1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51A04-7A45-9743-A4DF-53073415AF88}">
  <dimension ref="A1:Y23"/>
  <sheetViews>
    <sheetView tabSelected="1" topLeftCell="D1" workbookViewId="0">
      <selection activeCell="J21" sqref="J21"/>
    </sheetView>
  </sheetViews>
  <sheetFormatPr defaultColWidth="8.77734375" defaultRowHeight="18"/>
  <cols>
    <col min="1" max="1" width="39.6640625" style="1" customWidth="1"/>
    <col min="2" max="2" width="26.6640625" style="1" customWidth="1"/>
    <col min="3" max="3" width="23.6640625" style="1" customWidth="1"/>
    <col min="4" max="4" width="17.109375" style="1" customWidth="1"/>
    <col min="5" max="5" width="16.6640625" style="1" customWidth="1"/>
    <col min="6" max="6" width="16.6640625" customWidth="1"/>
    <col min="7" max="7" width="19.77734375" style="1" customWidth="1"/>
    <col min="8" max="8" width="18.6640625" style="1" customWidth="1"/>
    <col min="9" max="9" width="19.33203125" style="1" customWidth="1"/>
    <col min="10" max="10" width="18" style="1" customWidth="1"/>
    <col min="11" max="11" width="21.77734375" customWidth="1"/>
    <col min="12" max="12" width="18.6640625" style="1" customWidth="1"/>
    <col min="13" max="13" width="20.6640625" style="1" customWidth="1"/>
    <col min="14" max="14" width="17.6640625" style="1" customWidth="1"/>
    <col min="15" max="15" width="19.33203125" style="1" customWidth="1"/>
    <col min="16" max="16" width="19.33203125" customWidth="1"/>
    <col min="17" max="17" width="17.6640625" style="1" customWidth="1"/>
    <col min="18" max="18" width="16.109375" style="1" customWidth="1"/>
    <col min="19" max="19" width="19.77734375" style="1" customWidth="1"/>
    <col min="20" max="20" width="16.77734375" style="1" customWidth="1"/>
    <col min="21" max="21" width="18.77734375" customWidth="1"/>
    <col min="22" max="22" width="14" customWidth="1"/>
    <col min="23" max="23" width="21.33203125" customWidth="1"/>
    <col min="26" max="16384" width="8.77734375" style="1"/>
  </cols>
  <sheetData>
    <row r="1" spans="1:25" ht="18.75" thickBot="1"/>
    <row r="2" spans="1:25" s="2" customFormat="1" ht="18.75" thickBot="1">
      <c r="B2" s="6">
        <v>45904</v>
      </c>
      <c r="C2" s="6">
        <v>45905</v>
      </c>
      <c r="D2" s="5">
        <v>45906</v>
      </c>
      <c r="E2" s="6">
        <v>45907</v>
      </c>
      <c r="F2"/>
      <c r="G2" s="3">
        <v>45911</v>
      </c>
      <c r="H2" s="6">
        <v>45912</v>
      </c>
      <c r="I2" s="5">
        <v>45548</v>
      </c>
      <c r="J2" s="6">
        <v>45914</v>
      </c>
      <c r="K2"/>
      <c r="L2" s="3">
        <v>45918</v>
      </c>
      <c r="M2" s="6">
        <v>45919</v>
      </c>
      <c r="N2" s="5">
        <v>45920</v>
      </c>
      <c r="O2" s="6">
        <v>45921</v>
      </c>
      <c r="P2"/>
      <c r="Q2" s="6">
        <v>45925</v>
      </c>
      <c r="R2" s="4">
        <v>45926</v>
      </c>
      <c r="S2" s="6">
        <v>45927</v>
      </c>
      <c r="T2" s="6">
        <v>45928</v>
      </c>
      <c r="U2"/>
      <c r="V2"/>
      <c r="W2"/>
      <c r="X2"/>
      <c r="Y2"/>
    </row>
    <row r="3" spans="1:25" s="10" customFormat="1">
      <c r="A3" s="7" t="s">
        <v>12</v>
      </c>
      <c r="B3" s="11" t="s">
        <v>0</v>
      </c>
      <c r="C3" s="11" t="s">
        <v>0</v>
      </c>
      <c r="D3" s="9" t="s">
        <v>0</v>
      </c>
      <c r="E3" s="11" t="s">
        <v>0</v>
      </c>
      <c r="F3"/>
      <c r="G3" s="8" t="s">
        <v>0</v>
      </c>
      <c r="H3" s="11" t="s">
        <v>0</v>
      </c>
      <c r="I3" s="9" t="s">
        <v>0</v>
      </c>
      <c r="J3" s="11" t="s">
        <v>0</v>
      </c>
      <c r="K3"/>
      <c r="L3" s="8" t="s">
        <v>0</v>
      </c>
      <c r="M3" s="11" t="s">
        <v>0</v>
      </c>
      <c r="N3" s="9" t="s">
        <v>0</v>
      </c>
      <c r="O3" s="11" t="s">
        <v>0</v>
      </c>
      <c r="P3"/>
      <c r="Q3" s="11" t="s">
        <v>0</v>
      </c>
      <c r="R3" s="7" t="s">
        <v>0</v>
      </c>
      <c r="S3" s="11" t="s">
        <v>0</v>
      </c>
      <c r="T3" s="11" t="s">
        <v>0</v>
      </c>
      <c r="U3"/>
      <c r="V3"/>
      <c r="W3"/>
      <c r="X3"/>
      <c r="Y3"/>
    </row>
    <row r="4" spans="1:25">
      <c r="A4" s="12" t="s">
        <v>1</v>
      </c>
      <c r="B4" s="15">
        <v>62376</v>
      </c>
      <c r="C4" s="15">
        <v>50876</v>
      </c>
      <c r="D4" s="14">
        <v>77458</v>
      </c>
      <c r="E4" s="15">
        <v>66789</v>
      </c>
      <c r="G4" s="13">
        <v>82956</v>
      </c>
      <c r="H4" s="15">
        <v>61420</v>
      </c>
      <c r="I4" s="14">
        <v>50275</v>
      </c>
      <c r="J4" s="15">
        <v>63274</v>
      </c>
      <c r="L4" s="13">
        <v>69345</v>
      </c>
      <c r="M4" s="15">
        <v>44057</v>
      </c>
      <c r="N4" s="14">
        <v>76923</v>
      </c>
      <c r="O4" s="15">
        <v>78345</v>
      </c>
      <c r="Q4" s="15">
        <v>67453</v>
      </c>
      <c r="R4" s="1">
        <v>56432</v>
      </c>
      <c r="S4" s="15">
        <v>48558</v>
      </c>
      <c r="T4" s="15">
        <v>34567</v>
      </c>
    </row>
    <row r="5" spans="1:25">
      <c r="A5" s="12" t="s">
        <v>2</v>
      </c>
      <c r="B5" s="15">
        <v>27566</v>
      </c>
      <c r="C5" s="15">
        <v>21987</v>
      </c>
      <c r="D5" s="14">
        <v>46096</v>
      </c>
      <c r="E5" s="15">
        <v>48673</v>
      </c>
      <c r="G5" s="13">
        <v>39564</v>
      </c>
      <c r="H5" s="15">
        <v>57093</v>
      </c>
      <c r="I5" s="14">
        <v>45906</v>
      </c>
      <c r="J5" s="15">
        <v>56206</v>
      </c>
      <c r="L5" s="13">
        <v>40265</v>
      </c>
      <c r="M5" s="15">
        <v>10784</v>
      </c>
      <c r="N5" s="14">
        <v>54304</v>
      </c>
      <c r="O5" s="15">
        <v>39365</v>
      </c>
      <c r="Q5" s="15">
        <v>36754</v>
      </c>
      <c r="R5" s="1">
        <v>28765</v>
      </c>
      <c r="S5" s="15">
        <v>17826</v>
      </c>
      <c r="T5" s="15">
        <v>21456</v>
      </c>
    </row>
    <row r="6" spans="1:25">
      <c r="A6" s="12" t="s">
        <v>3</v>
      </c>
      <c r="B6" s="15">
        <v>8056</v>
      </c>
      <c r="C6" s="15">
        <v>7804</v>
      </c>
      <c r="D6" s="14">
        <v>10576</v>
      </c>
      <c r="E6" s="15">
        <v>6983</v>
      </c>
      <c r="G6" s="13">
        <v>7809</v>
      </c>
      <c r="H6" s="15">
        <v>7036</v>
      </c>
      <c r="I6" s="14">
        <v>7034</v>
      </c>
      <c r="J6" s="15">
        <v>8934</v>
      </c>
      <c r="L6" s="13">
        <v>6023</v>
      </c>
      <c r="M6" s="15">
        <v>11549</v>
      </c>
      <c r="N6" s="14">
        <v>6501</v>
      </c>
      <c r="O6" s="15">
        <v>3824</v>
      </c>
      <c r="Q6" s="15">
        <v>2932</v>
      </c>
      <c r="R6" s="1">
        <v>2842</v>
      </c>
      <c r="S6" s="15">
        <v>2992</v>
      </c>
      <c r="T6" s="15">
        <v>5436</v>
      </c>
    </row>
    <row r="7" spans="1:25">
      <c r="A7" s="12" t="s">
        <v>4</v>
      </c>
      <c r="B7" s="15">
        <v>62097</v>
      </c>
      <c r="C7" s="15">
        <v>74096</v>
      </c>
      <c r="D7" s="14">
        <v>58023</v>
      </c>
      <c r="E7" s="15">
        <v>72864</v>
      </c>
      <c r="G7" s="13">
        <v>73098</v>
      </c>
      <c r="H7" s="15">
        <v>78645</v>
      </c>
      <c r="I7" s="14">
        <v>51835</v>
      </c>
      <c r="J7" s="15">
        <v>55834</v>
      </c>
      <c r="L7" s="13">
        <v>83073</v>
      </c>
      <c r="M7" s="15">
        <v>69043</v>
      </c>
      <c r="N7" s="14">
        <v>42956</v>
      </c>
      <c r="O7" s="15">
        <v>35937</v>
      </c>
      <c r="Q7" s="15">
        <v>70863</v>
      </c>
      <c r="R7" s="1">
        <v>58763</v>
      </c>
      <c r="S7" s="15">
        <v>80881</v>
      </c>
      <c r="T7" s="15">
        <v>89567</v>
      </c>
    </row>
    <row r="8" spans="1:25">
      <c r="A8" s="12" t="s">
        <v>5</v>
      </c>
      <c r="B8" s="15">
        <v>88032</v>
      </c>
      <c r="C8" s="15">
        <v>60256</v>
      </c>
      <c r="D8" s="14">
        <v>64986</v>
      </c>
      <c r="E8" s="15">
        <v>61245</v>
      </c>
      <c r="G8" s="13">
        <v>53465</v>
      </c>
      <c r="H8" s="15">
        <v>71592</v>
      </c>
      <c r="I8" s="14">
        <v>47023</v>
      </c>
      <c r="J8" s="15">
        <v>44098</v>
      </c>
      <c r="L8" s="13">
        <v>77945</v>
      </c>
      <c r="M8" s="15">
        <v>55194</v>
      </c>
      <c r="N8" s="14">
        <v>45173</v>
      </c>
      <c r="O8" s="15">
        <v>19452</v>
      </c>
      <c r="Q8" s="15">
        <v>71817</v>
      </c>
      <c r="R8" s="1">
        <v>51695</v>
      </c>
      <c r="S8" s="15">
        <v>81764</v>
      </c>
      <c r="T8" s="15">
        <v>84564</v>
      </c>
    </row>
    <row r="9" spans="1:25">
      <c r="A9" s="12" t="s">
        <v>6</v>
      </c>
      <c r="B9" s="15">
        <v>75097</v>
      </c>
      <c r="C9" s="15">
        <v>72576</v>
      </c>
      <c r="D9" s="14">
        <v>72345</v>
      </c>
      <c r="E9" s="15">
        <v>52390</v>
      </c>
      <c r="G9" s="13">
        <v>55908</v>
      </c>
      <c r="H9" s="15">
        <v>69246</v>
      </c>
      <c r="I9" s="14">
        <v>77354</v>
      </c>
      <c r="J9" s="15">
        <v>71054</v>
      </c>
      <c r="L9" s="13">
        <v>62063</v>
      </c>
      <c r="M9" s="15">
        <v>86345</v>
      </c>
      <c r="N9" s="14">
        <v>83034</v>
      </c>
      <c r="O9" s="15">
        <v>47563</v>
      </c>
      <c r="Q9" s="15">
        <v>73873</v>
      </c>
      <c r="R9" s="1">
        <v>62397</v>
      </c>
      <c r="S9" s="15">
        <v>36649</v>
      </c>
      <c r="T9" s="15">
        <v>50327</v>
      </c>
    </row>
    <row r="10" spans="1:25">
      <c r="A10" s="12" t="s">
        <v>7</v>
      </c>
      <c r="B10" s="15">
        <v>68094</v>
      </c>
      <c r="C10" s="15">
        <v>74095</v>
      </c>
      <c r="D10" s="14">
        <v>45986</v>
      </c>
      <c r="E10" s="15">
        <v>49365</v>
      </c>
      <c r="G10" s="13">
        <v>78345</v>
      </c>
      <c r="H10" s="15">
        <v>59234</v>
      </c>
      <c r="I10" s="14">
        <v>65098</v>
      </c>
      <c r="J10" s="15">
        <v>68567</v>
      </c>
      <c r="L10" s="13">
        <v>79345</v>
      </c>
      <c r="M10" s="15">
        <v>70814</v>
      </c>
      <c r="N10" s="14">
        <v>78245</v>
      </c>
      <c r="O10" s="15">
        <v>63964</v>
      </c>
      <c r="Q10" s="15">
        <v>75631</v>
      </c>
      <c r="R10" s="1">
        <v>65412</v>
      </c>
      <c r="S10" s="15">
        <v>43221</v>
      </c>
      <c r="T10" s="15">
        <v>32568</v>
      </c>
    </row>
    <row r="11" spans="1:25" ht="18.75" thickBot="1">
      <c r="A11" s="12" t="s">
        <v>8</v>
      </c>
      <c r="B11" s="15">
        <v>59267</v>
      </c>
      <c r="C11" s="15">
        <v>41865</v>
      </c>
      <c r="D11" s="14">
        <v>71064</v>
      </c>
      <c r="E11" s="15">
        <v>38023</v>
      </c>
      <c r="G11" s="13">
        <v>60924</v>
      </c>
      <c r="H11" s="15">
        <v>50265</v>
      </c>
      <c r="I11" s="14">
        <v>59265</v>
      </c>
      <c r="J11" s="15">
        <v>58430</v>
      </c>
      <c r="L11" s="13">
        <v>63870</v>
      </c>
      <c r="M11" s="15">
        <v>50386</v>
      </c>
      <c r="N11" s="14">
        <v>60471</v>
      </c>
      <c r="O11" s="15">
        <v>38456</v>
      </c>
      <c r="Q11" s="15">
        <v>47653</v>
      </c>
      <c r="R11" s="1">
        <v>68743</v>
      </c>
      <c r="S11" s="15">
        <v>45642</v>
      </c>
      <c r="T11" s="15">
        <v>30674</v>
      </c>
    </row>
    <row r="12" spans="1:25" s="16" customFormat="1" ht="18.75" thickBot="1">
      <c r="A12" s="27" t="s">
        <v>9</v>
      </c>
      <c r="B12" s="33">
        <f>SUM(B4:B11)</f>
        <v>450585</v>
      </c>
      <c r="C12" s="18">
        <v>403555</v>
      </c>
      <c r="D12" s="19">
        <f>SUM(D4:D11)</f>
        <v>446534</v>
      </c>
      <c r="E12" s="18">
        <f>SUM(E4:E11)</f>
        <v>396332</v>
      </c>
      <c r="F12"/>
      <c r="G12" s="29">
        <f>SUM(G4:G11)</f>
        <v>452069</v>
      </c>
      <c r="H12" s="18">
        <f>SUM(H4:H11)</f>
        <v>454531</v>
      </c>
      <c r="I12" s="19">
        <f>SUM(I4:I11)</f>
        <v>403790</v>
      </c>
      <c r="J12" s="18">
        <f>SUM(J4:J11)</f>
        <v>426397</v>
      </c>
      <c r="K12"/>
      <c r="L12" s="29">
        <f>SUM(L4:L11)</f>
        <v>481929</v>
      </c>
      <c r="M12" s="18">
        <f>SUM(M4:M11)</f>
        <v>398172</v>
      </c>
      <c r="N12" s="19">
        <f>SUM(N4:N11)</f>
        <v>447607</v>
      </c>
      <c r="O12" s="18">
        <f>SUM(O4:O11)</f>
        <v>326906</v>
      </c>
      <c r="P12"/>
      <c r="Q12" s="18">
        <f>SUM(Q4:Q11)</f>
        <v>446976</v>
      </c>
      <c r="R12" s="30">
        <f>SUM(R4:R11)</f>
        <v>395049</v>
      </c>
      <c r="S12" s="18">
        <f>SUM(S4:S11)</f>
        <v>357533</v>
      </c>
      <c r="T12" s="18">
        <f>SUM(T4:T11)</f>
        <v>349159</v>
      </c>
      <c r="U12"/>
      <c r="V12"/>
      <c r="W12"/>
      <c r="X12"/>
      <c r="Y12"/>
    </row>
    <row r="13" spans="1:25" s="16" customFormat="1">
      <c r="A13" s="28" t="s">
        <v>10</v>
      </c>
      <c r="B13" s="21">
        <v>5875</v>
      </c>
      <c r="C13" s="21">
        <f>B13</f>
        <v>5875</v>
      </c>
      <c r="D13" s="22">
        <f>C13</f>
        <v>5875</v>
      </c>
      <c r="E13" s="23">
        <f>D13</f>
        <v>5875</v>
      </c>
      <c r="F13"/>
      <c r="G13" s="20">
        <f>E13</f>
        <v>5875</v>
      </c>
      <c r="H13" s="21">
        <f>G13</f>
        <v>5875</v>
      </c>
      <c r="I13" s="22">
        <f>H13</f>
        <v>5875</v>
      </c>
      <c r="J13" s="21">
        <f>I13</f>
        <v>5875</v>
      </c>
      <c r="K13"/>
      <c r="L13" s="20">
        <f>J13</f>
        <v>5875</v>
      </c>
      <c r="M13" s="21">
        <f>L13</f>
        <v>5875</v>
      </c>
      <c r="N13" s="22">
        <f>M13</f>
        <v>5875</v>
      </c>
      <c r="O13" s="21">
        <f>N13</f>
        <v>5875</v>
      </c>
      <c r="P13"/>
      <c r="Q13" s="21">
        <f>O13</f>
        <v>5875</v>
      </c>
      <c r="R13" s="31">
        <f>Q13</f>
        <v>5875</v>
      </c>
      <c r="S13" s="21">
        <f>R13</f>
        <v>5875</v>
      </c>
      <c r="T13" s="21">
        <f>S13</f>
        <v>5875</v>
      </c>
      <c r="U13"/>
      <c r="V13"/>
      <c r="W13"/>
      <c r="X13"/>
      <c r="Y13"/>
    </row>
    <row r="14" spans="1:25" s="16" customFormat="1" ht="18.75" thickBot="1">
      <c r="A14" s="27" t="s">
        <v>11</v>
      </c>
      <c r="B14" s="25">
        <f>B13/B12*1000</f>
        <v>13.038605368576405</v>
      </c>
      <c r="C14" s="25">
        <f>C13/C12*1000</f>
        <v>14.558114755113925</v>
      </c>
      <c r="D14" s="26">
        <f>D13/D12*1000</f>
        <v>13.15689286818025</v>
      </c>
      <c r="E14" s="25">
        <f>E13/E12*1000</f>
        <v>14.823430860995327</v>
      </c>
      <c r="F14"/>
      <c r="G14" s="24">
        <f>G13/G12*1000</f>
        <v>12.995803737924962</v>
      </c>
      <c r="H14" s="25">
        <f>H13/H12*1000</f>
        <v>12.925411028070693</v>
      </c>
      <c r="I14" s="26">
        <f>I13/I12*1000</f>
        <v>14.549642140716708</v>
      </c>
      <c r="J14" s="25">
        <f>J13/J12*1000</f>
        <v>13.778239527951651</v>
      </c>
      <c r="K14"/>
      <c r="L14" s="24">
        <f>L13/L12*1000</f>
        <v>12.190592390165357</v>
      </c>
      <c r="M14" s="25">
        <f>M13/M12*1000</f>
        <v>14.754930030238189</v>
      </c>
      <c r="N14" s="26">
        <f>N13/N12*1000</f>
        <v>13.125353267486881</v>
      </c>
      <c r="O14" s="25">
        <f>O13/O12*1000</f>
        <v>17.971526983291831</v>
      </c>
      <c r="P14"/>
      <c r="Q14" s="25">
        <f>Q13/Q12*1000</f>
        <v>13.14388244558992</v>
      </c>
      <c r="R14" s="32">
        <f>R13/R12*1000</f>
        <v>14.871572893489162</v>
      </c>
      <c r="S14" s="25">
        <f>S13/S12*1000</f>
        <v>16.432049628985293</v>
      </c>
      <c r="T14" s="25">
        <f>T13/T12*1000</f>
        <v>16.826145108675416</v>
      </c>
      <c r="U14"/>
      <c r="V14"/>
      <c r="W14"/>
      <c r="X14"/>
      <c r="Y14"/>
    </row>
    <row r="16" spans="1:25" s="17" customFormat="1">
      <c r="F16"/>
      <c r="K16"/>
      <c r="P16"/>
      <c r="U16"/>
      <c r="V16"/>
      <c r="W16"/>
      <c r="X16"/>
      <c r="Y16"/>
    </row>
    <row r="20" spans="10:11" ht="18.75" thickBot="1"/>
    <row r="21" spans="10:11" ht="25.5">
      <c r="J21" s="36" t="s">
        <v>13</v>
      </c>
      <c r="K21" s="35">
        <v>6637124</v>
      </c>
    </row>
    <row r="22" spans="10:11" ht="25.5">
      <c r="J22" s="37" t="s">
        <v>14</v>
      </c>
      <c r="K22" s="34">
        <v>94000</v>
      </c>
    </row>
    <row r="23" spans="10:11" ht="26.25" thickBot="1">
      <c r="J23" s="38" t="s">
        <v>15</v>
      </c>
      <c r="K23" s="34">
        <f>K22/K21*1000</f>
        <v>14.162760858468216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3FCB-6C91-F148-88E3-D5BAA5E2565B}">
  <dimension ref="A1"/>
  <sheetViews>
    <sheetView workbookViewId="0"/>
  </sheetViews>
  <sheetFormatPr defaultColWidth="11.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Maddox</dc:creator>
  <cp:lastModifiedBy>tim.anderson@commissionkings.ag</cp:lastModifiedBy>
  <dcterms:created xsi:type="dcterms:W3CDTF">2025-09-16T18:56:09Z</dcterms:created>
  <dcterms:modified xsi:type="dcterms:W3CDTF">2025-10-15T18:38:27Z</dcterms:modified>
</cp:coreProperties>
</file>