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anmaddox/Documents/"/>
    </mc:Choice>
  </mc:AlternateContent>
  <xr:revisionPtr revIDLastSave="0" documentId="8_{4883C5CC-9711-7B41-87DB-269E8C3A53C3}" xr6:coauthVersionLast="47" xr6:coauthVersionMax="47" xr10:uidLastSave="{00000000-0000-0000-0000-000000000000}"/>
  <bookViews>
    <workbookView xWindow="0" yWindow="740" windowWidth="34560" windowHeight="21600" xr2:uid="{3F7FD944-DDDC-844F-B57E-E1D54B10B9CD}"/>
  </bookViews>
  <sheets>
    <sheet name="OCT_25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2" i="1" l="1"/>
  <c r="W12" i="1"/>
  <c r="W14" i="1" s="1"/>
  <c r="V12" i="1"/>
  <c r="V14" i="1" s="1"/>
  <c r="T12" i="1"/>
  <c r="T14" i="1" s="1"/>
  <c r="S12" i="1"/>
  <c r="S14" i="1" s="1"/>
  <c r="R12" i="1"/>
  <c r="R14" i="1" s="1"/>
  <c r="Q12" i="1"/>
  <c r="Q14" i="1" s="1"/>
  <c r="O12" i="1"/>
  <c r="O14" i="1" s="1"/>
  <c r="N12" i="1"/>
  <c r="N14" i="1" s="1"/>
  <c r="M12" i="1"/>
  <c r="M14" i="1" s="1"/>
  <c r="L12" i="1"/>
  <c r="L14" i="1" s="1"/>
  <c r="J12" i="1"/>
  <c r="J14" i="1" s="1"/>
  <c r="I12" i="1"/>
  <c r="I14" i="1" s="1"/>
  <c r="H12" i="1"/>
  <c r="H14" i="1" s="1"/>
  <c r="G12" i="1"/>
  <c r="G14" i="1" s="1"/>
  <c r="E12" i="1"/>
  <c r="E14" i="1" s="1"/>
  <c r="D12" i="1"/>
  <c r="D14" i="1" s="1"/>
  <c r="C12" i="1"/>
  <c r="C14" i="1" s="1"/>
  <c r="B12" i="1"/>
  <c r="B14" i="1" s="1"/>
</calcChain>
</file>

<file path=xl/sharedStrings.xml><?xml version="1.0" encoding="utf-8"?>
<sst xmlns="http://schemas.openxmlformats.org/spreadsheetml/2006/main" count="41" uniqueCount="17">
  <si>
    <t>Betonline Delviery OCT</t>
  </si>
  <si>
    <t>Impressions</t>
  </si>
  <si>
    <t xml:space="preserve">ESPN - </t>
  </si>
  <si>
    <t xml:space="preserve">Fox Sports - </t>
  </si>
  <si>
    <t>USA Today</t>
  </si>
  <si>
    <t>CBS Sports -</t>
  </si>
  <si>
    <t xml:space="preserve">RSN Live Games </t>
  </si>
  <si>
    <t xml:space="preserve">Big 10 Network - </t>
  </si>
  <si>
    <t xml:space="preserve">ACC Network - </t>
  </si>
  <si>
    <t xml:space="preserve">SEC Network - </t>
  </si>
  <si>
    <t xml:space="preserve">Daily Impressions </t>
  </si>
  <si>
    <t>Daily Spend</t>
  </si>
  <si>
    <t xml:space="preserve"> </t>
  </si>
  <si>
    <t>CPM</t>
  </si>
  <si>
    <t>TTL IMPS</t>
  </si>
  <si>
    <t>TTL SPEND</t>
  </si>
  <si>
    <t>eCPM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</si>
</sst>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b/>
      <sz val="14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5">
    <xf numFmtId="0" fontId="0" fillId="0" borderId="0" xfId="0"/>
    <xf numFmtId="164" fontId="2" fillId="0" borderId="0" xfId="1" applyNumberFormat="1" applyFont="1" applyBorder="1"/>
    <xf numFmtId="0" fontId="0" fillId="2" borderId="0" xfId="0" applyFill="1"/>
    <xf numFmtId="14" fontId="2" fillId="0" borderId="0" xfId="1" applyNumberFormat="1" applyFont="1" applyBorder="1" applyAlignment="1">
      <alignment horizontal="center"/>
    </xf>
    <xf numFmtId="14" fontId="2" fillId="0" borderId="1" xfId="1" applyNumberFormat="1" applyFont="1" applyBorder="1" applyAlignment="1">
      <alignment horizontal="center"/>
    </xf>
    <xf numFmtId="14" fontId="2" fillId="0" borderId="2" xfId="1" applyNumberFormat="1" applyFont="1" applyBorder="1" applyAlignment="1">
      <alignment horizontal="center"/>
    </xf>
    <xf numFmtId="14" fontId="2" fillId="0" borderId="3" xfId="1" applyNumberFormat="1" applyFont="1" applyBorder="1" applyAlignment="1">
      <alignment horizontal="center"/>
    </xf>
    <xf numFmtId="14" fontId="2" fillId="0" borderId="4" xfId="1" applyNumberFormat="1" applyFont="1" applyBorder="1" applyAlignment="1">
      <alignment horizontal="center"/>
    </xf>
    <xf numFmtId="14" fontId="2" fillId="0" borderId="5" xfId="1" applyNumberFormat="1" applyFont="1" applyBorder="1" applyAlignment="1">
      <alignment horizontal="center"/>
    </xf>
    <xf numFmtId="14" fontId="2" fillId="0" borderId="6" xfId="1" applyNumberFormat="1" applyFont="1" applyBorder="1" applyAlignment="1">
      <alignment horizontal="center"/>
    </xf>
    <xf numFmtId="14" fontId="2" fillId="0" borderId="7" xfId="1" applyNumberFormat="1" applyFont="1" applyBorder="1" applyAlignment="1">
      <alignment horizontal="center"/>
    </xf>
    <xf numFmtId="14" fontId="2" fillId="0" borderId="8" xfId="1" applyNumberFormat="1" applyFont="1" applyBorder="1" applyAlignment="1">
      <alignment horizontal="center"/>
    </xf>
    <xf numFmtId="164" fontId="3" fillId="0" borderId="0" xfId="1" applyNumberFormat="1" applyFont="1" applyBorder="1" applyAlignment="1">
      <alignment horizontal="center"/>
    </xf>
    <xf numFmtId="164" fontId="3" fillId="0" borderId="9" xfId="1" applyNumberFormat="1" applyFont="1" applyBorder="1" applyAlignment="1">
      <alignment horizontal="center"/>
    </xf>
    <xf numFmtId="164" fontId="3" fillId="0" borderId="10" xfId="1" applyNumberFormat="1" applyFont="1" applyBorder="1" applyAlignment="1">
      <alignment horizontal="center"/>
    </xf>
    <xf numFmtId="164" fontId="3" fillId="0" borderId="11" xfId="1" applyNumberFormat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164" fontId="3" fillId="0" borderId="2" xfId="1" applyNumberFormat="1" applyFont="1" applyBorder="1" applyAlignment="1">
      <alignment horizontal="center"/>
    </xf>
    <xf numFmtId="164" fontId="3" fillId="0" borderId="3" xfId="1" applyNumberFormat="1" applyFont="1" applyBorder="1" applyAlignment="1">
      <alignment horizontal="center"/>
    </xf>
    <xf numFmtId="164" fontId="3" fillId="0" borderId="4" xfId="1" applyNumberFormat="1" applyFont="1" applyBorder="1" applyAlignment="1">
      <alignment horizontal="center"/>
    </xf>
    <xf numFmtId="164" fontId="4" fillId="0" borderId="0" xfId="1" applyNumberFormat="1" applyFont="1" applyBorder="1"/>
    <xf numFmtId="164" fontId="2" fillId="0" borderId="9" xfId="1" applyNumberFormat="1" applyFont="1" applyBorder="1"/>
    <xf numFmtId="164" fontId="2" fillId="0" borderId="10" xfId="1" applyNumberFormat="1" applyFont="1" applyBorder="1"/>
    <xf numFmtId="164" fontId="2" fillId="0" borderId="11" xfId="1" applyNumberFormat="1" applyFont="1" applyBorder="1"/>
    <xf numFmtId="164" fontId="5" fillId="3" borderId="0" xfId="1" applyNumberFormat="1" applyFont="1" applyFill="1" applyBorder="1"/>
    <xf numFmtId="164" fontId="5" fillId="3" borderId="1" xfId="1" applyNumberFormat="1" applyFont="1" applyFill="1" applyBorder="1"/>
    <xf numFmtId="164" fontId="5" fillId="3" borderId="2" xfId="1" applyNumberFormat="1" applyFont="1" applyFill="1" applyBorder="1"/>
    <xf numFmtId="164" fontId="5" fillId="3" borderId="3" xfId="1" applyNumberFormat="1" applyFont="1" applyFill="1" applyBorder="1"/>
    <xf numFmtId="165" fontId="5" fillId="3" borderId="0" xfId="2" applyNumberFormat="1" applyFont="1" applyFill="1" applyBorder="1"/>
    <xf numFmtId="165" fontId="2" fillId="2" borderId="0" xfId="2" applyNumberFormat="1" applyFont="1" applyFill="1" applyBorder="1"/>
    <xf numFmtId="165" fontId="0" fillId="0" borderId="0" xfId="2" applyNumberFormat="1" applyFont="1"/>
    <xf numFmtId="44" fontId="5" fillId="3" borderId="12" xfId="2" applyFont="1" applyFill="1" applyBorder="1"/>
    <xf numFmtId="44" fontId="5" fillId="3" borderId="13" xfId="2" applyFont="1" applyFill="1" applyBorder="1"/>
    <xf numFmtId="44" fontId="5" fillId="2" borderId="0" xfId="2" applyFont="1" applyFill="1" applyBorder="1"/>
    <xf numFmtId="44" fontId="2" fillId="0" borderId="0" xfId="2" applyFont="1" applyBorder="1"/>
    <xf numFmtId="164" fontId="0" fillId="0" borderId="0" xfId="1" applyNumberFormat="1" applyFont="1"/>
    <xf numFmtId="44" fontId="0" fillId="0" borderId="0" xfId="2" applyFont="1"/>
    <xf numFmtId="164" fontId="5" fillId="3" borderId="4" xfId="1" applyNumberFormat="1" applyFont="1" applyFill="1" applyBorder="1"/>
    <xf numFmtId="164" fontId="2" fillId="3" borderId="1" xfId="1" applyNumberFormat="1" applyFont="1" applyFill="1" applyBorder="1"/>
    <xf numFmtId="164" fontId="2" fillId="3" borderId="2" xfId="1" applyNumberFormat="1" applyFont="1" applyFill="1" applyBorder="1"/>
    <xf numFmtId="164" fontId="2" fillId="3" borderId="3" xfId="1" applyNumberFormat="1" applyFont="1" applyFill="1" applyBorder="1"/>
    <xf numFmtId="164" fontId="2" fillId="3" borderId="4" xfId="1" applyNumberFormat="1" applyFont="1" applyFill="1" applyBorder="1"/>
    <xf numFmtId="165" fontId="2" fillId="3" borderId="9" xfId="2" applyNumberFormat="1" applyFont="1" applyFill="1" applyBorder="1"/>
    <xf numFmtId="165" fontId="2" fillId="3" borderId="0" xfId="2" applyNumberFormat="1" applyFont="1" applyFill="1" applyBorder="1"/>
    <xf numFmtId="165" fontId="2" fillId="3" borderId="10" xfId="2" applyNumberFormat="1" applyFont="1" applyFill="1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A2295-30A4-3947-A8DF-E7B761DE8F64}">
  <dimension ref="A1:W22"/>
  <sheetViews>
    <sheetView tabSelected="1" workbookViewId="0">
      <selection activeCell="A22" sqref="A22"/>
    </sheetView>
  </sheetViews>
  <sheetFormatPr baseColWidth="10" defaultRowHeight="19" x14ac:dyDescent="0.25"/>
  <cols>
    <col min="1" max="1" width="39.6640625" style="1" customWidth="1"/>
    <col min="2" max="2" width="22" style="1" customWidth="1"/>
    <col min="3" max="3" width="23.6640625" style="1" customWidth="1"/>
    <col min="4" max="4" width="17.1640625" style="1" customWidth="1"/>
    <col min="5" max="5" width="15.83203125" customWidth="1"/>
    <col min="6" max="6" width="10.83203125" style="2"/>
    <col min="7" max="7" width="16" customWidth="1"/>
    <col min="8" max="8" width="22.1640625" customWidth="1"/>
    <col min="9" max="9" width="18" customWidth="1"/>
    <col min="10" max="10" width="18.1640625" customWidth="1"/>
    <col min="11" max="11" width="10.83203125" style="2"/>
    <col min="12" max="12" width="14.6640625" customWidth="1"/>
    <col min="13" max="13" width="17.6640625" customWidth="1"/>
    <col min="14" max="14" width="18.5" customWidth="1"/>
    <col min="15" max="15" width="20" customWidth="1"/>
    <col min="16" max="16" width="10.83203125" style="2"/>
    <col min="17" max="17" width="19" customWidth="1"/>
    <col min="18" max="18" width="20.33203125" customWidth="1"/>
    <col min="19" max="19" width="21.6640625" customWidth="1"/>
    <col min="20" max="20" width="18" customWidth="1"/>
    <col min="21" max="21" width="10.83203125" style="2"/>
    <col min="22" max="22" width="17" customWidth="1"/>
    <col min="23" max="23" width="18.33203125" customWidth="1"/>
  </cols>
  <sheetData>
    <row r="1" spans="1:23" ht="20" thickBot="1" x14ac:dyDescent="0.3"/>
    <row r="2" spans="1:23" ht="20" thickBot="1" x14ac:dyDescent="0.3">
      <c r="A2" s="3"/>
      <c r="B2" s="4">
        <v>45932</v>
      </c>
      <c r="C2" s="5">
        <v>45933</v>
      </c>
      <c r="D2" s="6">
        <v>45934</v>
      </c>
      <c r="E2" s="7">
        <v>45935</v>
      </c>
      <c r="G2" s="4">
        <v>45939</v>
      </c>
      <c r="H2" s="7">
        <v>45940</v>
      </c>
      <c r="I2" s="6">
        <v>45941</v>
      </c>
      <c r="J2" s="7">
        <v>45942</v>
      </c>
      <c r="L2" s="8">
        <v>45946</v>
      </c>
      <c r="M2" s="9">
        <v>45947</v>
      </c>
      <c r="N2" s="9">
        <v>45948</v>
      </c>
      <c r="O2" s="10">
        <v>45949</v>
      </c>
      <c r="Q2" s="8">
        <v>45953</v>
      </c>
      <c r="R2" s="9">
        <v>45954</v>
      </c>
      <c r="S2" s="8">
        <v>45955</v>
      </c>
      <c r="T2" s="11">
        <v>45956</v>
      </c>
      <c r="V2" s="8">
        <v>45960</v>
      </c>
      <c r="W2" s="10">
        <v>45961</v>
      </c>
    </row>
    <row r="3" spans="1:23" thickBot="1" x14ac:dyDescent="0.25">
      <c r="A3" s="12" t="s">
        <v>0</v>
      </c>
      <c r="B3" s="13" t="s">
        <v>1</v>
      </c>
      <c r="C3" s="12" t="s">
        <v>1</v>
      </c>
      <c r="D3" s="14" t="s">
        <v>1</v>
      </c>
      <c r="E3" s="15" t="s">
        <v>1</v>
      </c>
      <c r="G3" s="13" t="s">
        <v>1</v>
      </c>
      <c r="H3" s="15" t="s">
        <v>1</v>
      </c>
      <c r="I3" s="14" t="s">
        <v>1</v>
      </c>
      <c r="J3" s="15" t="s">
        <v>1</v>
      </c>
      <c r="L3" s="16" t="s">
        <v>1</v>
      </c>
      <c r="M3" s="17" t="s">
        <v>1</v>
      </c>
      <c r="N3" s="17" t="s">
        <v>1</v>
      </c>
      <c r="O3" s="18" t="s">
        <v>1</v>
      </c>
      <c r="Q3" s="16" t="s">
        <v>1</v>
      </c>
      <c r="R3" s="17" t="s">
        <v>1</v>
      </c>
      <c r="S3" s="16" t="s">
        <v>1</v>
      </c>
      <c r="T3" s="19" t="s">
        <v>1</v>
      </c>
      <c r="V3" s="16" t="s">
        <v>1</v>
      </c>
      <c r="W3" s="18" t="s">
        <v>1</v>
      </c>
    </row>
    <row r="4" spans="1:23" x14ac:dyDescent="0.25">
      <c r="A4" s="20" t="s">
        <v>2</v>
      </c>
      <c r="B4" s="21">
        <v>59765</v>
      </c>
      <c r="C4" s="1">
        <v>55678</v>
      </c>
      <c r="D4" s="22">
        <v>75643</v>
      </c>
      <c r="E4" s="23">
        <v>66789</v>
      </c>
      <c r="G4" s="21">
        <v>69345</v>
      </c>
      <c r="H4" s="23">
        <v>44057</v>
      </c>
      <c r="I4" s="22">
        <v>76923</v>
      </c>
      <c r="J4" s="23">
        <v>78345</v>
      </c>
      <c r="L4" s="21">
        <v>72345</v>
      </c>
      <c r="M4" s="1">
        <v>60986</v>
      </c>
      <c r="N4" s="1">
        <v>77890</v>
      </c>
      <c r="O4" s="22">
        <v>60985</v>
      </c>
      <c r="Q4" s="21">
        <v>77890</v>
      </c>
      <c r="R4" s="1">
        <v>60985</v>
      </c>
      <c r="S4" s="21">
        <v>65789</v>
      </c>
      <c r="T4" s="23">
        <v>90654</v>
      </c>
      <c r="V4" s="21">
        <v>84567</v>
      </c>
      <c r="W4" s="22">
        <v>75689</v>
      </c>
    </row>
    <row r="5" spans="1:23" x14ac:dyDescent="0.25">
      <c r="A5" s="20" t="s">
        <v>3</v>
      </c>
      <c r="B5" s="21">
        <v>18765</v>
      </c>
      <c r="C5" s="1">
        <v>18345</v>
      </c>
      <c r="D5" s="22">
        <v>56784</v>
      </c>
      <c r="E5" s="23">
        <v>48673</v>
      </c>
      <c r="G5" s="21">
        <v>40265</v>
      </c>
      <c r="H5" s="23">
        <v>10784</v>
      </c>
      <c r="I5" s="22">
        <v>54304</v>
      </c>
      <c r="J5" s="23">
        <v>39365</v>
      </c>
      <c r="L5" s="21">
        <v>58745</v>
      </c>
      <c r="M5" s="1">
        <v>41235</v>
      </c>
      <c r="N5" s="1">
        <v>48765</v>
      </c>
      <c r="O5" s="22">
        <v>34786</v>
      </c>
      <c r="Q5" s="21">
        <v>48765</v>
      </c>
      <c r="R5" s="1">
        <v>34786</v>
      </c>
      <c r="S5" s="21">
        <v>25678</v>
      </c>
      <c r="T5" s="23">
        <v>28907</v>
      </c>
      <c r="V5" s="21">
        <v>30008</v>
      </c>
      <c r="W5" s="22">
        <v>28796</v>
      </c>
    </row>
    <row r="6" spans="1:23" x14ac:dyDescent="0.25">
      <c r="A6" s="20" t="s">
        <v>4</v>
      </c>
      <c r="B6" s="21">
        <v>4578</v>
      </c>
      <c r="C6" s="1">
        <v>4678</v>
      </c>
      <c r="D6" s="22">
        <v>3180</v>
      </c>
      <c r="E6" s="23">
        <v>6983</v>
      </c>
      <c r="G6" s="21">
        <v>6023</v>
      </c>
      <c r="H6" s="23">
        <v>11549</v>
      </c>
      <c r="I6" s="22">
        <v>6501</v>
      </c>
      <c r="J6" s="23">
        <v>3824</v>
      </c>
      <c r="L6" s="21">
        <v>58764</v>
      </c>
      <c r="M6" s="1">
        <v>61098</v>
      </c>
      <c r="N6" s="1">
        <v>77890</v>
      </c>
      <c r="O6" s="22">
        <v>58765</v>
      </c>
      <c r="Q6" s="21">
        <v>77890</v>
      </c>
      <c r="R6" s="1">
        <v>58765</v>
      </c>
      <c r="S6" s="21">
        <v>38765</v>
      </c>
      <c r="T6" s="23">
        <v>22789</v>
      </c>
      <c r="V6" s="21">
        <v>31256</v>
      </c>
      <c r="W6" s="22">
        <v>20116</v>
      </c>
    </row>
    <row r="7" spans="1:23" x14ac:dyDescent="0.25">
      <c r="A7" s="20" t="s">
        <v>5</v>
      </c>
      <c r="B7" s="21">
        <v>70432</v>
      </c>
      <c r="C7" s="1">
        <v>80654</v>
      </c>
      <c r="D7" s="22">
        <v>63421</v>
      </c>
      <c r="E7" s="23">
        <v>72864</v>
      </c>
      <c r="G7" s="21">
        <v>83073</v>
      </c>
      <c r="H7" s="23">
        <v>69043</v>
      </c>
      <c r="I7" s="22">
        <v>42956</v>
      </c>
      <c r="J7" s="23">
        <v>35937</v>
      </c>
      <c r="L7" s="21">
        <v>128907</v>
      </c>
      <c r="M7" s="1">
        <v>135678</v>
      </c>
      <c r="N7" s="1">
        <v>122098</v>
      </c>
      <c r="O7" s="22">
        <v>110987</v>
      </c>
      <c r="Q7" s="21">
        <v>122098</v>
      </c>
      <c r="R7" s="1">
        <v>110987</v>
      </c>
      <c r="S7" s="21">
        <v>115786</v>
      </c>
      <c r="T7" s="23">
        <v>137890</v>
      </c>
      <c r="V7" s="21">
        <v>111111</v>
      </c>
      <c r="W7" s="22">
        <v>118909</v>
      </c>
    </row>
    <row r="8" spans="1:23" x14ac:dyDescent="0.25">
      <c r="A8" s="20" t="s">
        <v>6</v>
      </c>
      <c r="B8" s="21">
        <v>98675</v>
      </c>
      <c r="C8" s="1">
        <v>79345</v>
      </c>
      <c r="D8" s="22">
        <v>61357</v>
      </c>
      <c r="E8" s="23">
        <v>61245</v>
      </c>
      <c r="G8" s="21">
        <v>77945</v>
      </c>
      <c r="H8" s="23">
        <v>55194</v>
      </c>
      <c r="I8" s="22">
        <v>45173</v>
      </c>
      <c r="J8" s="23">
        <v>19452</v>
      </c>
      <c r="L8" s="21">
        <v>1009</v>
      </c>
      <c r="M8" s="1">
        <v>987</v>
      </c>
      <c r="N8" s="1">
        <v>1098</v>
      </c>
      <c r="O8" s="22">
        <v>786</v>
      </c>
      <c r="Q8" s="21">
        <v>1098</v>
      </c>
      <c r="R8" s="1">
        <v>786</v>
      </c>
      <c r="S8" s="21">
        <v>1003</v>
      </c>
      <c r="T8" s="23">
        <v>1000</v>
      </c>
      <c r="V8" s="21">
        <v>743</v>
      </c>
      <c r="W8" s="22">
        <v>690</v>
      </c>
    </row>
    <row r="9" spans="1:23" x14ac:dyDescent="0.25">
      <c r="A9" s="20" t="s">
        <v>7</v>
      </c>
      <c r="B9" s="21">
        <v>66642</v>
      </c>
      <c r="C9" s="1">
        <v>61456</v>
      </c>
      <c r="D9" s="22">
        <v>74321</v>
      </c>
      <c r="E9" s="23">
        <v>52390</v>
      </c>
      <c r="G9" s="21">
        <v>62063</v>
      </c>
      <c r="H9" s="23">
        <v>86345</v>
      </c>
      <c r="I9" s="22">
        <v>83034</v>
      </c>
      <c r="J9" s="23">
        <v>47563</v>
      </c>
      <c r="L9" s="21">
        <v>58745</v>
      </c>
      <c r="M9" s="1">
        <v>54390</v>
      </c>
      <c r="N9" s="1">
        <v>50987</v>
      </c>
      <c r="O9" s="22">
        <v>51456</v>
      </c>
      <c r="Q9" s="21">
        <v>50987</v>
      </c>
      <c r="R9" s="1">
        <v>51456</v>
      </c>
      <c r="S9" s="21">
        <v>30987</v>
      </c>
      <c r="T9" s="23">
        <v>53896</v>
      </c>
      <c r="V9" s="21">
        <v>48765</v>
      </c>
      <c r="W9" s="22">
        <v>25789</v>
      </c>
    </row>
    <row r="10" spans="1:23" x14ac:dyDescent="0.25">
      <c r="A10" s="20" t="s">
        <v>8</v>
      </c>
      <c r="B10" s="21">
        <v>57215</v>
      </c>
      <c r="C10" s="1">
        <v>54987</v>
      </c>
      <c r="D10" s="22">
        <v>54321</v>
      </c>
      <c r="E10" s="23">
        <v>49365</v>
      </c>
      <c r="G10" s="21">
        <v>79345</v>
      </c>
      <c r="H10" s="23">
        <v>70814</v>
      </c>
      <c r="I10" s="22">
        <v>78245</v>
      </c>
      <c r="J10" s="23">
        <v>63964</v>
      </c>
      <c r="L10" s="21">
        <v>48734</v>
      </c>
      <c r="M10" s="1">
        <v>45908</v>
      </c>
      <c r="N10" s="1">
        <v>49823</v>
      </c>
      <c r="O10" s="22">
        <v>39876</v>
      </c>
      <c r="Q10" s="21">
        <v>49823</v>
      </c>
      <c r="R10" s="1">
        <v>39876</v>
      </c>
      <c r="S10" s="21">
        <v>31222</v>
      </c>
      <c r="T10" s="23">
        <v>47094</v>
      </c>
      <c r="V10" s="21">
        <v>35678</v>
      </c>
      <c r="W10" s="22">
        <v>18907</v>
      </c>
    </row>
    <row r="11" spans="1:23" ht="20" thickBot="1" x14ac:dyDescent="0.3">
      <c r="A11" s="20" t="s">
        <v>9</v>
      </c>
      <c r="B11" s="21">
        <v>54657</v>
      </c>
      <c r="C11" s="1">
        <v>35908</v>
      </c>
      <c r="D11" s="22">
        <v>65432</v>
      </c>
      <c r="E11" s="23">
        <v>38023</v>
      </c>
      <c r="G11" s="21">
        <v>63870</v>
      </c>
      <c r="H11" s="23">
        <v>50386</v>
      </c>
      <c r="I11" s="22">
        <v>60471</v>
      </c>
      <c r="J11" s="23">
        <v>38456</v>
      </c>
      <c r="L11" s="21">
        <v>57609</v>
      </c>
      <c r="M11" s="1">
        <v>45763</v>
      </c>
      <c r="N11" s="1">
        <v>35678</v>
      </c>
      <c r="O11" s="22">
        <v>25678</v>
      </c>
      <c r="Q11" s="21">
        <v>35678</v>
      </c>
      <c r="R11" s="1">
        <v>25678</v>
      </c>
      <c r="S11" s="21">
        <v>39675</v>
      </c>
      <c r="T11" s="23">
        <v>27407</v>
      </c>
      <c r="V11" s="21">
        <v>22345</v>
      </c>
      <c r="W11" s="22">
        <v>23987</v>
      </c>
    </row>
    <row r="12" spans="1:23" ht="20" thickBot="1" x14ac:dyDescent="0.3">
      <c r="A12" s="24" t="s">
        <v>10</v>
      </c>
      <c r="B12" s="25">
        <f>SUM(B4:B11)</f>
        <v>430729</v>
      </c>
      <c r="C12" s="26">
        <f>SUM(C4:C11)</f>
        <v>391051</v>
      </c>
      <c r="D12" s="27">
        <f>SUM(D4:D11)</f>
        <v>454459</v>
      </c>
      <c r="E12" s="37">
        <f>SUM(E4:E11)</f>
        <v>396332</v>
      </c>
      <c r="G12" s="25">
        <f>SUM(G4:G11)</f>
        <v>481929</v>
      </c>
      <c r="H12" s="37">
        <f>SUM(H4:H11)</f>
        <v>398172</v>
      </c>
      <c r="I12" s="27">
        <f>SUM(I4:I11)</f>
        <v>447607</v>
      </c>
      <c r="J12" s="37">
        <f>SUM(J4:J11)</f>
        <v>326906</v>
      </c>
      <c r="L12" s="38">
        <f>SUM(L4:L11)</f>
        <v>484858</v>
      </c>
      <c r="M12" s="39">
        <f>SUM(M4:M11)</f>
        <v>446045</v>
      </c>
      <c r="N12" s="39">
        <f>SUM(N4:N11)</f>
        <v>464229</v>
      </c>
      <c r="O12" s="40">
        <f>SUM(O4:O11)</f>
        <v>383319</v>
      </c>
      <c r="Q12" s="38">
        <f>SUM(Q4:Q11)</f>
        <v>464229</v>
      </c>
      <c r="R12" s="40">
        <f>SUM(R4:R11)</f>
        <v>383319</v>
      </c>
      <c r="S12" s="38">
        <f>SUM(S4:S11)</f>
        <v>348905</v>
      </c>
      <c r="T12" s="41">
        <f>SUM(T4:T11)</f>
        <v>409637</v>
      </c>
      <c r="V12" s="38">
        <f>SUM(V4:V11)</f>
        <v>364473</v>
      </c>
      <c r="W12" s="41">
        <f>SUM(W4:W11)</f>
        <v>312883</v>
      </c>
    </row>
    <row r="13" spans="1:23" s="30" customFormat="1" x14ac:dyDescent="0.25">
      <c r="A13" s="28" t="s">
        <v>11</v>
      </c>
      <c r="B13" s="42">
        <v>5222222</v>
      </c>
      <c r="C13" s="43">
        <v>5222222</v>
      </c>
      <c r="D13" s="43">
        <v>5222222</v>
      </c>
      <c r="E13" s="44">
        <v>5222222</v>
      </c>
      <c r="F13" s="29" t="s">
        <v>12</v>
      </c>
      <c r="G13" s="42">
        <v>5222222</v>
      </c>
      <c r="H13" s="43">
        <v>5222222</v>
      </c>
      <c r="I13" s="43">
        <v>5222222</v>
      </c>
      <c r="J13" s="44">
        <v>5222222</v>
      </c>
      <c r="K13" s="29" t="s">
        <v>12</v>
      </c>
      <c r="L13" s="42">
        <v>5222222</v>
      </c>
      <c r="M13" s="43">
        <v>5222222</v>
      </c>
      <c r="N13" s="43">
        <v>5222222</v>
      </c>
      <c r="O13" s="44">
        <v>5222222</v>
      </c>
      <c r="P13" s="29" t="s">
        <v>12</v>
      </c>
      <c r="Q13" s="42">
        <v>5222222</v>
      </c>
      <c r="R13" s="43">
        <v>5222222</v>
      </c>
      <c r="S13" s="43">
        <v>5222222</v>
      </c>
      <c r="T13" s="44">
        <v>5222222</v>
      </c>
      <c r="U13" s="29" t="s">
        <v>12</v>
      </c>
      <c r="V13" s="42">
        <v>5222222</v>
      </c>
      <c r="W13" s="44">
        <v>5222222</v>
      </c>
    </row>
    <row r="14" spans="1:23" ht="20" thickBot="1" x14ac:dyDescent="0.3">
      <c r="A14" s="24" t="s">
        <v>13</v>
      </c>
      <c r="B14" s="31">
        <f>B13/B12</f>
        <v>12.124147665933801</v>
      </c>
      <c r="C14" s="31">
        <f t="shared" ref="C14:W14" si="0">C13/C12</f>
        <v>13.354324627733979</v>
      </c>
      <c r="D14" s="31">
        <f t="shared" si="0"/>
        <v>11.491074002275234</v>
      </c>
      <c r="E14" s="32">
        <f t="shared" si="0"/>
        <v>13.176382426854254</v>
      </c>
      <c r="F14" s="33" t="s">
        <v>12</v>
      </c>
      <c r="G14" s="31">
        <f t="shared" si="0"/>
        <v>10.836081663481551</v>
      </c>
      <c r="H14" s="31">
        <f t="shared" si="0"/>
        <v>13.115492802105623</v>
      </c>
      <c r="I14" s="31">
        <f t="shared" si="0"/>
        <v>11.666980185743297</v>
      </c>
      <c r="J14" s="32">
        <f t="shared" si="0"/>
        <v>15.974689972040892</v>
      </c>
      <c r="K14" s="33" t="s">
        <v>12</v>
      </c>
      <c r="L14" s="31">
        <f t="shared" si="0"/>
        <v>10.770621501553032</v>
      </c>
      <c r="M14" s="31">
        <f t="shared" si="0"/>
        <v>11.707836653252475</v>
      </c>
      <c r="N14" s="31">
        <f t="shared" si="0"/>
        <v>11.249236906785228</v>
      </c>
      <c r="O14" s="32">
        <f t="shared" si="0"/>
        <v>13.623697233896571</v>
      </c>
      <c r="P14" s="33" t="s">
        <v>12</v>
      </c>
      <c r="Q14" s="31">
        <f t="shared" si="0"/>
        <v>11.249236906785228</v>
      </c>
      <c r="R14" s="31">
        <f t="shared" si="0"/>
        <v>13.623697233896571</v>
      </c>
      <c r="S14" s="31">
        <f t="shared" si="0"/>
        <v>14.967461056734642</v>
      </c>
      <c r="T14" s="32">
        <f t="shared" si="0"/>
        <v>12.748413839570157</v>
      </c>
      <c r="U14" s="33" t="s">
        <v>12</v>
      </c>
      <c r="V14" s="31">
        <f t="shared" si="0"/>
        <v>14.328145020344442</v>
      </c>
      <c r="W14" s="32">
        <f t="shared" si="0"/>
        <v>16.69065433404819</v>
      </c>
    </row>
    <row r="16" spans="1:23" x14ac:dyDescent="0.25">
      <c r="A16" s="34"/>
      <c r="B16" s="34"/>
      <c r="C16" s="34"/>
      <c r="D16" s="34"/>
    </row>
    <row r="20" spans="13:14" x14ac:dyDescent="0.25">
      <c r="M20" t="s">
        <v>14</v>
      </c>
      <c r="N20" s="35">
        <v>7389082</v>
      </c>
    </row>
    <row r="21" spans="13:14" x14ac:dyDescent="0.25">
      <c r="M21" t="s">
        <v>15</v>
      </c>
      <c r="N21" s="36">
        <v>94000</v>
      </c>
    </row>
    <row r="22" spans="13:14" x14ac:dyDescent="0.25">
      <c r="M22" t="s">
        <v>16</v>
      </c>
      <c r="N22" s="36">
        <f>N21/N20*1000</f>
        <v>12.721472031302399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brian.maddox11@gmail.com</dc:creator>
  <cp:lastModifiedBy>brian.maddox11@gmail.com</cp:lastModifiedBy>
  <dcterms:created xsi:type="dcterms:W3CDTF">2025-11-17T20:19:32Z</dcterms:created>
  <dcterms:modified xsi:type="dcterms:W3CDTF">2025-11-17T20:22:18Z</dcterms:modified>
</cp:coreProperties>
</file>