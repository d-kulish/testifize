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itspty\citrixupm$\UserData\tm\Desktop\"/>
    </mc:Choice>
  </mc:AlternateContent>
  <xr:revisionPtr revIDLastSave="0" documentId="8_{E5E52C1E-7CB0-4360-B8BE-8D1310A21351}" xr6:coauthVersionLast="47" xr6:coauthVersionMax="47" xr10:uidLastSave="{00000000-0000-0000-0000-000000000000}"/>
  <bookViews>
    <workbookView xWindow="-120" yWindow="-120" windowWidth="21840" windowHeight="11130" xr2:uid="{933A2841-4B93-0A4F-A080-69061567AD4A}"/>
  </bookViews>
  <sheets>
    <sheet name="Jan_Sch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2" i="1" l="1"/>
  <c r="AJ34" i="1" s="1"/>
  <c r="AC28" i="1"/>
  <c r="U28" i="1"/>
  <c r="L28" i="1"/>
  <c r="I28" i="1"/>
  <c r="AM26" i="1"/>
  <c r="AL26" i="1"/>
  <c r="AK26" i="1"/>
  <c r="AJ26" i="1"/>
  <c r="AI26" i="1"/>
  <c r="AH26" i="1"/>
  <c r="X26" i="1"/>
  <c r="X28" i="1" s="1"/>
  <c r="G26" i="1"/>
  <c r="G28" i="1" s="1"/>
  <c r="F26" i="1"/>
  <c r="F28" i="1" s="1"/>
  <c r="E26" i="1"/>
  <c r="E28" i="1" s="1"/>
  <c r="D26" i="1"/>
  <c r="E29" i="1" s="1"/>
  <c r="F32" i="1" s="1"/>
  <c r="F34" i="1" s="1"/>
  <c r="AF24" i="1"/>
  <c r="AA24" i="1"/>
  <c r="AB24" i="1" s="1"/>
  <c r="X24" i="1"/>
  <c r="W24" i="1"/>
  <c r="S24" i="1"/>
  <c r="T24" i="1" s="1"/>
  <c r="J24" i="1"/>
  <c r="K24" i="1" s="1"/>
  <c r="AF23" i="1"/>
  <c r="AE23" i="1"/>
  <c r="AE24" i="1" s="1"/>
  <c r="AD23" i="1"/>
  <c r="AD24" i="1" s="1"/>
  <c r="AC23" i="1"/>
  <c r="AC24" i="1" s="1"/>
  <c r="AB23" i="1"/>
  <c r="AA23" i="1"/>
  <c r="AA26" i="1" s="1"/>
  <c r="AA28" i="1" s="1"/>
  <c r="Z23" i="1"/>
  <c r="Z26" i="1" s="1"/>
  <c r="X23" i="1"/>
  <c r="W23" i="1"/>
  <c r="W26" i="1" s="1"/>
  <c r="W28" i="1" s="1"/>
  <c r="V23" i="1"/>
  <c r="V24" i="1" s="1"/>
  <c r="U23" i="1"/>
  <c r="U24" i="1" s="1"/>
  <c r="T23" i="1"/>
  <c r="S23" i="1"/>
  <c r="S26" i="1" s="1"/>
  <c r="S28" i="1" s="1"/>
  <c r="R23" i="1"/>
  <c r="R26" i="1" s="1"/>
  <c r="P23" i="1"/>
  <c r="O23" i="1"/>
  <c r="O24" i="1" s="1"/>
  <c r="N23" i="1"/>
  <c r="N24" i="1" s="1"/>
  <c r="M23" i="1"/>
  <c r="M24" i="1" s="1"/>
  <c r="K23" i="1"/>
  <c r="K26" i="1" s="1"/>
  <c r="K28" i="1" s="1"/>
  <c r="J23" i="1"/>
  <c r="I23" i="1"/>
  <c r="J13" i="1"/>
  <c r="D12" i="1"/>
  <c r="E12" i="1" s="1"/>
  <c r="E11" i="1"/>
  <c r="J10" i="1"/>
  <c r="J9" i="1"/>
  <c r="J11" i="1" s="1"/>
  <c r="D7" i="1"/>
  <c r="J5" i="1" s="1"/>
  <c r="J26" i="1" l="1"/>
  <c r="AF26" i="1"/>
  <c r="AF28" i="1" s="1"/>
  <c r="AH28" i="1" s="1"/>
  <c r="AI28" i="1" s="1"/>
  <c r="AJ28" i="1" s="1"/>
  <c r="T26" i="1"/>
  <c r="T28" i="1" s="1"/>
  <c r="P24" i="1"/>
  <c r="P26" i="1" s="1"/>
  <c r="P28" i="1" s="1"/>
  <c r="V26" i="1"/>
  <c r="V28" i="1" s="1"/>
  <c r="Z28" i="1"/>
  <c r="AB26" i="1"/>
  <c r="AB28" i="1" s="1"/>
  <c r="R28" i="1"/>
  <c r="T29" i="1"/>
  <c r="T32" i="1" s="1"/>
  <c r="T34" i="1" s="1"/>
  <c r="M26" i="1"/>
  <c r="M28" i="1" s="1"/>
  <c r="J14" i="1"/>
  <c r="J15" i="1" s="1"/>
  <c r="N26" i="1"/>
  <c r="N28" i="1" s="1"/>
  <c r="AD26" i="1"/>
  <c r="AD28" i="1" s="1"/>
  <c r="D28" i="1"/>
  <c r="O26" i="1"/>
  <c r="O28" i="1" s="1"/>
  <c r="AE26" i="1"/>
  <c r="AE28" i="1" s="1"/>
  <c r="J28" i="1"/>
  <c r="K29" i="1" l="1"/>
  <c r="K32" i="1" s="1"/>
  <c r="K34" i="1" s="1"/>
  <c r="AC29" i="1"/>
  <c r="AB32" i="1" s="1"/>
  <c r="AB34" i="1" s="1"/>
</calcChain>
</file>

<file path=xl/sharedStrings.xml><?xml version="1.0" encoding="utf-8"?>
<sst xmlns="http://schemas.openxmlformats.org/spreadsheetml/2006/main" count="86" uniqueCount="33">
  <si>
    <t xml:space="preserve">    Jan'26 Monthly Totals </t>
  </si>
  <si>
    <t>Industry Info on Inventory Placement &amp; costs/savings</t>
  </si>
  <si>
    <t xml:space="preserve"> </t>
  </si>
  <si>
    <t>TTL IMPS</t>
  </si>
  <si>
    <t xml:space="preserve">BOL Live Game &amp; Sports Prog CPM Rate </t>
  </si>
  <si>
    <t>TTL Cost</t>
  </si>
  <si>
    <t>DraftKings &amp; Fanduel Live Game CPM rate</t>
  </si>
  <si>
    <t>eCPM</t>
  </si>
  <si>
    <t>DraftKings &amp; Fanduel Spts Prog CPM rate</t>
  </si>
  <si>
    <t>BOL Live Game Inventory  Cost</t>
  </si>
  <si>
    <t xml:space="preserve">Jan '26 Imp Placement Breakout </t>
  </si>
  <si>
    <t>BOL Sports Programming Cost</t>
  </si>
  <si>
    <t>Live Game Imps</t>
  </si>
  <si>
    <t>Sports Prog</t>
  </si>
  <si>
    <t xml:space="preserve">US based on-line sportsbooks live game cost </t>
  </si>
  <si>
    <t xml:space="preserve">US based on-line sportsbooks sport prog cost </t>
  </si>
  <si>
    <t xml:space="preserve">Betonline Delviery </t>
  </si>
  <si>
    <t>Impressions</t>
  </si>
  <si>
    <t xml:space="preserve">ESPN </t>
  </si>
  <si>
    <t xml:space="preserve">Fox Sports </t>
  </si>
  <si>
    <t xml:space="preserve">CBS Sports </t>
  </si>
  <si>
    <t>SEC</t>
  </si>
  <si>
    <t xml:space="preserve">Big 10 Network </t>
  </si>
  <si>
    <t xml:space="preserve">ACC Network </t>
  </si>
  <si>
    <t>Live Games</t>
  </si>
  <si>
    <t>Daily Impressions</t>
  </si>
  <si>
    <t>Daily Spend</t>
  </si>
  <si>
    <t>CPM</t>
  </si>
  <si>
    <t>W/O 1/1</t>
  </si>
  <si>
    <t>W/O 1/5</t>
  </si>
  <si>
    <t>W/O 1/12</t>
  </si>
  <si>
    <t>W/O 1/19</t>
  </si>
  <si>
    <t>W/O 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</si>
</sst>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Bangla Sangam MN"/>
      <family val="2"/>
    </font>
    <font>
      <b/>
      <sz val="16"/>
      <color rgb="FF000000"/>
      <name val="Bangla Sangam MN"/>
      <family val="2"/>
    </font>
    <font>
      <b/>
      <sz val="14"/>
      <color theme="1"/>
      <name val="Bangla Sangam MN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9AD0"/>
        <bgColor indexed="64"/>
      </patternFill>
    </fill>
    <fill>
      <patternFill patternType="solid">
        <fgColor rgb="FF00D6FF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2" fillId="2" borderId="0" xfId="0" applyFont="1" applyFill="1"/>
    <xf numFmtId="16" fontId="3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3" fillId="3" borderId="1" xfId="0" applyFont="1" applyFill="1" applyBorder="1"/>
    <xf numFmtId="3" fontId="3" fillId="3" borderId="2" xfId="0" applyNumberFormat="1" applyFont="1" applyFill="1" applyBorder="1"/>
    <xf numFmtId="0" fontId="4" fillId="4" borderId="3" xfId="0" applyFont="1" applyFill="1" applyBorder="1"/>
    <xf numFmtId="44" fontId="4" fillId="4" borderId="4" xfId="0" applyNumberFormat="1" applyFont="1" applyFill="1" applyBorder="1"/>
    <xf numFmtId="0" fontId="3" fillId="3" borderId="5" xfId="0" applyFont="1" applyFill="1" applyBorder="1"/>
    <xf numFmtId="6" fontId="3" fillId="3" borderId="6" xfId="0" applyNumberFormat="1" applyFont="1" applyFill="1" applyBorder="1"/>
    <xf numFmtId="0" fontId="4" fillId="4" borderId="7" xfId="0" applyFont="1" applyFill="1" applyBorder="1"/>
    <xf numFmtId="44" fontId="4" fillId="4" borderId="8" xfId="1" applyFont="1" applyFill="1" applyBorder="1"/>
    <xf numFmtId="0" fontId="3" fillId="3" borderId="9" xfId="0" applyFont="1" applyFill="1" applyBorder="1"/>
    <xf numFmtId="44" fontId="3" fillId="3" borderId="10" xfId="1" applyFont="1" applyFill="1" applyBorder="1"/>
    <xf numFmtId="0" fontId="4" fillId="2" borderId="0" xfId="0" applyFont="1" applyFill="1"/>
    <xf numFmtId="0" fontId="0" fillId="2" borderId="0" xfId="0" applyFill="1"/>
    <xf numFmtId="0" fontId="3" fillId="2" borderId="0" xfId="0" applyFont="1" applyFill="1"/>
    <xf numFmtId="44" fontId="4" fillId="4" borderId="8" xfId="0" applyNumberFormat="1" applyFont="1" applyFill="1" applyBorder="1"/>
    <xf numFmtId="3" fontId="3" fillId="2" borderId="0" xfId="0" applyNumberFormat="1" applyFont="1" applyFill="1"/>
    <xf numFmtId="164" fontId="2" fillId="2" borderId="0" xfId="1" applyNumberFormat="1" applyFont="1" applyFill="1"/>
    <xf numFmtId="0" fontId="2" fillId="5" borderId="1" xfId="0" applyFont="1" applyFill="1" applyBorder="1"/>
    <xf numFmtId="3" fontId="2" fillId="5" borderId="3" xfId="0" applyNumberFormat="1" applyFont="1" applyFill="1" applyBorder="1"/>
    <xf numFmtId="9" fontId="2" fillId="5" borderId="4" xfId="2" applyFont="1" applyFill="1" applyBorder="1"/>
    <xf numFmtId="44" fontId="4" fillId="4" borderId="11" xfId="0" applyNumberFormat="1" applyFont="1" applyFill="1" applyBorder="1"/>
    <xf numFmtId="6" fontId="3" fillId="2" borderId="0" xfId="0" applyNumberFormat="1" applyFont="1" applyFill="1"/>
    <xf numFmtId="0" fontId="2" fillId="5" borderId="9" xfId="0" applyFont="1" applyFill="1" applyBorder="1"/>
    <xf numFmtId="3" fontId="2" fillId="5" borderId="7" xfId="0" applyNumberFormat="1" applyFont="1" applyFill="1" applyBorder="1"/>
    <xf numFmtId="9" fontId="2" fillId="5" borderId="8" xfId="2" applyFont="1" applyFill="1" applyBorder="1"/>
    <xf numFmtId="44" fontId="2" fillId="2" borderId="0" xfId="0" applyNumberFormat="1" applyFont="1" applyFill="1"/>
    <xf numFmtId="3" fontId="2" fillId="2" borderId="0" xfId="0" applyNumberFormat="1" applyFont="1" applyFill="1"/>
    <xf numFmtId="9" fontId="2" fillId="2" borderId="0" xfId="2" applyFont="1" applyFill="1" applyBorder="1"/>
    <xf numFmtId="17" fontId="2" fillId="2" borderId="11" xfId="0" applyNumberFormat="1" applyFont="1" applyFill="1" applyBorder="1" applyAlignment="1">
      <alignment horizontal="center"/>
    </xf>
    <xf numFmtId="14" fontId="3" fillId="2" borderId="12" xfId="0" applyNumberFormat="1" applyFont="1" applyFill="1" applyBorder="1" applyAlignment="1">
      <alignment horizontal="center"/>
    </xf>
    <xf numFmtId="14" fontId="3" fillId="2" borderId="13" xfId="0" applyNumberFormat="1" applyFont="1" applyFill="1" applyBorder="1" applyAlignment="1">
      <alignment horizontal="center"/>
    </xf>
    <xf numFmtId="14" fontId="3" fillId="2" borderId="14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4" fontId="3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3" fillId="2" borderId="4" xfId="0" applyNumberFormat="1" applyFont="1" applyFill="1" applyBorder="1" applyAlignment="1">
      <alignment horizontal="center"/>
    </xf>
    <xf numFmtId="14" fontId="3" fillId="2" borderId="0" xfId="0" applyNumberFormat="1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3" fontId="3" fillId="2" borderId="3" xfId="0" applyNumberFormat="1" applyFont="1" applyFill="1" applyBorder="1" applyAlignment="1">
      <alignment horizontal="center"/>
    </xf>
    <xf numFmtId="3" fontId="3" fillId="2" borderId="4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/>
    </xf>
    <xf numFmtId="3" fontId="3" fillId="2" borderId="0" xfId="0" applyNumberFormat="1" applyFont="1" applyFill="1" applyAlignment="1">
      <alignment horizontal="center"/>
    </xf>
    <xf numFmtId="3" fontId="3" fillId="2" borderId="15" xfId="0" applyNumberFormat="1" applyFont="1" applyFill="1" applyBorder="1" applyAlignment="1">
      <alignment horizontal="center"/>
    </xf>
    <xf numFmtId="3" fontId="3" fillId="2" borderId="9" xfId="0" applyNumberFormat="1" applyFont="1" applyFill="1" applyBorder="1" applyAlignment="1">
      <alignment horizontal="center"/>
    </xf>
    <xf numFmtId="3" fontId="3" fillId="2" borderId="7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3" fontId="2" fillId="3" borderId="3" xfId="0" applyNumberFormat="1" applyFont="1" applyFill="1" applyBorder="1" applyAlignment="1">
      <alignment horizontal="center"/>
    </xf>
    <xf numFmtId="3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3" fontId="2" fillId="3" borderId="5" xfId="0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5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6" fontId="3" fillId="3" borderId="5" xfId="0" applyNumberFormat="1" applyFont="1" applyFill="1" applyBorder="1" applyAlignment="1">
      <alignment horizontal="center"/>
    </xf>
    <xf numFmtId="6" fontId="3" fillId="3" borderId="0" xfId="0" applyNumberFormat="1" applyFont="1" applyFill="1" applyAlignment="1">
      <alignment horizontal="center"/>
    </xf>
    <xf numFmtId="6" fontId="3" fillId="3" borderId="15" xfId="0" applyNumberFormat="1" applyFont="1" applyFill="1" applyBorder="1" applyAlignment="1">
      <alignment horizontal="center"/>
    </xf>
    <xf numFmtId="6" fontId="3" fillId="2" borderId="0" xfId="0" applyNumberFormat="1" applyFont="1" applyFill="1" applyAlignment="1">
      <alignment horizontal="center"/>
    </xf>
    <xf numFmtId="0" fontId="3" fillId="3" borderId="9" xfId="0" applyFont="1" applyFill="1" applyBorder="1" applyAlignment="1">
      <alignment horizontal="center"/>
    </xf>
    <xf numFmtId="8" fontId="3" fillId="3" borderId="9" xfId="0" applyNumberFormat="1" applyFont="1" applyFill="1" applyBorder="1" applyAlignment="1">
      <alignment horizontal="center"/>
    </xf>
    <xf numFmtId="8" fontId="3" fillId="3" borderId="7" xfId="0" applyNumberFormat="1" applyFont="1" applyFill="1" applyBorder="1" applyAlignment="1">
      <alignment horizontal="center"/>
    </xf>
    <xf numFmtId="8" fontId="3" fillId="3" borderId="8" xfId="0" applyNumberFormat="1" applyFont="1" applyFill="1" applyBorder="1" applyAlignment="1">
      <alignment horizontal="center"/>
    </xf>
    <xf numFmtId="8" fontId="3" fillId="2" borderId="0" xfId="0" applyNumberFormat="1" applyFont="1" applyFill="1" applyAlignment="1">
      <alignment horizontal="center"/>
    </xf>
    <xf numFmtId="3" fontId="2" fillId="2" borderId="0" xfId="0" applyNumberFormat="1" applyFont="1" applyFill="1" applyAlignment="1">
      <alignment horizontal="center"/>
    </xf>
    <xf numFmtId="0" fontId="2" fillId="0" borderId="0" xfId="0" applyFont="1"/>
    <xf numFmtId="0" fontId="3" fillId="6" borderId="1" xfId="0" applyFont="1" applyFill="1" applyBorder="1"/>
    <xf numFmtId="3" fontId="3" fillId="6" borderId="4" xfId="0" applyNumberFormat="1" applyFont="1" applyFill="1" applyBorder="1"/>
    <xf numFmtId="0" fontId="3" fillId="6" borderId="5" xfId="0" applyFont="1" applyFill="1" applyBorder="1"/>
    <xf numFmtId="6" fontId="3" fillId="6" borderId="15" xfId="0" applyNumberFormat="1" applyFont="1" applyFill="1" applyBorder="1"/>
    <xf numFmtId="0" fontId="3" fillId="0" borderId="0" xfId="0" applyFont="1"/>
    <xf numFmtId="0" fontId="3" fillId="6" borderId="9" xfId="0" applyFont="1" applyFill="1" applyBorder="1"/>
    <xf numFmtId="8" fontId="3" fillId="6" borderId="8" xfId="0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0F231-5121-084C-8397-CA190FBFA856}">
  <dimension ref="B1:AS81"/>
  <sheetViews>
    <sheetView tabSelected="1" workbookViewId="0">
      <selection activeCell="B2" sqref="B2"/>
    </sheetView>
  </sheetViews>
  <sheetFormatPr defaultColWidth="10.77734375" defaultRowHeight="20.25"/>
  <cols>
    <col min="1" max="2" width="10.77734375" style="77"/>
    <col min="3" max="3" width="28.77734375" style="77" customWidth="1"/>
    <col min="4" max="4" width="16.33203125" style="77" customWidth="1"/>
    <col min="5" max="5" width="18.44140625" style="77" customWidth="1"/>
    <col min="6" max="7" width="19.33203125" style="77" customWidth="1"/>
    <col min="8" max="8" width="22.77734375" style="77" customWidth="1"/>
    <col min="9" max="9" width="21.33203125" style="77" customWidth="1"/>
    <col min="10" max="10" width="24.33203125" style="77" customWidth="1"/>
    <col min="11" max="11" width="16.77734375" style="77" customWidth="1"/>
    <col min="12" max="12" width="7.109375" style="77" hidden="1" customWidth="1"/>
    <col min="13" max="13" width="21.109375" style="77" customWidth="1"/>
    <col min="14" max="14" width="19.33203125" style="77" customWidth="1"/>
    <col min="15" max="15" width="20.44140625" style="77" customWidth="1"/>
    <col min="16" max="16" width="19.6640625" style="77" customWidth="1"/>
    <col min="17" max="17" width="10.33203125" style="77" customWidth="1"/>
    <col min="18" max="18" width="18.109375" style="77" customWidth="1"/>
    <col min="19" max="19" width="20.33203125" style="77" customWidth="1"/>
    <col min="20" max="20" width="17.109375" style="77" customWidth="1"/>
    <col min="21" max="21" width="20.44140625" style="77" customWidth="1"/>
    <col min="22" max="22" width="19.33203125" style="77" customWidth="1"/>
    <col min="23" max="23" width="18.44140625" style="77" customWidth="1"/>
    <col min="24" max="24" width="18.44140625" style="1" customWidth="1"/>
    <col min="25" max="25" width="14.109375" style="1" customWidth="1"/>
    <col min="26" max="26" width="17.33203125" style="1" customWidth="1"/>
    <col min="27" max="27" width="18" style="1" customWidth="1"/>
    <col min="28" max="28" width="20.6640625" style="1" customWidth="1"/>
    <col min="29" max="29" width="18.109375" style="1" customWidth="1"/>
    <col min="30" max="30" width="20.44140625" style="1" customWidth="1"/>
    <col min="31" max="31" width="19" style="1" customWidth="1"/>
    <col min="32" max="32" width="22.33203125" style="1" customWidth="1"/>
    <col min="33" max="33" width="6.109375" style="77" customWidth="1"/>
    <col min="34" max="34" width="17.33203125" style="77" customWidth="1"/>
    <col min="35" max="35" width="17.6640625" style="77" customWidth="1"/>
    <col min="36" max="36" width="19.33203125" style="77" customWidth="1"/>
    <col min="37" max="37" width="17.6640625" style="77" customWidth="1"/>
    <col min="38" max="38" width="17.109375" style="77" customWidth="1"/>
    <col min="39" max="39" width="17.6640625" style="77" customWidth="1"/>
    <col min="40" max="16384" width="10.77734375" style="77"/>
  </cols>
  <sheetData>
    <row r="1" spans="3:22" s="1" customFormat="1"/>
    <row r="2" spans="3:22" s="1" customFormat="1"/>
    <row r="3" spans="3:22" s="1" customFormat="1"/>
    <row r="4" spans="3:22" s="1" customFormat="1" ht="21" thickBot="1">
      <c r="C4" s="2" t="s">
        <v>0</v>
      </c>
      <c r="F4" s="3"/>
      <c r="G4" s="3"/>
      <c r="H4" s="3"/>
      <c r="I4" s="3" t="s">
        <v>1</v>
      </c>
      <c r="J4" s="4"/>
      <c r="K4" s="1" t="s">
        <v>2</v>
      </c>
    </row>
    <row r="5" spans="3:22" s="1" customFormat="1">
      <c r="C5" s="5" t="s">
        <v>3</v>
      </c>
      <c r="D5" s="6">
        <v>6435000</v>
      </c>
      <c r="H5" s="7" t="s">
        <v>4</v>
      </c>
      <c r="I5" s="7"/>
      <c r="J5" s="8">
        <f>D7</f>
        <v>14.607614607614607</v>
      </c>
    </row>
    <row r="6" spans="3:22" s="1" customFormat="1" ht="21" thickBot="1">
      <c r="C6" s="9" t="s">
        <v>5</v>
      </c>
      <c r="D6" s="10">
        <v>94000</v>
      </c>
      <c r="H6" s="11" t="s">
        <v>6</v>
      </c>
      <c r="I6" s="11"/>
      <c r="J6" s="12">
        <v>55</v>
      </c>
    </row>
    <row r="7" spans="3:22" s="1" customFormat="1" ht="21" thickBot="1">
      <c r="C7" s="13" t="s">
        <v>7</v>
      </c>
      <c r="D7" s="14">
        <f>D6/D5*1000</f>
        <v>14.607614607614607</v>
      </c>
      <c r="H7" s="11" t="s">
        <v>8</v>
      </c>
      <c r="I7" s="11"/>
      <c r="J7" s="12">
        <v>25</v>
      </c>
    </row>
    <row r="8" spans="3:22" s="1" customFormat="1" ht="21" thickBot="1">
      <c r="H8" s="15"/>
      <c r="I8" s="15"/>
      <c r="J8" s="15"/>
    </row>
    <row r="9" spans="3:22" s="1" customFormat="1">
      <c r="C9" s="16"/>
      <c r="D9" s="16"/>
      <c r="E9" s="16"/>
      <c r="F9" s="16"/>
      <c r="H9" s="7" t="s">
        <v>9</v>
      </c>
      <c r="I9" s="7"/>
      <c r="J9" s="8">
        <f>D6*0.27</f>
        <v>25380</v>
      </c>
      <c r="L9" s="17"/>
    </row>
    <row r="10" spans="3:22" s="1" customFormat="1" ht="21" thickBot="1">
      <c r="D10" s="4" t="s">
        <v>10</v>
      </c>
      <c r="E10" s="4"/>
      <c r="F10" s="16"/>
      <c r="H10" s="11" t="s">
        <v>11</v>
      </c>
      <c r="I10" s="11"/>
      <c r="J10" s="18">
        <f>D6*0.73</f>
        <v>68620</v>
      </c>
      <c r="L10" s="19"/>
      <c r="V10" s="20" t="s">
        <v>2</v>
      </c>
    </row>
    <row r="11" spans="3:22" s="1" customFormat="1" ht="21" thickBot="1">
      <c r="C11" s="21" t="s">
        <v>12</v>
      </c>
      <c r="D11" s="22">
        <v>1720000</v>
      </c>
      <c r="E11" s="23">
        <f>D11/D5</f>
        <v>0.26728826728826727</v>
      </c>
      <c r="F11" s="16"/>
      <c r="H11" s="15"/>
      <c r="I11" s="15"/>
      <c r="J11" s="24">
        <f>J9+J10</f>
        <v>94000</v>
      </c>
      <c r="L11" s="25"/>
      <c r="N11" s="1" t="s">
        <v>2</v>
      </c>
      <c r="V11" s="20" t="s">
        <v>2</v>
      </c>
    </row>
    <row r="12" spans="3:22" s="1" customFormat="1" ht="21" thickBot="1">
      <c r="C12" s="26" t="s">
        <v>13</v>
      </c>
      <c r="D12" s="27">
        <f>D5-D11</f>
        <v>4715000</v>
      </c>
      <c r="E12" s="28">
        <f>D12/D5</f>
        <v>0.73271173271173273</v>
      </c>
      <c r="H12" s="15"/>
      <c r="I12" s="15"/>
      <c r="J12" s="15"/>
      <c r="L12" s="25"/>
      <c r="V12" s="20"/>
    </row>
    <row r="13" spans="3:22" s="1" customFormat="1">
      <c r="H13" s="7" t="s">
        <v>14</v>
      </c>
      <c r="I13" s="7"/>
      <c r="J13" s="8">
        <f>D11*50/1000</f>
        <v>86000</v>
      </c>
      <c r="L13" s="25"/>
      <c r="V13" s="20"/>
    </row>
    <row r="14" spans="3:22" s="1" customFormat="1" ht="21" thickBot="1">
      <c r="H14" s="11" t="s">
        <v>15</v>
      </c>
      <c r="I14" s="11"/>
      <c r="J14" s="18">
        <f>D12*30/1000</f>
        <v>141450</v>
      </c>
      <c r="L14" s="25"/>
      <c r="V14" s="20"/>
    </row>
    <row r="15" spans="3:22" s="1" customFormat="1" ht="21" thickBot="1">
      <c r="H15" s="15"/>
      <c r="I15" s="15"/>
      <c r="J15" s="24">
        <f>SUM(J13:J14)</f>
        <v>227450</v>
      </c>
      <c r="L15" s="25"/>
      <c r="V15" s="20"/>
    </row>
    <row r="16" spans="3:22" s="1" customFormat="1" ht="21" thickBot="1">
      <c r="C16" s="20"/>
      <c r="D16" s="29"/>
      <c r="N16" s="30"/>
      <c r="O16" s="31"/>
    </row>
    <row r="17" spans="3:45" s="3" customFormat="1" ht="21" thickBot="1">
      <c r="C17" s="32">
        <v>46048</v>
      </c>
      <c r="D17" s="33">
        <v>46023</v>
      </c>
      <c r="E17" s="34">
        <v>46024</v>
      </c>
      <c r="F17" s="34">
        <v>46025</v>
      </c>
      <c r="G17" s="35">
        <v>46026</v>
      </c>
      <c r="I17" s="36">
        <v>46027</v>
      </c>
      <c r="J17" s="37">
        <v>46028</v>
      </c>
      <c r="K17" s="37">
        <v>46029</v>
      </c>
      <c r="L17" s="38"/>
      <c r="M17" s="37">
        <v>46030</v>
      </c>
      <c r="N17" s="37">
        <v>46031</v>
      </c>
      <c r="O17" s="37">
        <v>46032</v>
      </c>
      <c r="P17" s="39">
        <v>46033</v>
      </c>
      <c r="Q17" s="40"/>
      <c r="R17" s="33">
        <v>46034</v>
      </c>
      <c r="S17" s="34">
        <v>46035</v>
      </c>
      <c r="T17" s="34">
        <v>46036</v>
      </c>
      <c r="U17" s="34">
        <v>46037</v>
      </c>
      <c r="V17" s="34">
        <v>46038</v>
      </c>
      <c r="W17" s="34">
        <v>46039</v>
      </c>
      <c r="X17" s="35">
        <v>46040</v>
      </c>
      <c r="Y17" s="40"/>
      <c r="Z17" s="33">
        <v>46041</v>
      </c>
      <c r="AA17" s="34">
        <v>46042</v>
      </c>
      <c r="AB17" s="34">
        <v>46043</v>
      </c>
      <c r="AC17" s="34">
        <v>46044</v>
      </c>
      <c r="AD17" s="34">
        <v>46045</v>
      </c>
      <c r="AE17" s="34">
        <v>46046</v>
      </c>
      <c r="AF17" s="35">
        <v>46047</v>
      </c>
      <c r="AH17" s="33">
        <v>46048</v>
      </c>
      <c r="AI17" s="34">
        <v>46049</v>
      </c>
      <c r="AJ17" s="34">
        <v>46050</v>
      </c>
      <c r="AK17" s="34">
        <v>46051</v>
      </c>
      <c r="AL17" s="34">
        <v>46052</v>
      </c>
      <c r="AM17" s="35">
        <v>46053</v>
      </c>
    </row>
    <row r="18" spans="3:45" s="3" customFormat="1" ht="21" thickBot="1">
      <c r="C18" s="41" t="s">
        <v>16</v>
      </c>
      <c r="D18" s="42" t="s">
        <v>17</v>
      </c>
      <c r="E18" s="43" t="s">
        <v>17</v>
      </c>
      <c r="F18" s="43" t="s">
        <v>17</v>
      </c>
      <c r="G18" s="44" t="s">
        <v>17</v>
      </c>
      <c r="I18" s="42" t="s">
        <v>17</v>
      </c>
      <c r="J18" s="43" t="s">
        <v>17</v>
      </c>
      <c r="K18" s="43" t="s">
        <v>17</v>
      </c>
      <c r="L18" s="45"/>
      <c r="M18" s="43" t="s">
        <v>17</v>
      </c>
      <c r="N18" s="43" t="s">
        <v>17</v>
      </c>
      <c r="O18" s="43" t="s">
        <v>17</v>
      </c>
      <c r="P18" s="44" t="s">
        <v>17</v>
      </c>
      <c r="Q18" s="46"/>
      <c r="R18" s="42" t="s">
        <v>17</v>
      </c>
      <c r="S18" s="43" t="s">
        <v>17</v>
      </c>
      <c r="T18" s="43" t="s">
        <v>17</v>
      </c>
      <c r="U18" s="43" t="s">
        <v>17</v>
      </c>
      <c r="V18" s="43" t="s">
        <v>17</v>
      </c>
      <c r="W18" s="43" t="s">
        <v>17</v>
      </c>
      <c r="X18" s="44" t="s">
        <v>17</v>
      </c>
      <c r="Y18" s="46"/>
      <c r="Z18" s="42" t="s">
        <v>17</v>
      </c>
      <c r="AA18" s="43" t="s">
        <v>17</v>
      </c>
      <c r="AB18" s="43" t="s">
        <v>17</v>
      </c>
      <c r="AC18" s="43" t="s">
        <v>17</v>
      </c>
      <c r="AD18" s="43" t="s">
        <v>17</v>
      </c>
      <c r="AE18" s="43" t="s">
        <v>17</v>
      </c>
      <c r="AF18" s="44" t="s">
        <v>17</v>
      </c>
      <c r="AH18" s="42" t="s">
        <v>17</v>
      </c>
      <c r="AI18" s="43" t="s">
        <v>17</v>
      </c>
      <c r="AJ18" s="43" t="s">
        <v>17</v>
      </c>
      <c r="AK18" s="43" t="s">
        <v>17</v>
      </c>
      <c r="AL18" s="43" t="s">
        <v>17</v>
      </c>
      <c r="AM18" s="44" t="s">
        <v>17</v>
      </c>
    </row>
    <row r="19" spans="3:45" s="3" customFormat="1">
      <c r="C19" s="47" t="s">
        <v>18</v>
      </c>
      <c r="D19" s="48">
        <v>50000</v>
      </c>
      <c r="E19" s="49">
        <v>50000</v>
      </c>
      <c r="F19" s="49">
        <v>50000</v>
      </c>
      <c r="G19" s="50">
        <v>50000</v>
      </c>
      <c r="I19" s="51">
        <v>15000</v>
      </c>
      <c r="J19" s="52">
        <v>15000</v>
      </c>
      <c r="K19" s="52">
        <v>15000</v>
      </c>
      <c r="M19" s="52">
        <v>45000</v>
      </c>
      <c r="N19" s="52">
        <v>45000</v>
      </c>
      <c r="O19" s="52">
        <v>45000</v>
      </c>
      <c r="P19" s="53">
        <v>45000</v>
      </c>
      <c r="Q19" s="52"/>
      <c r="R19" s="51">
        <v>15000</v>
      </c>
      <c r="S19" s="52">
        <v>15000</v>
      </c>
      <c r="T19" s="52">
        <v>15000</v>
      </c>
      <c r="U19" s="52">
        <v>45000</v>
      </c>
      <c r="V19" s="52">
        <v>45000</v>
      </c>
      <c r="W19" s="52">
        <v>45000</v>
      </c>
      <c r="X19" s="53">
        <v>45000</v>
      </c>
      <c r="Z19" s="51">
        <v>15000</v>
      </c>
      <c r="AA19" s="52">
        <v>15000</v>
      </c>
      <c r="AB19" s="52">
        <v>15000</v>
      </c>
      <c r="AC19" s="52">
        <v>45000</v>
      </c>
      <c r="AD19" s="52">
        <v>45000</v>
      </c>
      <c r="AE19" s="52">
        <v>45000</v>
      </c>
      <c r="AF19" s="53">
        <v>45000</v>
      </c>
      <c r="AH19" s="51">
        <v>10000</v>
      </c>
      <c r="AI19" s="52">
        <v>10000</v>
      </c>
      <c r="AJ19" s="52">
        <v>10000</v>
      </c>
      <c r="AK19" s="52">
        <v>40000</v>
      </c>
      <c r="AL19" s="52">
        <v>40000</v>
      </c>
      <c r="AM19" s="53">
        <v>40000</v>
      </c>
    </row>
    <row r="20" spans="3:45" s="3" customFormat="1">
      <c r="C20" s="47" t="s">
        <v>19</v>
      </c>
      <c r="D20" s="51">
        <v>25000</v>
      </c>
      <c r="E20" s="52">
        <v>25000</v>
      </c>
      <c r="F20" s="52">
        <v>25000</v>
      </c>
      <c r="G20" s="53">
        <v>25000</v>
      </c>
      <c r="I20" s="51">
        <v>10000</v>
      </c>
      <c r="J20" s="52">
        <v>10000</v>
      </c>
      <c r="K20" s="52">
        <v>10000</v>
      </c>
      <c r="M20" s="52">
        <v>40000</v>
      </c>
      <c r="N20" s="52">
        <v>40000</v>
      </c>
      <c r="O20" s="52">
        <v>40000</v>
      </c>
      <c r="P20" s="53">
        <v>40000</v>
      </c>
      <c r="Q20" s="52"/>
      <c r="R20" s="51">
        <v>10000</v>
      </c>
      <c r="S20" s="52">
        <v>10000</v>
      </c>
      <c r="T20" s="52">
        <v>10000</v>
      </c>
      <c r="U20" s="52">
        <v>40000</v>
      </c>
      <c r="V20" s="52">
        <v>40000</v>
      </c>
      <c r="W20" s="52">
        <v>40000</v>
      </c>
      <c r="X20" s="53">
        <v>40000</v>
      </c>
      <c r="Z20" s="51">
        <v>10000</v>
      </c>
      <c r="AA20" s="52">
        <v>10000</v>
      </c>
      <c r="AB20" s="52">
        <v>10000</v>
      </c>
      <c r="AC20" s="52">
        <v>40000</v>
      </c>
      <c r="AD20" s="52">
        <v>40000</v>
      </c>
      <c r="AE20" s="52">
        <v>40000</v>
      </c>
      <c r="AF20" s="53">
        <v>40000</v>
      </c>
      <c r="AH20" s="51">
        <v>5000</v>
      </c>
      <c r="AI20" s="52">
        <v>5000</v>
      </c>
      <c r="AJ20" s="52">
        <v>5000</v>
      </c>
      <c r="AK20" s="52">
        <v>20000</v>
      </c>
      <c r="AL20" s="52">
        <v>20000</v>
      </c>
      <c r="AM20" s="53">
        <v>20000</v>
      </c>
    </row>
    <row r="21" spans="3:45" s="3" customFormat="1">
      <c r="C21" s="47" t="s">
        <v>20</v>
      </c>
      <c r="D21" s="51">
        <v>15000</v>
      </c>
      <c r="E21" s="52">
        <v>15000</v>
      </c>
      <c r="F21" s="52">
        <v>15000</v>
      </c>
      <c r="G21" s="53">
        <v>15000</v>
      </c>
      <c r="I21" s="51">
        <v>15000</v>
      </c>
      <c r="J21" s="52">
        <v>15000</v>
      </c>
      <c r="K21" s="52">
        <v>15000</v>
      </c>
      <c r="M21" s="52">
        <v>45000</v>
      </c>
      <c r="N21" s="52">
        <v>45000</v>
      </c>
      <c r="O21" s="52">
        <v>45000</v>
      </c>
      <c r="P21" s="53">
        <v>45000</v>
      </c>
      <c r="Q21" s="52"/>
      <c r="R21" s="51">
        <v>15000</v>
      </c>
      <c r="S21" s="52">
        <v>15000</v>
      </c>
      <c r="T21" s="52">
        <v>15000</v>
      </c>
      <c r="U21" s="52">
        <v>45000</v>
      </c>
      <c r="V21" s="52">
        <v>45000</v>
      </c>
      <c r="W21" s="52">
        <v>45000</v>
      </c>
      <c r="X21" s="53">
        <v>45000</v>
      </c>
      <c r="Z21" s="51">
        <v>15000</v>
      </c>
      <c r="AA21" s="52">
        <v>15000</v>
      </c>
      <c r="AB21" s="52">
        <v>15000</v>
      </c>
      <c r="AC21" s="52">
        <v>45000</v>
      </c>
      <c r="AD21" s="52">
        <v>45000</v>
      </c>
      <c r="AE21" s="52">
        <v>45000</v>
      </c>
      <c r="AF21" s="53">
        <v>45000</v>
      </c>
      <c r="AH21" s="51">
        <v>5000</v>
      </c>
      <c r="AI21" s="52">
        <v>5000</v>
      </c>
      <c r="AJ21" s="52">
        <v>5000</v>
      </c>
      <c r="AK21" s="52">
        <v>20000</v>
      </c>
      <c r="AL21" s="52">
        <v>20000</v>
      </c>
      <c r="AM21" s="53">
        <v>20000</v>
      </c>
    </row>
    <row r="22" spans="3:45" s="3" customFormat="1">
      <c r="C22" s="47" t="s">
        <v>21</v>
      </c>
      <c r="D22" s="51">
        <v>15000</v>
      </c>
      <c r="E22" s="52">
        <v>15000</v>
      </c>
      <c r="F22" s="52">
        <v>15000</v>
      </c>
      <c r="G22" s="53">
        <v>15000</v>
      </c>
      <c r="I22" s="51">
        <v>10000</v>
      </c>
      <c r="J22" s="52">
        <v>10000</v>
      </c>
      <c r="K22" s="52">
        <v>10000</v>
      </c>
      <c r="M22" s="52">
        <v>40000</v>
      </c>
      <c r="N22" s="52">
        <v>40000</v>
      </c>
      <c r="O22" s="52">
        <v>40000</v>
      </c>
      <c r="P22" s="53">
        <v>40000</v>
      </c>
      <c r="Q22" s="52"/>
      <c r="R22" s="51">
        <v>10000</v>
      </c>
      <c r="S22" s="52">
        <v>10000</v>
      </c>
      <c r="T22" s="52">
        <v>10000</v>
      </c>
      <c r="U22" s="52">
        <v>40000</v>
      </c>
      <c r="V22" s="52">
        <v>40000</v>
      </c>
      <c r="W22" s="52">
        <v>40000</v>
      </c>
      <c r="X22" s="53">
        <v>40000</v>
      </c>
      <c r="Z22" s="51">
        <v>10000</v>
      </c>
      <c r="AA22" s="52">
        <v>10000</v>
      </c>
      <c r="AB22" s="52">
        <v>10000</v>
      </c>
      <c r="AC22" s="52">
        <v>40000</v>
      </c>
      <c r="AD22" s="52">
        <v>40000</v>
      </c>
      <c r="AE22" s="52">
        <v>40000</v>
      </c>
      <c r="AF22" s="53">
        <v>40000</v>
      </c>
      <c r="AH22" s="51">
        <v>5000</v>
      </c>
      <c r="AI22" s="52">
        <v>5000</v>
      </c>
      <c r="AJ22" s="52">
        <v>5000</v>
      </c>
      <c r="AK22" s="52">
        <v>20000</v>
      </c>
      <c r="AL22" s="52">
        <v>20000</v>
      </c>
      <c r="AM22" s="53">
        <v>20000</v>
      </c>
    </row>
    <row r="23" spans="3:45" s="3" customFormat="1">
      <c r="C23" s="47" t="s">
        <v>22</v>
      </c>
      <c r="D23" s="51">
        <v>20000</v>
      </c>
      <c r="E23" s="52">
        <v>20000</v>
      </c>
      <c r="F23" s="52">
        <v>20000</v>
      </c>
      <c r="G23" s="53">
        <v>20000</v>
      </c>
      <c r="I23" s="51">
        <f>I22</f>
        <v>10000</v>
      </c>
      <c r="J23" s="52">
        <f>J22</f>
        <v>10000</v>
      </c>
      <c r="K23" s="52">
        <f>K22</f>
        <v>10000</v>
      </c>
      <c r="M23" s="52">
        <f>M22</f>
        <v>40000</v>
      </c>
      <c r="N23" s="52">
        <f t="shared" ref="N23:P24" si="0">N22</f>
        <v>40000</v>
      </c>
      <c r="O23" s="52">
        <f t="shared" si="0"/>
        <v>40000</v>
      </c>
      <c r="P23" s="53">
        <f t="shared" si="0"/>
        <v>40000</v>
      </c>
      <c r="Q23" s="52"/>
      <c r="R23" s="51">
        <f>R22</f>
        <v>10000</v>
      </c>
      <c r="S23" s="52">
        <f>S22</f>
        <v>10000</v>
      </c>
      <c r="T23" s="52">
        <f>T22</f>
        <v>10000</v>
      </c>
      <c r="U23" s="52">
        <f t="shared" ref="U23:U24" si="1">U22</f>
        <v>40000</v>
      </c>
      <c r="V23" s="52">
        <f>V22</f>
        <v>40000</v>
      </c>
      <c r="W23" s="52">
        <f t="shared" ref="W23:X24" si="2">W22</f>
        <v>40000</v>
      </c>
      <c r="X23" s="53">
        <f t="shared" si="2"/>
        <v>40000</v>
      </c>
      <c r="Z23" s="51">
        <f>Z22</f>
        <v>10000</v>
      </c>
      <c r="AA23" s="52">
        <f>AA22</f>
        <v>10000</v>
      </c>
      <c r="AB23" s="52">
        <f>AB22</f>
        <v>10000</v>
      </c>
      <c r="AC23" s="52">
        <f t="shared" ref="AC23:AC24" si="3">AC22</f>
        <v>40000</v>
      </c>
      <c r="AD23" s="52">
        <f>AD22</f>
        <v>40000</v>
      </c>
      <c r="AE23" s="52">
        <f t="shared" ref="AE23:AF24" si="4">AE22</f>
        <v>40000</v>
      </c>
      <c r="AF23" s="53">
        <f t="shared" si="4"/>
        <v>40000</v>
      </c>
      <c r="AH23" s="51">
        <v>5000</v>
      </c>
      <c r="AI23" s="52">
        <v>5000</v>
      </c>
      <c r="AJ23" s="52">
        <v>5000</v>
      </c>
      <c r="AK23" s="52">
        <v>20000</v>
      </c>
      <c r="AL23" s="52">
        <v>20000</v>
      </c>
      <c r="AM23" s="53">
        <v>20000</v>
      </c>
    </row>
    <row r="24" spans="3:45" s="3" customFormat="1">
      <c r="C24" s="47" t="s">
        <v>23</v>
      </c>
      <c r="D24" s="51">
        <v>15000</v>
      </c>
      <c r="E24" s="52">
        <v>15000</v>
      </c>
      <c r="F24" s="52">
        <v>15000</v>
      </c>
      <c r="G24" s="53">
        <v>15000</v>
      </c>
      <c r="I24" s="51">
        <v>10000</v>
      </c>
      <c r="J24" s="52">
        <f>I24</f>
        <v>10000</v>
      </c>
      <c r="K24" s="52">
        <f>J24</f>
        <v>10000</v>
      </c>
      <c r="M24" s="52">
        <f>M23</f>
        <v>40000</v>
      </c>
      <c r="N24" s="52">
        <f t="shared" si="0"/>
        <v>40000</v>
      </c>
      <c r="O24" s="52">
        <f t="shared" si="0"/>
        <v>40000</v>
      </c>
      <c r="P24" s="53">
        <f t="shared" si="0"/>
        <v>40000</v>
      </c>
      <c r="Q24" s="52"/>
      <c r="R24" s="51">
        <v>10000</v>
      </c>
      <c r="S24" s="52">
        <f>R24</f>
        <v>10000</v>
      </c>
      <c r="T24" s="52">
        <f>S24</f>
        <v>10000</v>
      </c>
      <c r="U24" s="52">
        <f t="shared" si="1"/>
        <v>40000</v>
      </c>
      <c r="V24" s="52">
        <f>V23</f>
        <v>40000</v>
      </c>
      <c r="W24" s="52">
        <f t="shared" si="2"/>
        <v>40000</v>
      </c>
      <c r="X24" s="53">
        <f t="shared" si="2"/>
        <v>40000</v>
      </c>
      <c r="Z24" s="51">
        <v>10000</v>
      </c>
      <c r="AA24" s="52">
        <f>Z24</f>
        <v>10000</v>
      </c>
      <c r="AB24" s="52">
        <f>AA24</f>
        <v>10000</v>
      </c>
      <c r="AC24" s="52">
        <f t="shared" si="3"/>
        <v>40000</v>
      </c>
      <c r="AD24" s="52">
        <f>AD23</f>
        <v>40000</v>
      </c>
      <c r="AE24" s="52">
        <f t="shared" si="4"/>
        <v>40000</v>
      </c>
      <c r="AF24" s="53">
        <f t="shared" si="4"/>
        <v>40000</v>
      </c>
      <c r="AH24" s="51">
        <v>5000</v>
      </c>
      <c r="AI24" s="52">
        <v>5000</v>
      </c>
      <c r="AJ24" s="52">
        <v>5000</v>
      </c>
      <c r="AK24" s="52">
        <v>20000</v>
      </c>
      <c r="AL24" s="52">
        <v>20000</v>
      </c>
      <c r="AM24" s="53">
        <v>20000</v>
      </c>
    </row>
    <row r="25" spans="3:45" s="3" customFormat="1" ht="21" thickBot="1">
      <c r="C25" s="47" t="s">
        <v>24</v>
      </c>
      <c r="D25" s="51">
        <v>100000</v>
      </c>
      <c r="E25" s="52">
        <v>100000</v>
      </c>
      <c r="F25" s="52">
        <v>100000</v>
      </c>
      <c r="G25" s="53">
        <v>100000</v>
      </c>
      <c r="I25" s="54">
        <v>25000</v>
      </c>
      <c r="J25" s="55">
        <v>25000</v>
      </c>
      <c r="K25" s="55">
        <v>25000</v>
      </c>
      <c r="L25" s="56"/>
      <c r="M25" s="55">
        <v>75000</v>
      </c>
      <c r="N25" s="55">
        <v>75000</v>
      </c>
      <c r="O25" s="55">
        <v>75000</v>
      </c>
      <c r="P25" s="57">
        <v>75000</v>
      </c>
      <c r="Q25" s="52"/>
      <c r="R25" s="54">
        <v>25000</v>
      </c>
      <c r="S25" s="55">
        <v>25000</v>
      </c>
      <c r="T25" s="55">
        <v>25000</v>
      </c>
      <c r="U25" s="55">
        <v>75000</v>
      </c>
      <c r="V25" s="55">
        <v>75000</v>
      </c>
      <c r="W25" s="55">
        <v>75000</v>
      </c>
      <c r="X25" s="57">
        <v>75000</v>
      </c>
      <c r="Z25" s="54">
        <v>25000</v>
      </c>
      <c r="AA25" s="55">
        <v>25000</v>
      </c>
      <c r="AB25" s="55">
        <v>25000</v>
      </c>
      <c r="AC25" s="55">
        <v>75000</v>
      </c>
      <c r="AD25" s="55">
        <v>75000</v>
      </c>
      <c r="AE25" s="55">
        <v>75000</v>
      </c>
      <c r="AF25" s="57">
        <v>75000</v>
      </c>
      <c r="AH25" s="51">
        <v>15000</v>
      </c>
      <c r="AI25" s="52">
        <v>15000</v>
      </c>
      <c r="AJ25" s="52">
        <v>15000</v>
      </c>
      <c r="AK25" s="52">
        <v>50000</v>
      </c>
      <c r="AL25" s="52">
        <v>50000</v>
      </c>
      <c r="AM25" s="53">
        <v>50000</v>
      </c>
    </row>
    <row r="26" spans="3:45" s="3" customFormat="1">
      <c r="C26" s="58" t="s">
        <v>25</v>
      </c>
      <c r="D26" s="59">
        <f>SUM(D19:D25)</f>
        <v>240000</v>
      </c>
      <c r="E26" s="60">
        <f>SUM(E19:E25)</f>
        <v>240000</v>
      </c>
      <c r="F26" s="60">
        <f>SUM(F19:F25)</f>
        <v>240000</v>
      </c>
      <c r="G26" s="61">
        <f>SUM(G19:G25)</f>
        <v>240000</v>
      </c>
      <c r="I26" s="59">
        <v>95000</v>
      </c>
      <c r="J26" s="60">
        <f>SUM(J19:J25)</f>
        <v>95000</v>
      </c>
      <c r="K26" s="60">
        <f>SUM(K19:K25)</f>
        <v>95000</v>
      </c>
      <c r="L26" s="62"/>
      <c r="M26" s="60">
        <f>SUM(M19:M25)</f>
        <v>325000</v>
      </c>
      <c r="N26" s="60">
        <f>SUM(N19:N25)</f>
        <v>325000</v>
      </c>
      <c r="O26" s="60">
        <f>SUM(O19:O25)</f>
        <v>325000</v>
      </c>
      <c r="P26" s="61">
        <f>SUM(P19:P25)</f>
        <v>325000</v>
      </c>
      <c r="Q26" s="52"/>
      <c r="R26" s="63">
        <f>SUM(R19:R25)</f>
        <v>95000</v>
      </c>
      <c r="S26" s="64">
        <f>SUM(S19:S25)</f>
        <v>95000</v>
      </c>
      <c r="T26" s="64">
        <f>SUM(T19:T25)</f>
        <v>95000</v>
      </c>
      <c r="U26" s="64">
        <v>325000</v>
      </c>
      <c r="V26" s="64">
        <f>SUM(V19:V25)</f>
        <v>325000</v>
      </c>
      <c r="W26" s="64">
        <f>SUM(W19:W25)</f>
        <v>325000</v>
      </c>
      <c r="X26" s="65">
        <f>SUM(X19:X25)</f>
        <v>325000</v>
      </c>
      <c r="Y26" s="52"/>
      <c r="Z26" s="63">
        <f>SUM(Z19:Z25)</f>
        <v>95000</v>
      </c>
      <c r="AA26" s="64">
        <f>SUM(AA19:AA25)</f>
        <v>95000</v>
      </c>
      <c r="AB26" s="64">
        <f>SUM(AB19:AB25)</f>
        <v>95000</v>
      </c>
      <c r="AC26" s="64">
        <v>325000</v>
      </c>
      <c r="AD26" s="64">
        <f>SUM(AD19:AD25)</f>
        <v>325000</v>
      </c>
      <c r="AE26" s="64">
        <f>SUM(AE19:AE25)</f>
        <v>325000</v>
      </c>
      <c r="AF26" s="65">
        <f>SUM(AF19:AF25)</f>
        <v>325000</v>
      </c>
      <c r="AH26" s="59">
        <f t="shared" ref="AH26:AM26" si="5">SUM(AH19:AH25)</f>
        <v>50000</v>
      </c>
      <c r="AI26" s="60">
        <f t="shared" si="5"/>
        <v>50000</v>
      </c>
      <c r="AJ26" s="60">
        <f t="shared" si="5"/>
        <v>50000</v>
      </c>
      <c r="AK26" s="60">
        <f t="shared" si="5"/>
        <v>190000</v>
      </c>
      <c r="AL26" s="60">
        <f t="shared" si="5"/>
        <v>190000</v>
      </c>
      <c r="AM26" s="61">
        <f t="shared" si="5"/>
        <v>190000</v>
      </c>
    </row>
    <row r="27" spans="3:45" s="3" customFormat="1">
      <c r="C27" s="66" t="s">
        <v>26</v>
      </c>
      <c r="D27" s="67">
        <v>4700</v>
      </c>
      <c r="E27" s="68">
        <v>4700</v>
      </c>
      <c r="F27" s="68">
        <v>4700</v>
      </c>
      <c r="G27" s="69">
        <v>4700</v>
      </c>
      <c r="I27" s="67">
        <v>1880</v>
      </c>
      <c r="J27" s="68">
        <v>1880</v>
      </c>
      <c r="K27" s="68">
        <v>1880</v>
      </c>
      <c r="M27" s="68">
        <v>3290</v>
      </c>
      <c r="N27" s="68">
        <v>3290</v>
      </c>
      <c r="O27" s="68">
        <v>3290</v>
      </c>
      <c r="P27" s="69">
        <v>3290</v>
      </c>
      <c r="Q27" s="70"/>
      <c r="R27" s="67">
        <v>1880</v>
      </c>
      <c r="S27" s="68">
        <v>1880</v>
      </c>
      <c r="T27" s="68">
        <v>1880</v>
      </c>
      <c r="U27" s="68">
        <v>3290</v>
      </c>
      <c r="V27" s="68">
        <v>3290</v>
      </c>
      <c r="W27" s="68">
        <v>3290</v>
      </c>
      <c r="X27" s="69">
        <v>3290</v>
      </c>
      <c r="Y27" s="70"/>
      <c r="Z27" s="67">
        <v>1880</v>
      </c>
      <c r="AA27" s="68">
        <v>1880</v>
      </c>
      <c r="AB27" s="68">
        <v>1880</v>
      </c>
      <c r="AC27" s="68">
        <v>3290</v>
      </c>
      <c r="AD27" s="68">
        <v>3290</v>
      </c>
      <c r="AE27" s="68">
        <v>3290</v>
      </c>
      <c r="AF27" s="69">
        <v>3290</v>
      </c>
      <c r="AH27" s="67">
        <v>4900</v>
      </c>
      <c r="AI27" s="68">
        <v>4900</v>
      </c>
      <c r="AJ27" s="68">
        <v>4900</v>
      </c>
      <c r="AK27" s="68">
        <v>1333</v>
      </c>
      <c r="AL27" s="68">
        <v>1333</v>
      </c>
      <c r="AM27" s="69">
        <v>1333</v>
      </c>
    </row>
    <row r="28" spans="3:45" s="3" customFormat="1" ht="21" thickBot="1">
      <c r="C28" s="71" t="s">
        <v>27</v>
      </c>
      <c r="D28" s="72">
        <f>D27/D26*1000</f>
        <v>19.583333333333336</v>
      </c>
      <c r="E28" s="73">
        <f t="shared" ref="E28:G28" si="6">E27/E26*1000</f>
        <v>19.583333333333336</v>
      </c>
      <c r="F28" s="73">
        <f t="shared" si="6"/>
        <v>19.583333333333336</v>
      </c>
      <c r="G28" s="74">
        <f t="shared" si="6"/>
        <v>19.583333333333336</v>
      </c>
      <c r="I28" s="72">
        <f>I27/I26*1000</f>
        <v>19.789473684210527</v>
      </c>
      <c r="J28" s="73">
        <f t="shared" ref="J28:P28" si="7">J27/J26*1000</f>
        <v>19.789473684210527</v>
      </c>
      <c r="K28" s="73">
        <f t="shared" si="7"/>
        <v>19.789473684210527</v>
      </c>
      <c r="L28" s="73" t="e">
        <f t="shared" si="7"/>
        <v>#DIV/0!</v>
      </c>
      <c r="M28" s="73">
        <f t="shared" si="7"/>
        <v>10.123076923076924</v>
      </c>
      <c r="N28" s="73">
        <f t="shared" si="7"/>
        <v>10.123076923076924</v>
      </c>
      <c r="O28" s="73">
        <f t="shared" si="7"/>
        <v>10.123076923076924</v>
      </c>
      <c r="P28" s="74">
        <f t="shared" si="7"/>
        <v>10.123076923076924</v>
      </c>
      <c r="Q28" s="75"/>
      <c r="R28" s="72">
        <f>R27/R26*1000</f>
        <v>19.789473684210527</v>
      </c>
      <c r="S28" s="73">
        <f t="shared" ref="S28:X28" si="8">S27/S26*1000</f>
        <v>19.789473684210527</v>
      </c>
      <c r="T28" s="73">
        <f t="shared" si="8"/>
        <v>19.789473684210527</v>
      </c>
      <c r="U28" s="73">
        <f t="shared" si="8"/>
        <v>10.123076923076924</v>
      </c>
      <c r="V28" s="73">
        <f t="shared" si="8"/>
        <v>10.123076923076924</v>
      </c>
      <c r="W28" s="73">
        <f t="shared" si="8"/>
        <v>10.123076923076924</v>
      </c>
      <c r="X28" s="74">
        <f t="shared" si="8"/>
        <v>10.123076923076924</v>
      </c>
      <c r="Y28" s="75"/>
      <c r="Z28" s="72">
        <f>Z27/Z26*1000</f>
        <v>19.789473684210527</v>
      </c>
      <c r="AA28" s="73">
        <f t="shared" ref="AA28:AF28" si="9">AA27/AA26*1000</f>
        <v>19.789473684210527</v>
      </c>
      <c r="AB28" s="73">
        <f t="shared" si="9"/>
        <v>19.789473684210527</v>
      </c>
      <c r="AC28" s="73">
        <f t="shared" si="9"/>
        <v>10.123076923076924</v>
      </c>
      <c r="AD28" s="73">
        <f t="shared" si="9"/>
        <v>10.123076923076924</v>
      </c>
      <c r="AE28" s="73">
        <f t="shared" si="9"/>
        <v>10.123076923076924</v>
      </c>
      <c r="AF28" s="74">
        <f t="shared" si="9"/>
        <v>10.123076923076924</v>
      </c>
      <c r="AH28" s="72">
        <f>AF28</f>
        <v>10.123076923076924</v>
      </c>
      <c r="AI28" s="73">
        <f>AH28</f>
        <v>10.123076923076924</v>
      </c>
      <c r="AJ28" s="73">
        <f>AI28</f>
        <v>10.123076923076924</v>
      </c>
      <c r="AK28" s="73">
        <v>25.31</v>
      </c>
      <c r="AL28" s="73">
        <v>25.31</v>
      </c>
      <c r="AM28" s="74">
        <v>25.31</v>
      </c>
    </row>
    <row r="29" spans="3:45" s="3" customFormat="1">
      <c r="C29" s="76" t="s">
        <v>2</v>
      </c>
      <c r="E29" s="76">
        <f>D26+E26+F26+G26</f>
        <v>960000</v>
      </c>
      <c r="F29" s="52" t="s">
        <v>2</v>
      </c>
      <c r="G29" s="52"/>
      <c r="K29" s="52">
        <f>I26+J26+K26+M26+N26+O26+P26</f>
        <v>1585000</v>
      </c>
      <c r="O29" s="52" t="s">
        <v>2</v>
      </c>
      <c r="T29" s="52">
        <f>R26+S26+T26+U26+V26+W26+X26</f>
        <v>1585000</v>
      </c>
      <c r="AC29" s="76">
        <f>Z26+AA26+AB26+AC26+AD26+AE26+AF26</f>
        <v>1585000</v>
      </c>
      <c r="AI29" s="76">
        <v>720000</v>
      </c>
      <c r="AJ29" s="76"/>
    </row>
    <row r="30" spans="3:45" s="1" customFormat="1"/>
    <row r="31" spans="3:45" s="1" customFormat="1" ht="21" thickBot="1">
      <c r="X31" s="1" t="s">
        <v>2</v>
      </c>
    </row>
    <row r="32" spans="3:45">
      <c r="E32" s="78" t="s">
        <v>3</v>
      </c>
      <c r="F32" s="79">
        <f>E29</f>
        <v>960000</v>
      </c>
      <c r="J32" s="78" t="s">
        <v>3</v>
      </c>
      <c r="K32" s="79">
        <f>K29</f>
        <v>1585000</v>
      </c>
      <c r="N32" s="1"/>
      <c r="O32" s="1"/>
      <c r="P32" s="1"/>
      <c r="Q32" s="1"/>
      <c r="R32" s="16"/>
      <c r="S32" s="78" t="s">
        <v>3</v>
      </c>
      <c r="T32" s="79">
        <f>T29</f>
        <v>1585000</v>
      </c>
      <c r="U32" s="16"/>
      <c r="V32" s="16"/>
      <c r="W32" s="16"/>
      <c r="AA32" s="78" t="s">
        <v>3</v>
      </c>
      <c r="AB32" s="79">
        <f>AC29</f>
        <v>1585000</v>
      </c>
      <c r="AG32" s="1"/>
      <c r="AH32" s="1"/>
      <c r="AI32" s="78" t="s">
        <v>3</v>
      </c>
      <c r="AJ32" s="79">
        <f>AI29</f>
        <v>720000</v>
      </c>
      <c r="AK32" s="1"/>
      <c r="AL32" s="1"/>
      <c r="AM32" s="1"/>
      <c r="AN32" s="1"/>
      <c r="AO32" s="1"/>
      <c r="AP32" s="1"/>
      <c r="AQ32" s="1"/>
      <c r="AR32" s="1"/>
      <c r="AS32" s="1"/>
    </row>
    <row r="33" spans="2:45">
      <c r="B33" s="1"/>
      <c r="C33" s="1"/>
      <c r="D33" s="1" t="s">
        <v>28</v>
      </c>
      <c r="E33" s="80" t="s">
        <v>5</v>
      </c>
      <c r="F33" s="81">
        <v>18800</v>
      </c>
      <c r="G33" s="1"/>
      <c r="H33" s="1"/>
      <c r="I33" s="82" t="s">
        <v>29</v>
      </c>
      <c r="J33" s="80" t="s">
        <v>5</v>
      </c>
      <c r="K33" s="81">
        <v>18800</v>
      </c>
      <c r="L33" s="1"/>
      <c r="M33" s="1"/>
      <c r="N33" s="1"/>
      <c r="O33" s="1"/>
      <c r="P33" s="1"/>
      <c r="Q33" s="1"/>
      <c r="R33" s="82" t="s">
        <v>30</v>
      </c>
      <c r="S33" s="80" t="s">
        <v>5</v>
      </c>
      <c r="T33" s="81">
        <v>18800</v>
      </c>
      <c r="U33" s="16"/>
      <c r="V33" s="16"/>
      <c r="W33" s="16"/>
      <c r="Z33" s="1" t="s">
        <v>31</v>
      </c>
      <c r="AA33" s="80" t="s">
        <v>5</v>
      </c>
      <c r="AB33" s="81">
        <v>18800</v>
      </c>
      <c r="AG33" s="1"/>
      <c r="AH33" s="1" t="s">
        <v>32</v>
      </c>
      <c r="AI33" s="80" t="s">
        <v>5</v>
      </c>
      <c r="AJ33" s="81">
        <v>18800</v>
      </c>
      <c r="AK33" s="1"/>
      <c r="AL33" s="1"/>
      <c r="AM33" s="1"/>
      <c r="AN33" s="1"/>
      <c r="AO33" s="1"/>
      <c r="AP33" s="1"/>
      <c r="AQ33" s="1"/>
      <c r="AR33" s="1"/>
      <c r="AS33" s="1"/>
    </row>
    <row r="34" spans="2:45" ht="21" thickBot="1">
      <c r="B34" s="1"/>
      <c r="C34" s="1"/>
      <c r="D34" s="1"/>
      <c r="E34" s="83" t="s">
        <v>7</v>
      </c>
      <c r="F34" s="84">
        <f>F33/F32*1000</f>
        <v>19.583333333333336</v>
      </c>
      <c r="G34" s="1"/>
      <c r="H34" s="1"/>
      <c r="I34" s="1"/>
      <c r="J34" s="83" t="s">
        <v>7</v>
      </c>
      <c r="K34" s="84">
        <f>K33/K32*1000</f>
        <v>11.861198738170348</v>
      </c>
      <c r="L34" s="1"/>
      <c r="M34" s="1"/>
      <c r="N34" s="1"/>
      <c r="O34" s="1"/>
      <c r="P34" s="1"/>
      <c r="Q34" s="1"/>
      <c r="R34" s="16"/>
      <c r="S34" s="83" t="s">
        <v>7</v>
      </c>
      <c r="T34" s="84">
        <f>T33/T32*1000</f>
        <v>11.861198738170348</v>
      </c>
      <c r="U34" s="16"/>
      <c r="V34" s="16"/>
      <c r="W34" s="16"/>
      <c r="AA34" s="83" t="s">
        <v>7</v>
      </c>
      <c r="AB34" s="84">
        <f>AB33/AB32*1000</f>
        <v>11.861198738170348</v>
      </c>
      <c r="AG34" s="1"/>
      <c r="AH34" s="1"/>
      <c r="AI34" s="83" t="s">
        <v>7</v>
      </c>
      <c r="AJ34" s="84">
        <f>AJ33/AJ32*1000</f>
        <v>26.111111111111114</v>
      </c>
      <c r="AK34" s="1"/>
      <c r="AL34" s="1"/>
      <c r="AM34" s="1"/>
      <c r="AN34" s="1"/>
      <c r="AO34" s="1"/>
      <c r="AP34" s="1"/>
      <c r="AQ34" s="1"/>
      <c r="AR34" s="1"/>
      <c r="AS34" s="1"/>
    </row>
    <row r="35" spans="2:45" s="1" customFormat="1">
      <c r="R35" s="16"/>
      <c r="S35" s="16"/>
      <c r="T35" s="16"/>
      <c r="U35" s="16"/>
      <c r="V35" s="16"/>
      <c r="W35" s="16"/>
    </row>
    <row r="36" spans="2:45">
      <c r="B36" s="1"/>
      <c r="C36" s="1"/>
      <c r="D36" s="1"/>
      <c r="E36" s="1"/>
      <c r="F36" s="1"/>
      <c r="G36" s="1"/>
      <c r="H36" s="1"/>
      <c r="I36" s="16"/>
      <c r="J36" s="16"/>
      <c r="K36" s="16"/>
      <c r="L36" s="1"/>
      <c r="M36" s="30" t="s">
        <v>2</v>
      </c>
      <c r="N36" s="1"/>
      <c r="O36" s="1"/>
      <c r="P36" s="1"/>
      <c r="Q36" s="1"/>
      <c r="R36" s="16"/>
      <c r="S36" s="16"/>
      <c r="T36" s="16"/>
      <c r="U36" s="16"/>
      <c r="V36" s="16"/>
      <c r="W36" s="16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2:45">
      <c r="B37" s="1"/>
      <c r="C37" s="1"/>
      <c r="D37" s="1"/>
      <c r="E37" s="1"/>
      <c r="F37" s="1"/>
      <c r="G37" s="1"/>
      <c r="H37" s="1"/>
      <c r="I37" s="16"/>
      <c r="J37" s="16"/>
      <c r="K37" s="16"/>
      <c r="L37" s="1"/>
      <c r="M37" s="1"/>
      <c r="N37" s="1"/>
      <c r="O37" s="1"/>
      <c r="P37" s="1"/>
      <c r="Q37" s="1"/>
      <c r="R37" s="16"/>
      <c r="S37" s="16"/>
      <c r="T37" s="16"/>
      <c r="U37" s="16"/>
      <c r="V37" s="16"/>
      <c r="W37" s="16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2:45" s="1" customFormat="1">
      <c r="I38" s="16"/>
      <c r="J38" s="16"/>
      <c r="K38" s="16"/>
      <c r="R38" s="16"/>
      <c r="S38" s="16"/>
      <c r="T38" s="16"/>
      <c r="U38" s="16"/>
      <c r="V38" s="16"/>
      <c r="W38" s="16"/>
    </row>
    <row r="39" spans="2:45" s="1" customFormat="1"/>
    <row r="40" spans="2:45" s="1" customFormat="1"/>
    <row r="41" spans="2:45" s="1" customFormat="1"/>
    <row r="42" spans="2:45" s="1" customFormat="1"/>
    <row r="43" spans="2:45" s="1" customFormat="1"/>
    <row r="44" spans="2:45" s="1" customFormat="1"/>
    <row r="45" spans="2:45" s="1" customFormat="1"/>
    <row r="46" spans="2:45" s="1" customFormat="1"/>
    <row r="47" spans="2:45" s="1" customFormat="1"/>
    <row r="48" spans="2:45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Jan_Schdule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brian.maddox11@gmail.com</dc:creator>
  <cp:lastModifiedBy>tim.anderson@commissionkings.ag</cp:lastModifiedBy>
  <dcterms:created xsi:type="dcterms:W3CDTF">2026-03-31T11:02:41Z</dcterms:created>
  <dcterms:modified xsi:type="dcterms:W3CDTF">2026-03-31T16:16:07Z</dcterms:modified>
</cp:coreProperties>
</file>