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maddox/Library/Containers/com.microsoft.Outlook/Data/tmp/Outlook Temp/"/>
    </mc:Choice>
  </mc:AlternateContent>
  <xr:revisionPtr revIDLastSave="0" documentId="8_{0BBBBF57-4A85-FD41-8E37-3F6017DD8286}" xr6:coauthVersionLast="47" xr6:coauthVersionMax="47" xr10:uidLastSave="{00000000-0000-0000-0000-000000000000}"/>
  <bookViews>
    <workbookView xWindow="0" yWindow="740" windowWidth="34560" windowHeight="21600" xr2:uid="{6029B9D1-11B0-CE4E-9367-67A0DE5DC492}"/>
  </bookViews>
  <sheets>
    <sheet name="Dec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" i="1" l="1"/>
  <c r="R28" i="1"/>
  <c r="Q28" i="1"/>
  <c r="O28" i="1"/>
  <c r="N28" i="1"/>
  <c r="J28" i="1"/>
  <c r="I28" i="1"/>
  <c r="H28" i="1"/>
  <c r="F28" i="1"/>
  <c r="E28" i="1"/>
  <c r="I13" i="1"/>
  <c r="W35" i="1"/>
  <c r="W33" i="1"/>
  <c r="S35" i="1"/>
  <c r="S33" i="1"/>
  <c r="J35" i="1"/>
  <c r="J33" i="1"/>
  <c r="D5" i="1"/>
  <c r="W27" i="1"/>
  <c r="V27" i="1"/>
  <c r="U27" i="1"/>
  <c r="S30" i="1"/>
  <c r="S27" i="1"/>
  <c r="R27" i="1"/>
  <c r="Q27" i="1"/>
  <c r="P27" i="1"/>
  <c r="O27" i="1"/>
  <c r="N27" i="1"/>
  <c r="M27" i="1"/>
  <c r="J27" i="1"/>
  <c r="I27" i="1"/>
  <c r="H27" i="1"/>
  <c r="G27" i="1"/>
  <c r="F27" i="1"/>
  <c r="E27" i="1"/>
  <c r="D27" i="1"/>
  <c r="W30" i="1" l="1"/>
  <c r="J30" i="1"/>
  <c r="P29" i="1" l="1"/>
  <c r="Q29" i="1" s="1"/>
  <c r="R29" i="1" s="1"/>
  <c r="S29" i="1" s="1"/>
  <c r="D12" i="1" l="1"/>
  <c r="I14" i="1" s="1"/>
  <c r="I15" i="1" s="1"/>
  <c r="E11" i="1"/>
  <c r="D7" i="1"/>
  <c r="I5" i="1" s="1"/>
  <c r="I10" i="1" l="1"/>
  <c r="I9" i="1"/>
  <c r="E12" i="1"/>
  <c r="I11" i="1" l="1"/>
</calcChain>
</file>

<file path=xl/sharedStrings.xml><?xml version="1.0" encoding="utf-8"?>
<sst xmlns="http://schemas.openxmlformats.org/spreadsheetml/2006/main" count="63" uniqueCount="32">
  <si>
    <t>TTL IMPS</t>
  </si>
  <si>
    <t>TTL Cost</t>
  </si>
  <si>
    <t>eCPM</t>
  </si>
  <si>
    <t>Impressions</t>
  </si>
  <si>
    <t>USA Today</t>
  </si>
  <si>
    <t>SEC</t>
  </si>
  <si>
    <t>Live Games</t>
  </si>
  <si>
    <t>Daily Impressions</t>
  </si>
  <si>
    <t>Daily Spend</t>
  </si>
  <si>
    <t>CPM</t>
  </si>
  <si>
    <t>W/O 12/15</t>
  </si>
  <si>
    <t>W/O 12/22</t>
  </si>
  <si>
    <t>W/O 12/29</t>
  </si>
  <si>
    <t xml:space="preserve">Betonline Delviery </t>
  </si>
  <si>
    <t xml:space="preserve"> </t>
  </si>
  <si>
    <t>Live Game Imps</t>
  </si>
  <si>
    <t>Sports Prog</t>
  </si>
  <si>
    <t xml:space="preserve">BOL Live Game &amp; Sports Prog CPM Rate </t>
  </si>
  <si>
    <t>DraftKings &amp; Fanduel Live Game CPM rate</t>
  </si>
  <si>
    <t>DraftKings &amp; Fanduel Spts Prog CPM rate</t>
  </si>
  <si>
    <t>BOL Live Game Inventory  Cost</t>
  </si>
  <si>
    <t>BOL Sports Programming Cost</t>
  </si>
  <si>
    <t xml:space="preserve">US based on-line sportsbooks live game cost </t>
  </si>
  <si>
    <t xml:space="preserve">US based on-line sportsbooks sport prog cost </t>
  </si>
  <si>
    <t xml:space="preserve">ESPN </t>
  </si>
  <si>
    <t xml:space="preserve">Fox Sports </t>
  </si>
  <si>
    <t xml:space="preserve">CBS Sports </t>
  </si>
  <si>
    <t xml:space="preserve">Big 10 Network </t>
  </si>
  <si>
    <t xml:space="preserve">ACC Network </t>
  </si>
  <si>
    <t xml:space="preserve">Dec '25 Imp Placement Breakout </t>
  </si>
  <si>
    <t>Industry Info on Inventory Placement &amp; costs/savings</t>
  </si>
  <si>
    <t xml:space="preserve">     Dec '25 Monthly Totals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</si>
</sst>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000000"/>
      <name val="Bangla Sangam MN"/>
      <family val="2"/>
    </font>
    <font>
      <b/>
      <sz val="16"/>
      <color theme="1"/>
      <name val="Bangla Sangam MN"/>
      <family val="2"/>
    </font>
    <font>
      <b/>
      <sz val="14"/>
      <color theme="1"/>
      <name val="Bangla Sangam MN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AD0"/>
        <bgColor indexed="64"/>
      </patternFill>
    </fill>
    <fill>
      <patternFill patternType="solid">
        <fgColor rgb="FF00D6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2" fillId="2" borderId="11" xfId="0" applyFont="1" applyFill="1" applyBorder="1" applyAlignment="1">
      <alignment horizontal="center"/>
    </xf>
    <xf numFmtId="6" fontId="2" fillId="2" borderId="6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8" fontId="2" fillId="2" borderId="8" xfId="0" applyNumberFormat="1" applyFont="1" applyFill="1" applyBorder="1" applyAlignment="1">
      <alignment horizontal="center"/>
    </xf>
    <xf numFmtId="8" fontId="2" fillId="2" borderId="9" xfId="0" applyNumberFormat="1" applyFont="1" applyFill="1" applyBorder="1" applyAlignment="1">
      <alignment horizontal="center"/>
    </xf>
    <xf numFmtId="6" fontId="2" fillId="2" borderId="5" xfId="0" applyNumberFormat="1" applyFont="1" applyFill="1" applyBorder="1" applyAlignment="1">
      <alignment horizontal="center"/>
    </xf>
    <xf numFmtId="8" fontId="2" fillId="2" borderId="7" xfId="0" applyNumberFormat="1" applyFont="1" applyFill="1" applyBorder="1" applyAlignment="1">
      <alignment horizontal="center"/>
    </xf>
    <xf numFmtId="6" fontId="2" fillId="2" borderId="2" xfId="0" applyNumberFormat="1" applyFont="1" applyFill="1" applyBorder="1" applyAlignment="1">
      <alignment horizontal="center"/>
    </xf>
    <xf numFmtId="6" fontId="2" fillId="2" borderId="3" xfId="0" applyNumberFormat="1" applyFont="1" applyFill="1" applyBorder="1" applyAlignment="1">
      <alignment horizontal="center"/>
    </xf>
    <xf numFmtId="6" fontId="2" fillId="2" borderId="4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" fontId="3" fillId="4" borderId="1" xfId="0" applyNumberFormat="1" applyFont="1" applyFill="1" applyBorder="1" applyAlignment="1">
      <alignment horizontal="center"/>
    </xf>
    <xf numFmtId="14" fontId="2" fillId="4" borderId="15" xfId="0" applyNumberFormat="1" applyFont="1" applyFill="1" applyBorder="1" applyAlignment="1">
      <alignment horizontal="center"/>
    </xf>
    <xf numFmtId="14" fontId="2" fillId="4" borderId="13" xfId="0" applyNumberFormat="1" applyFont="1" applyFill="1" applyBorder="1" applyAlignment="1">
      <alignment horizontal="center"/>
    </xf>
    <xf numFmtId="14" fontId="2" fillId="4" borderId="14" xfId="0" applyNumberFormat="1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3" fontId="2" fillId="4" borderId="6" xfId="0" applyNumberFormat="1" applyFont="1" applyFill="1" applyBorder="1" applyAlignment="1">
      <alignment horizontal="center"/>
    </xf>
    <xf numFmtId="3" fontId="2" fillId="4" borderId="5" xfId="0" applyNumberFormat="1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3" borderId="2" xfId="0" applyFont="1" applyFill="1" applyBorder="1"/>
    <xf numFmtId="3" fontId="2" fillId="3" borderId="4" xfId="0" applyNumberFormat="1" applyFont="1" applyFill="1" applyBorder="1"/>
    <xf numFmtId="0" fontId="2" fillId="3" borderId="5" xfId="0" applyFont="1" applyFill="1" applyBorder="1"/>
    <xf numFmtId="6" fontId="2" fillId="3" borderId="6" xfId="0" applyNumberFormat="1" applyFont="1" applyFill="1" applyBorder="1"/>
    <xf numFmtId="0" fontId="2" fillId="3" borderId="7" xfId="0" applyFont="1" applyFill="1" applyBorder="1"/>
    <xf numFmtId="8" fontId="2" fillId="3" borderId="9" xfId="0" applyNumberFormat="1" applyFont="1" applyFill="1" applyBorder="1"/>
    <xf numFmtId="3" fontId="3" fillId="4" borderId="0" xfId="0" applyNumberFormat="1" applyFont="1" applyFill="1"/>
    <xf numFmtId="164" fontId="3" fillId="4" borderId="0" xfId="1" applyNumberFormat="1" applyFont="1" applyFill="1"/>
    <xf numFmtId="3" fontId="2" fillId="4" borderId="0" xfId="0" applyNumberFormat="1" applyFont="1" applyFill="1"/>
    <xf numFmtId="6" fontId="2" fillId="4" borderId="0" xfId="0" applyNumberFormat="1" applyFont="1" applyFill="1"/>
    <xf numFmtId="0" fontId="2" fillId="4" borderId="0" xfId="0" applyFont="1" applyFill="1"/>
    <xf numFmtId="9" fontId="3" fillId="4" borderId="0" xfId="2" applyFont="1" applyFill="1" applyBorder="1"/>
    <xf numFmtId="44" fontId="3" fillId="4" borderId="0" xfId="0" applyNumberFormat="1" applyFont="1" applyFill="1"/>
    <xf numFmtId="0" fontId="2" fillId="2" borderId="2" xfId="0" applyFont="1" applyFill="1" applyBorder="1"/>
    <xf numFmtId="3" fontId="2" fillId="2" borderId="10" xfId="0" applyNumberFormat="1" applyFont="1" applyFill="1" applyBorder="1"/>
    <xf numFmtId="0" fontId="2" fillId="2" borderId="5" xfId="0" applyFont="1" applyFill="1" applyBorder="1"/>
    <xf numFmtId="6" fontId="2" fillId="2" borderId="11" xfId="0" applyNumberFormat="1" applyFont="1" applyFill="1" applyBorder="1"/>
    <xf numFmtId="0" fontId="2" fillId="2" borderId="7" xfId="0" applyFont="1" applyFill="1" applyBorder="1"/>
    <xf numFmtId="44" fontId="2" fillId="2" borderId="12" xfId="1" applyFont="1" applyFill="1" applyBorder="1"/>
    <xf numFmtId="0" fontId="4" fillId="4" borderId="0" xfId="0" applyFont="1" applyFill="1"/>
    <xf numFmtId="0" fontId="4" fillId="5" borderId="2" xfId="0" applyFont="1" applyFill="1" applyBorder="1"/>
    <xf numFmtId="0" fontId="4" fillId="5" borderId="3" xfId="0" applyFont="1" applyFill="1" applyBorder="1"/>
    <xf numFmtId="44" fontId="4" fillId="5" borderId="4" xfId="0" applyNumberFormat="1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44" fontId="4" fillId="5" borderId="9" xfId="0" applyNumberFormat="1" applyFont="1" applyFill="1" applyBorder="1"/>
    <xf numFmtId="44" fontId="4" fillId="5" borderId="1" xfId="0" applyNumberFormat="1" applyFont="1" applyFill="1" applyBorder="1"/>
    <xf numFmtId="0" fontId="3" fillId="6" borderId="2" xfId="0" applyFont="1" applyFill="1" applyBorder="1"/>
    <xf numFmtId="3" fontId="3" fillId="6" borderId="3" xfId="0" applyNumberFormat="1" applyFont="1" applyFill="1" applyBorder="1"/>
    <xf numFmtId="9" fontId="3" fillId="6" borderId="4" xfId="2" applyFont="1" applyFill="1" applyBorder="1"/>
    <xf numFmtId="0" fontId="3" fillId="6" borderId="7" xfId="0" applyFont="1" applyFill="1" applyBorder="1"/>
    <xf numFmtId="3" fontId="3" fillId="6" borderId="8" xfId="0" applyNumberFormat="1" applyFont="1" applyFill="1" applyBorder="1"/>
    <xf numFmtId="9" fontId="3" fillId="6" borderId="9" xfId="2" applyFont="1" applyFill="1" applyBorder="1"/>
    <xf numFmtId="44" fontId="4" fillId="5" borderId="9" xfId="1" applyFont="1" applyFill="1" applyBorder="1"/>
    <xf numFmtId="0" fontId="3" fillId="4" borderId="0" xfId="0" applyFont="1" applyFill="1" applyAlignment="1">
      <alignment horizontal="right"/>
    </xf>
    <xf numFmtId="16" fontId="2" fillId="4" borderId="0" xfId="0" applyNumberFormat="1" applyFont="1" applyFill="1" applyAlignment="1">
      <alignment horizontal="center"/>
    </xf>
    <xf numFmtId="3" fontId="2" fillId="4" borderId="0" xfId="0" applyNumberFormat="1" applyFont="1" applyFill="1" applyBorder="1" applyAlignment="1">
      <alignment horizontal="center"/>
    </xf>
    <xf numFmtId="6" fontId="2" fillId="2" borderId="0" xfId="0" applyNumberFormat="1" applyFont="1" applyFill="1" applyBorder="1" applyAlignment="1">
      <alignment horizontal="center"/>
    </xf>
    <xf numFmtId="3" fontId="3" fillId="4" borderId="0" xfId="0" applyNumberFormat="1" applyFont="1" applyFill="1" applyAlignment="1">
      <alignment horizontal="center"/>
    </xf>
    <xf numFmtId="3" fontId="3" fillId="2" borderId="3" xfId="0" applyNumberFormat="1" applyFont="1" applyFill="1" applyBorder="1" applyAlignment="1">
      <alignment horizontal="center"/>
    </xf>
    <xf numFmtId="3" fontId="3" fillId="2" borderId="4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3" fillId="2" borderId="13" xfId="0" applyNumberFormat="1" applyFont="1" applyFill="1" applyBorder="1" applyAlignment="1">
      <alignment horizontal="center"/>
    </xf>
    <xf numFmtId="3" fontId="3" fillId="2" borderId="14" xfId="0" applyNumberFormat="1" applyFont="1" applyFill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0" fontId="2" fillId="4" borderId="2" xfId="0" applyFont="1" applyFill="1" applyBorder="1"/>
    <xf numFmtId="3" fontId="2" fillId="4" borderId="3" xfId="0" applyNumberFormat="1" applyFont="1" applyFill="1" applyBorder="1"/>
    <xf numFmtId="9" fontId="2" fillId="4" borderId="4" xfId="0" applyNumberFormat="1" applyFont="1" applyFill="1" applyBorder="1"/>
    <xf numFmtId="0" fontId="2" fillId="4" borderId="7" xfId="0" applyFont="1" applyFill="1" applyBorder="1"/>
    <xf numFmtId="3" fontId="2" fillId="4" borderId="8" xfId="0" applyNumberFormat="1" applyFont="1" applyFill="1" applyBorder="1"/>
    <xf numFmtId="9" fontId="2" fillId="4" borderId="9" xfId="0" applyNumberFormat="1" applyFont="1" applyFill="1" applyBorder="1"/>
    <xf numFmtId="0" fontId="2" fillId="4" borderId="15" xfId="0" applyFont="1" applyFill="1" applyBorder="1"/>
    <xf numFmtId="3" fontId="2" fillId="4" borderId="14" xfId="0" applyNumberFormat="1" applyFont="1" applyFill="1" applyBorder="1"/>
    <xf numFmtId="14" fontId="2" fillId="4" borderId="7" xfId="0" applyNumberFormat="1" applyFont="1" applyFill="1" applyBorder="1"/>
    <xf numFmtId="0" fontId="2" fillId="3" borderId="3" xfId="0" applyFont="1" applyFill="1" applyBorder="1"/>
    <xf numFmtId="0" fontId="3" fillId="3" borderId="5" xfId="0" applyFont="1" applyFill="1" applyBorder="1"/>
    <xf numFmtId="0" fontId="2" fillId="3" borderId="0" xfId="0" applyFont="1" applyFill="1" applyBorder="1"/>
    <xf numFmtId="0" fontId="3" fillId="3" borderId="7" xfId="0" applyFont="1" applyFill="1" applyBorder="1"/>
    <xf numFmtId="0" fontId="2" fillId="3" borderId="8" xfId="0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9AD0"/>
      <color rgb="FF00F91A"/>
      <color rgb="FF00D6FF"/>
      <color rgb="FF00BEFF"/>
      <color rgb="FF00B0F0"/>
      <color rgb="FFFF6F90"/>
      <color rgb="FFFFFC00"/>
      <color rgb="FFB000F1"/>
      <color rgb="FF0099FF"/>
      <color rgb="FF00F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C6A3-FA1B-6549-9258-AE46B2D79FF6}">
  <dimension ref="B1:AJ82"/>
  <sheetViews>
    <sheetView tabSelected="1" workbookViewId="0">
      <selection activeCell="A31" sqref="A31"/>
    </sheetView>
  </sheetViews>
  <sheetFormatPr baseColWidth="10" defaultRowHeight="23" x14ac:dyDescent="0.35"/>
  <cols>
    <col min="1" max="2" width="10.83203125" style="25"/>
    <col min="3" max="3" width="28.83203125" style="25" customWidth="1"/>
    <col min="4" max="4" width="16.33203125" style="25" customWidth="1"/>
    <col min="5" max="5" width="18.5" style="25" customWidth="1"/>
    <col min="6" max="6" width="19.33203125" style="25" customWidth="1"/>
    <col min="7" max="7" width="23" style="25" customWidth="1"/>
    <col min="8" max="8" width="21.33203125" style="25" customWidth="1"/>
    <col min="9" max="9" width="24.33203125" style="25" customWidth="1"/>
    <col min="10" max="10" width="16.83203125" style="25" customWidth="1"/>
    <col min="11" max="11" width="13" style="25" customWidth="1"/>
    <col min="12" max="12" width="7.1640625" style="25" hidden="1" customWidth="1"/>
    <col min="13" max="13" width="21.1640625" style="25" customWidth="1"/>
    <col min="14" max="14" width="19.33203125" style="25" customWidth="1"/>
    <col min="15" max="15" width="20.5" style="25" customWidth="1"/>
    <col min="16" max="16" width="19.6640625" style="25" customWidth="1"/>
    <col min="17" max="17" width="18.1640625" style="25" customWidth="1"/>
    <col min="18" max="18" width="20.33203125" style="25" customWidth="1"/>
    <col min="19" max="19" width="17.1640625" style="25" customWidth="1"/>
    <col min="20" max="20" width="10.83203125" style="15"/>
    <col min="21" max="21" width="20.5" style="25" customWidth="1"/>
    <col min="22" max="22" width="19.33203125" style="25" customWidth="1"/>
    <col min="23" max="23" width="18.5" style="25" customWidth="1"/>
    <col min="24" max="36" width="10.83203125" style="15"/>
    <col min="37" max="16384" width="10.83203125" style="25"/>
  </cols>
  <sheetData>
    <row r="1" spans="3:22" s="15" customFormat="1" x14ac:dyDescent="0.35"/>
    <row r="2" spans="3:22" s="15" customFormat="1" x14ac:dyDescent="0.35"/>
    <row r="3" spans="3:22" s="15" customFormat="1" x14ac:dyDescent="0.35"/>
    <row r="4" spans="3:22" s="15" customFormat="1" ht="24" thickBot="1" x14ac:dyDescent="0.4">
      <c r="C4" s="62" t="s">
        <v>31</v>
      </c>
      <c r="F4" s="14"/>
      <c r="G4" s="14"/>
      <c r="H4" s="14" t="s">
        <v>30</v>
      </c>
      <c r="I4" s="61"/>
      <c r="J4" s="15" t="s">
        <v>14</v>
      </c>
    </row>
    <row r="5" spans="3:22" s="15" customFormat="1" x14ac:dyDescent="0.35">
      <c r="C5" s="40" t="s">
        <v>0</v>
      </c>
      <c r="D5" s="41">
        <f>J30+S30+W30</f>
        <v>5612439</v>
      </c>
      <c r="G5" s="47" t="s">
        <v>17</v>
      </c>
      <c r="H5" s="48"/>
      <c r="I5" s="49">
        <f>D7</f>
        <v>16.748511654202389</v>
      </c>
    </row>
    <row r="6" spans="3:22" s="15" customFormat="1" ht="24" thickBot="1" x14ac:dyDescent="0.4">
      <c r="C6" s="42" t="s">
        <v>1</v>
      </c>
      <c r="D6" s="43">
        <v>94000</v>
      </c>
      <c r="G6" s="50" t="s">
        <v>18</v>
      </c>
      <c r="H6" s="51"/>
      <c r="I6" s="60">
        <v>55</v>
      </c>
    </row>
    <row r="7" spans="3:22" s="15" customFormat="1" ht="24" thickBot="1" x14ac:dyDescent="0.4">
      <c r="C7" s="44" t="s">
        <v>2</v>
      </c>
      <c r="D7" s="45">
        <f>D6/D5*1000</f>
        <v>16.748511654202389</v>
      </c>
      <c r="G7" s="50" t="s">
        <v>19</v>
      </c>
      <c r="H7" s="51"/>
      <c r="I7" s="60">
        <v>25</v>
      </c>
    </row>
    <row r="8" spans="3:22" s="15" customFormat="1" ht="24" thickBot="1" x14ac:dyDescent="0.4">
      <c r="G8" s="46"/>
      <c r="H8" s="46"/>
      <c r="I8" s="46"/>
    </row>
    <row r="9" spans="3:22" s="15" customFormat="1" x14ac:dyDescent="0.35">
      <c r="C9"/>
      <c r="D9"/>
      <c r="E9"/>
      <c r="G9" s="47" t="s">
        <v>20</v>
      </c>
      <c r="H9" s="48"/>
      <c r="I9" s="49">
        <f>I5*D11/1000</f>
        <v>17358.760424834905</v>
      </c>
      <c r="L9" s="37"/>
    </row>
    <row r="10" spans="3:22" s="15" customFormat="1" ht="24" thickBot="1" x14ac:dyDescent="0.4">
      <c r="D10" s="61" t="s">
        <v>29</v>
      </c>
      <c r="E10" s="61"/>
      <c r="G10" s="50" t="s">
        <v>21</v>
      </c>
      <c r="H10" s="51"/>
      <c r="I10" s="52">
        <f>I5*D12/1000</f>
        <v>76641.239575165091</v>
      </c>
      <c r="L10" s="35"/>
      <c r="V10" s="34" t="s">
        <v>14</v>
      </c>
    </row>
    <row r="11" spans="3:22" s="15" customFormat="1" ht="24" thickBot="1" x14ac:dyDescent="0.4">
      <c r="C11" s="54" t="s">
        <v>15</v>
      </c>
      <c r="D11" s="55">
        <v>1036436</v>
      </c>
      <c r="E11" s="56">
        <f>D11/D5</f>
        <v>0.18466766409398838</v>
      </c>
      <c r="G11" s="46"/>
      <c r="H11" s="46"/>
      <c r="I11" s="53">
        <f>I9+I10</f>
        <v>94000</v>
      </c>
      <c r="L11" s="36"/>
      <c r="V11" s="34" t="s">
        <v>14</v>
      </c>
    </row>
    <row r="12" spans="3:22" s="15" customFormat="1" ht="24" thickBot="1" x14ac:dyDescent="0.4">
      <c r="C12" s="57" t="s">
        <v>16</v>
      </c>
      <c r="D12" s="58">
        <f>D5-D11</f>
        <v>4576003</v>
      </c>
      <c r="E12" s="59">
        <f>D12/D5</f>
        <v>0.81533233590601162</v>
      </c>
      <c r="G12" s="46"/>
      <c r="H12" s="46"/>
      <c r="I12" s="46"/>
      <c r="L12" s="36"/>
      <c r="V12" s="34"/>
    </row>
    <row r="13" spans="3:22" s="15" customFormat="1" x14ac:dyDescent="0.35">
      <c r="G13" s="47" t="s">
        <v>22</v>
      </c>
      <c r="H13" s="48"/>
      <c r="I13" s="49">
        <f>D11*I6/1000</f>
        <v>57003.98</v>
      </c>
      <c r="L13" s="36"/>
      <c r="V13" s="34"/>
    </row>
    <row r="14" spans="3:22" s="15" customFormat="1" ht="24" thickBot="1" x14ac:dyDescent="0.4">
      <c r="G14" s="50" t="s">
        <v>23</v>
      </c>
      <c r="H14" s="51"/>
      <c r="I14" s="52">
        <f>I7*D12/1000</f>
        <v>114400.075</v>
      </c>
      <c r="L14" s="36"/>
      <c r="V14" s="34"/>
    </row>
    <row r="15" spans="3:22" s="15" customFormat="1" ht="24" thickBot="1" x14ac:dyDescent="0.4">
      <c r="G15" s="46"/>
      <c r="H15" s="46"/>
      <c r="I15" s="53">
        <f>SUM(I13:I14)</f>
        <v>171404.05499999999</v>
      </c>
      <c r="L15" s="36"/>
      <c r="V15" s="34"/>
    </row>
    <row r="16" spans="3:22" s="15" customFormat="1" ht="24" thickBot="1" x14ac:dyDescent="0.4">
      <c r="C16" s="34"/>
      <c r="D16" s="39"/>
      <c r="N16" s="33"/>
      <c r="O16" s="38"/>
    </row>
    <row r="17" spans="3:23" s="14" customFormat="1" ht="24" thickBot="1" x14ac:dyDescent="0.4">
      <c r="C17" s="16">
        <v>45992</v>
      </c>
      <c r="D17" s="17">
        <v>46006</v>
      </c>
      <c r="E17" s="18">
        <v>46007</v>
      </c>
      <c r="F17" s="18">
        <v>46008</v>
      </c>
      <c r="G17" s="18">
        <v>46009</v>
      </c>
      <c r="H17" s="18">
        <v>46010</v>
      </c>
      <c r="I17" s="18">
        <v>46011</v>
      </c>
      <c r="J17" s="19">
        <v>46012</v>
      </c>
      <c r="M17" s="17">
        <v>46013</v>
      </c>
      <c r="N17" s="18">
        <v>46014</v>
      </c>
      <c r="O17" s="18">
        <v>46015</v>
      </c>
      <c r="P17" s="18">
        <v>46016</v>
      </c>
      <c r="Q17" s="18">
        <v>46017</v>
      </c>
      <c r="R17" s="18">
        <v>46018</v>
      </c>
      <c r="S17" s="19">
        <v>46019</v>
      </c>
      <c r="U17" s="17">
        <v>46020</v>
      </c>
      <c r="V17" s="18">
        <v>46021</v>
      </c>
      <c r="W17" s="19">
        <v>46022</v>
      </c>
    </row>
    <row r="18" spans="3:23" s="14" customFormat="1" ht="24" thickBot="1" x14ac:dyDescent="0.4">
      <c r="C18" s="11" t="s">
        <v>13</v>
      </c>
      <c r="D18" s="20" t="s">
        <v>3</v>
      </c>
      <c r="E18" s="21" t="s">
        <v>3</v>
      </c>
      <c r="F18" s="21" t="s">
        <v>3</v>
      </c>
      <c r="G18" s="21" t="s">
        <v>3</v>
      </c>
      <c r="H18" s="21" t="s">
        <v>3</v>
      </c>
      <c r="I18" s="21" t="s">
        <v>3</v>
      </c>
      <c r="J18" s="22" t="s">
        <v>3</v>
      </c>
      <c r="M18" s="20" t="s">
        <v>3</v>
      </c>
      <c r="N18" s="21" t="s">
        <v>3</v>
      </c>
      <c r="O18" s="21" t="s">
        <v>3</v>
      </c>
      <c r="P18" s="21" t="s">
        <v>3</v>
      </c>
      <c r="Q18" s="21" t="s">
        <v>3</v>
      </c>
      <c r="R18" s="21" t="s">
        <v>3</v>
      </c>
      <c r="S18" s="22" t="s">
        <v>3</v>
      </c>
      <c r="U18" s="20" t="s">
        <v>3</v>
      </c>
      <c r="V18" s="21" t="s">
        <v>3</v>
      </c>
      <c r="W18" s="22" t="s">
        <v>3</v>
      </c>
    </row>
    <row r="19" spans="3:23" s="14" customFormat="1" x14ac:dyDescent="0.35">
      <c r="C19" s="12" t="s">
        <v>24</v>
      </c>
      <c r="D19" s="63">
        <v>75000</v>
      </c>
      <c r="E19" s="63">
        <v>75000</v>
      </c>
      <c r="F19" s="63">
        <v>75000</v>
      </c>
      <c r="G19" s="63">
        <v>175623</v>
      </c>
      <c r="H19" s="63">
        <v>180463</v>
      </c>
      <c r="I19" s="63">
        <v>174563</v>
      </c>
      <c r="J19" s="23">
        <v>75000</v>
      </c>
      <c r="M19" s="24">
        <v>47634</v>
      </c>
      <c r="N19" s="63">
        <v>45983</v>
      </c>
      <c r="O19" s="63">
        <v>49723</v>
      </c>
      <c r="P19" s="63">
        <v>80465</v>
      </c>
      <c r="Q19" s="63">
        <v>99463</v>
      </c>
      <c r="R19" s="63">
        <v>91452</v>
      </c>
      <c r="S19" s="23">
        <v>90435</v>
      </c>
      <c r="U19" s="24">
        <v>56236</v>
      </c>
      <c r="V19" s="63">
        <v>55629</v>
      </c>
      <c r="W19" s="23">
        <v>53013</v>
      </c>
    </row>
    <row r="20" spans="3:23" s="14" customFormat="1" x14ac:dyDescent="0.35">
      <c r="C20" s="12" t="s">
        <v>25</v>
      </c>
      <c r="D20" s="63">
        <v>60000</v>
      </c>
      <c r="E20" s="63">
        <v>60000</v>
      </c>
      <c r="F20" s="63">
        <v>60000</v>
      </c>
      <c r="G20" s="63">
        <v>105342</v>
      </c>
      <c r="H20" s="63">
        <v>110653</v>
      </c>
      <c r="I20" s="63">
        <v>100764</v>
      </c>
      <c r="J20" s="23">
        <v>94673</v>
      </c>
      <c r="M20" s="24">
        <v>29563</v>
      </c>
      <c r="N20" s="63">
        <v>29563</v>
      </c>
      <c r="O20" s="63">
        <v>29563</v>
      </c>
      <c r="P20" s="63">
        <v>52897</v>
      </c>
      <c r="Q20" s="63">
        <v>52897</v>
      </c>
      <c r="R20" s="63">
        <v>52897</v>
      </c>
      <c r="S20" s="23">
        <v>52897</v>
      </c>
      <c r="U20" s="24">
        <v>42357</v>
      </c>
      <c r="V20" s="63">
        <v>40835</v>
      </c>
      <c r="W20" s="23">
        <v>47628</v>
      </c>
    </row>
    <row r="21" spans="3:23" s="14" customFormat="1" x14ac:dyDescent="0.35">
      <c r="C21" s="12" t="s">
        <v>4</v>
      </c>
      <c r="D21" s="63">
        <v>13897</v>
      </c>
      <c r="E21" s="63">
        <v>13897</v>
      </c>
      <c r="F21" s="63">
        <v>13897</v>
      </c>
      <c r="G21" s="63">
        <v>22987</v>
      </c>
      <c r="H21" s="63">
        <v>22987</v>
      </c>
      <c r="I21" s="63">
        <v>22987</v>
      </c>
      <c r="J21" s="23">
        <v>22987</v>
      </c>
      <c r="M21" s="24">
        <v>17845</v>
      </c>
      <c r="N21" s="63">
        <v>17845</v>
      </c>
      <c r="O21" s="63">
        <v>17845</v>
      </c>
      <c r="P21" s="63">
        <v>33465</v>
      </c>
      <c r="Q21" s="63">
        <v>33465</v>
      </c>
      <c r="R21" s="63">
        <v>33465</v>
      </c>
      <c r="S21" s="23">
        <v>33465</v>
      </c>
      <c r="U21" s="24">
        <v>6506</v>
      </c>
      <c r="V21" s="63">
        <v>6506</v>
      </c>
      <c r="W21" s="23">
        <v>6506</v>
      </c>
    </row>
    <row r="22" spans="3:23" s="14" customFormat="1" x14ac:dyDescent="0.35">
      <c r="C22" s="12" t="s">
        <v>26</v>
      </c>
      <c r="D22" s="63">
        <v>25763</v>
      </c>
      <c r="E22" s="63">
        <v>27563</v>
      </c>
      <c r="F22" s="63">
        <v>37612</v>
      </c>
      <c r="G22" s="63">
        <v>35274</v>
      </c>
      <c r="H22" s="63">
        <v>28642</v>
      </c>
      <c r="I22" s="63">
        <v>34093</v>
      </c>
      <c r="J22" s="23">
        <v>37652</v>
      </c>
      <c r="M22" s="24">
        <v>16785</v>
      </c>
      <c r="N22" s="63">
        <v>16785</v>
      </c>
      <c r="O22" s="63">
        <v>16785</v>
      </c>
      <c r="P22" s="63">
        <v>40356</v>
      </c>
      <c r="Q22" s="63">
        <v>40356</v>
      </c>
      <c r="R22" s="63">
        <v>40356</v>
      </c>
      <c r="S22" s="23">
        <v>40356</v>
      </c>
      <c r="U22" s="24">
        <v>3990</v>
      </c>
      <c r="V22" s="63">
        <v>3990</v>
      </c>
      <c r="W22" s="23">
        <v>3990</v>
      </c>
    </row>
    <row r="23" spans="3:23" s="14" customFormat="1" x14ac:dyDescent="0.35">
      <c r="C23" s="12" t="s">
        <v>5</v>
      </c>
      <c r="D23" s="63">
        <v>29563</v>
      </c>
      <c r="E23" s="63">
        <v>31973</v>
      </c>
      <c r="F23" s="63">
        <v>33765</v>
      </c>
      <c r="G23" s="63">
        <v>42864</v>
      </c>
      <c r="H23" s="63">
        <v>40912</v>
      </c>
      <c r="I23" s="63">
        <v>49834</v>
      </c>
      <c r="J23" s="23">
        <v>42864</v>
      </c>
      <c r="M23" s="24">
        <v>14675</v>
      </c>
      <c r="N23" s="63">
        <v>14675</v>
      </c>
      <c r="O23" s="63">
        <v>14675</v>
      </c>
      <c r="P23" s="63">
        <v>35498</v>
      </c>
      <c r="Q23" s="63">
        <v>35498</v>
      </c>
      <c r="R23" s="63">
        <v>35498</v>
      </c>
      <c r="S23" s="23">
        <v>35498</v>
      </c>
      <c r="U23" s="24">
        <v>3290</v>
      </c>
      <c r="V23" s="63">
        <v>3290</v>
      </c>
      <c r="W23" s="23">
        <v>3290</v>
      </c>
    </row>
    <row r="24" spans="3:23" s="14" customFormat="1" x14ac:dyDescent="0.35">
      <c r="C24" s="12" t="s">
        <v>27</v>
      </c>
      <c r="D24" s="63">
        <v>27687</v>
      </c>
      <c r="E24" s="63">
        <v>24397</v>
      </c>
      <c r="F24" s="63">
        <v>22895</v>
      </c>
      <c r="G24" s="63">
        <v>37626</v>
      </c>
      <c r="H24" s="63">
        <v>36342</v>
      </c>
      <c r="I24" s="63">
        <v>31254</v>
      </c>
      <c r="J24" s="23">
        <v>34178</v>
      </c>
      <c r="M24" s="24">
        <v>17890</v>
      </c>
      <c r="N24" s="63">
        <v>17890</v>
      </c>
      <c r="O24" s="63">
        <v>17890</v>
      </c>
      <c r="P24" s="63">
        <v>37654</v>
      </c>
      <c r="Q24" s="63">
        <v>37654</v>
      </c>
      <c r="R24" s="63">
        <v>37654</v>
      </c>
      <c r="S24" s="23">
        <v>37654</v>
      </c>
      <c r="U24" s="24">
        <v>6543</v>
      </c>
      <c r="V24" s="63">
        <v>6543</v>
      </c>
      <c r="W24" s="23">
        <v>6543</v>
      </c>
    </row>
    <row r="25" spans="3:23" s="14" customFormat="1" x14ac:dyDescent="0.35">
      <c r="C25" s="12" t="s">
        <v>28</v>
      </c>
      <c r="D25" s="63">
        <v>18674</v>
      </c>
      <c r="E25" s="63">
        <v>18345</v>
      </c>
      <c r="F25" s="63">
        <v>17435</v>
      </c>
      <c r="G25" s="63">
        <v>37125</v>
      </c>
      <c r="H25" s="63">
        <v>33985</v>
      </c>
      <c r="I25" s="63">
        <v>38354</v>
      </c>
      <c r="J25" s="23">
        <v>37321</v>
      </c>
      <c r="M25" s="24">
        <v>16784</v>
      </c>
      <c r="N25" s="63">
        <v>16784</v>
      </c>
      <c r="O25" s="63">
        <v>16784</v>
      </c>
      <c r="P25" s="63">
        <v>22346</v>
      </c>
      <c r="Q25" s="63">
        <v>22346</v>
      </c>
      <c r="R25" s="63">
        <v>22346</v>
      </c>
      <c r="S25" s="23">
        <v>22346</v>
      </c>
      <c r="U25" s="24">
        <v>4987</v>
      </c>
      <c r="V25" s="63">
        <v>4987</v>
      </c>
      <c r="W25" s="23">
        <v>4987</v>
      </c>
    </row>
    <row r="26" spans="3:23" s="14" customFormat="1" ht="24" thickBot="1" x14ac:dyDescent="0.4">
      <c r="C26" s="12" t="s">
        <v>6</v>
      </c>
      <c r="D26" s="63">
        <v>73675</v>
      </c>
      <c r="E26" s="63">
        <v>71234</v>
      </c>
      <c r="F26" s="63">
        <v>79563</v>
      </c>
      <c r="G26" s="63">
        <v>81256</v>
      </c>
      <c r="H26" s="63">
        <v>83452</v>
      </c>
      <c r="I26" s="63">
        <v>82954</v>
      </c>
      <c r="J26" s="23">
        <v>72365</v>
      </c>
      <c r="M26" s="24">
        <v>24786</v>
      </c>
      <c r="N26" s="63">
        <v>24786</v>
      </c>
      <c r="O26" s="63">
        <v>24786</v>
      </c>
      <c r="P26" s="63">
        <v>57345</v>
      </c>
      <c r="Q26" s="63">
        <v>57345</v>
      </c>
      <c r="R26" s="63">
        <v>57345</v>
      </c>
      <c r="S26" s="23">
        <v>57345</v>
      </c>
      <c r="U26" s="24">
        <v>63874</v>
      </c>
      <c r="V26" s="63">
        <v>60342</v>
      </c>
      <c r="W26" s="23">
        <v>63983</v>
      </c>
    </row>
    <row r="27" spans="3:23" s="14" customFormat="1" ht="24" thickBot="1" x14ac:dyDescent="0.4">
      <c r="C27" s="69" t="s">
        <v>7</v>
      </c>
      <c r="D27" s="70">
        <f>SUM(D19:D26)</f>
        <v>324259</v>
      </c>
      <c r="E27" s="70">
        <f>SUM(E19:E26)</f>
        <v>322409</v>
      </c>
      <c r="F27" s="70">
        <f>SUM(F19:F26)</f>
        <v>340167</v>
      </c>
      <c r="G27" s="70">
        <f>SUM(G19:G26)</f>
        <v>538097</v>
      </c>
      <c r="H27" s="70">
        <f>SUM(H19:H26)</f>
        <v>537436</v>
      </c>
      <c r="I27" s="70">
        <f>SUM(I19:I26)</f>
        <v>534803</v>
      </c>
      <c r="J27" s="71">
        <f>SUM(J19:J26)</f>
        <v>417040</v>
      </c>
      <c r="M27" s="68">
        <f>SUM(M19:M26)</f>
        <v>185962</v>
      </c>
      <c r="N27" s="66">
        <f>SUM(N19:N26)</f>
        <v>184311</v>
      </c>
      <c r="O27" s="66">
        <f>SUM(O19:O26)</f>
        <v>188051</v>
      </c>
      <c r="P27" s="66">
        <f>SUM(P19:P26)</f>
        <v>360026</v>
      </c>
      <c r="Q27" s="66">
        <f>SUM(Q19:Q26)</f>
        <v>379024</v>
      </c>
      <c r="R27" s="66">
        <f>SUM(R19:R26)</f>
        <v>371013</v>
      </c>
      <c r="S27" s="67">
        <f>SUM(S19:S26)</f>
        <v>369996</v>
      </c>
      <c r="T27" s="14" t="s">
        <v>14</v>
      </c>
      <c r="U27" s="72">
        <f>SUM(U19:U26)</f>
        <v>187783</v>
      </c>
      <c r="V27" s="70">
        <f>SUM(V19:V26)</f>
        <v>182122</v>
      </c>
      <c r="W27" s="71">
        <f>SUM(W19:W26)</f>
        <v>189940</v>
      </c>
    </row>
    <row r="28" spans="3:23" s="14" customFormat="1" x14ac:dyDescent="0.35">
      <c r="C28" s="1" t="s">
        <v>8</v>
      </c>
      <c r="D28" s="64">
        <v>4500</v>
      </c>
      <c r="E28" s="64">
        <f>D28</f>
        <v>4500</v>
      </c>
      <c r="F28" s="64">
        <f>E28</f>
        <v>4500</v>
      </c>
      <c r="G28" s="64">
        <v>7875</v>
      </c>
      <c r="H28" s="64">
        <f>G28</f>
        <v>7875</v>
      </c>
      <c r="I28" s="64">
        <f>H28</f>
        <v>7875</v>
      </c>
      <c r="J28" s="2">
        <f>I28</f>
        <v>7875</v>
      </c>
      <c r="M28" s="8">
        <v>3200</v>
      </c>
      <c r="N28" s="9">
        <f>M28</f>
        <v>3200</v>
      </c>
      <c r="O28" s="9">
        <f>N28</f>
        <v>3200</v>
      </c>
      <c r="P28" s="9">
        <v>5600</v>
      </c>
      <c r="Q28" s="9">
        <f>P28</f>
        <v>5600</v>
      </c>
      <c r="R28" s="9">
        <f>Q28</f>
        <v>5600</v>
      </c>
      <c r="S28" s="10">
        <f>R28</f>
        <v>5600</v>
      </c>
      <c r="U28" s="6">
        <v>3000</v>
      </c>
      <c r="V28" s="64">
        <v>3000</v>
      </c>
      <c r="W28" s="2">
        <v>3000</v>
      </c>
    </row>
    <row r="29" spans="3:23" s="14" customFormat="1" ht="24" thickBot="1" x14ac:dyDescent="0.4">
      <c r="C29" s="3" t="s">
        <v>9</v>
      </c>
      <c r="D29" s="4">
        <v>15.68</v>
      </c>
      <c r="E29" s="4">
        <v>15.68</v>
      </c>
      <c r="F29" s="4">
        <v>15.68</v>
      </c>
      <c r="G29" s="4">
        <v>14.08</v>
      </c>
      <c r="H29" s="4">
        <v>14.08</v>
      </c>
      <c r="I29" s="4">
        <v>14.08</v>
      </c>
      <c r="J29" s="5">
        <v>14.08</v>
      </c>
      <c r="M29" s="7">
        <v>16.78</v>
      </c>
      <c r="N29" s="4">
        <v>16.78</v>
      </c>
      <c r="O29" s="4">
        <v>16.78</v>
      </c>
      <c r="P29" s="4">
        <f>P28/P27*1000</f>
        <v>15.55443217989812</v>
      </c>
      <c r="Q29" s="4">
        <f>P29</f>
        <v>15.55443217989812</v>
      </c>
      <c r="R29" s="4">
        <f>Q29</f>
        <v>15.55443217989812</v>
      </c>
      <c r="S29" s="5">
        <f>R29</f>
        <v>15.55443217989812</v>
      </c>
      <c r="U29" s="7">
        <v>25.31</v>
      </c>
      <c r="V29" s="4">
        <v>25.31</v>
      </c>
      <c r="W29" s="5">
        <v>25.31</v>
      </c>
    </row>
    <row r="30" spans="3:23" s="14" customFormat="1" x14ac:dyDescent="0.35">
      <c r="F30" s="13" t="s">
        <v>14</v>
      </c>
      <c r="J30" s="13">
        <f>D27+E27+F27+G27+H27+I27+J27</f>
        <v>3014211</v>
      </c>
      <c r="O30" s="13" t="s">
        <v>14</v>
      </c>
      <c r="S30" s="13">
        <f>M27+N27+O27+P27+Q27+R27+S27</f>
        <v>2038383</v>
      </c>
      <c r="W30" s="65">
        <f>U27+V27+W27</f>
        <v>559845</v>
      </c>
    </row>
    <row r="31" spans="3:23" s="15" customFormat="1" x14ac:dyDescent="0.35"/>
    <row r="32" spans="3:23" s="15" customFormat="1" ht="24" thickBot="1" x14ac:dyDescent="0.4"/>
    <row r="33" spans="2:23" x14ac:dyDescent="0.35">
      <c r="H33" s="26" t="s">
        <v>10</v>
      </c>
      <c r="I33" s="27" t="s">
        <v>0</v>
      </c>
      <c r="J33" s="28">
        <f>J30</f>
        <v>3014211</v>
      </c>
      <c r="Q33" s="26" t="s">
        <v>11</v>
      </c>
      <c r="R33" s="27" t="s">
        <v>0</v>
      </c>
      <c r="S33" s="28">
        <f>S30</f>
        <v>2038383</v>
      </c>
      <c r="U33" s="27" t="s">
        <v>12</v>
      </c>
      <c r="V33" s="82" t="s">
        <v>0</v>
      </c>
      <c r="W33" s="28">
        <f>W30</f>
        <v>559845</v>
      </c>
    </row>
    <row r="34" spans="2:23" x14ac:dyDescent="0.35">
      <c r="B34" s="15"/>
      <c r="C34" s="15"/>
      <c r="D34" s="15"/>
      <c r="E34" s="15"/>
      <c r="F34" s="15"/>
      <c r="G34" s="15"/>
      <c r="H34" s="15"/>
      <c r="I34" s="29" t="s">
        <v>1</v>
      </c>
      <c r="J34" s="30">
        <v>45000</v>
      </c>
      <c r="K34" s="15"/>
      <c r="L34" s="15"/>
      <c r="M34" s="15"/>
      <c r="N34" s="15"/>
      <c r="O34" s="15"/>
      <c r="P34" s="15"/>
      <c r="Q34" s="15"/>
      <c r="R34" s="29" t="s">
        <v>1</v>
      </c>
      <c r="S34" s="30">
        <v>32000</v>
      </c>
      <c r="U34" s="83"/>
      <c r="V34" s="84" t="s">
        <v>1</v>
      </c>
      <c r="W34" s="30">
        <v>9000</v>
      </c>
    </row>
    <row r="35" spans="2:23" ht="24" thickBot="1" x14ac:dyDescent="0.4">
      <c r="B35" s="15"/>
      <c r="C35" s="15"/>
      <c r="D35" s="15"/>
      <c r="E35" s="15"/>
      <c r="F35" s="15"/>
      <c r="G35" s="15"/>
      <c r="H35" s="15"/>
      <c r="I35" s="31" t="s">
        <v>2</v>
      </c>
      <c r="J35" s="32">
        <f>J34/J33*1000</f>
        <v>14.929280000636982</v>
      </c>
      <c r="K35" s="15"/>
      <c r="L35" s="15"/>
      <c r="M35" s="15"/>
      <c r="N35" s="15"/>
      <c r="O35" s="15"/>
      <c r="P35" s="15"/>
      <c r="Q35" s="15"/>
      <c r="R35" s="31" t="s">
        <v>2</v>
      </c>
      <c r="S35" s="32">
        <f>S34/S33*1000</f>
        <v>15.698718052495533</v>
      </c>
      <c r="U35" s="85"/>
      <c r="V35" s="86" t="s">
        <v>2</v>
      </c>
      <c r="W35" s="32">
        <f>W34/W33*1000</f>
        <v>16.075878144843664</v>
      </c>
    </row>
    <row r="36" spans="2:23" s="15" customFormat="1" ht="24" thickBot="1" x14ac:dyDescent="0.4"/>
    <row r="37" spans="2:23" ht="24" thickBot="1" x14ac:dyDescent="0.4">
      <c r="B37" s="15"/>
      <c r="C37" s="15"/>
      <c r="D37" s="15"/>
      <c r="E37" s="15"/>
      <c r="F37" s="15"/>
      <c r="G37" s="15"/>
      <c r="H37" s="73"/>
      <c r="I37" s="74"/>
      <c r="J37" s="75"/>
      <c r="K37" s="15"/>
      <c r="L37" s="15"/>
      <c r="M37" s="33" t="s">
        <v>14</v>
      </c>
      <c r="N37" s="15"/>
      <c r="O37" s="15"/>
      <c r="P37" s="15"/>
      <c r="Q37" s="73"/>
      <c r="R37" s="74"/>
      <c r="S37" s="75"/>
      <c r="U37" s="79"/>
      <c r="V37" s="80"/>
      <c r="W37" s="15"/>
    </row>
    <row r="38" spans="2:23" ht="24" thickBot="1" x14ac:dyDescent="0.4">
      <c r="B38" s="15"/>
      <c r="C38" s="15"/>
      <c r="D38" s="15"/>
      <c r="E38" s="15"/>
      <c r="F38" s="15"/>
      <c r="G38" s="15"/>
      <c r="H38" s="76"/>
      <c r="I38" s="77"/>
      <c r="J38" s="78"/>
      <c r="K38" s="15"/>
      <c r="L38" s="15"/>
      <c r="M38" s="15"/>
      <c r="N38" s="15"/>
      <c r="O38" s="15"/>
      <c r="P38" s="15"/>
      <c r="Q38" s="81"/>
      <c r="R38" s="77"/>
      <c r="S38" s="78"/>
      <c r="U38" s="15"/>
      <c r="V38" s="15"/>
      <c r="W38" s="15"/>
    </row>
    <row r="39" spans="2:23" s="15" customFormat="1" x14ac:dyDescent="0.35"/>
    <row r="40" spans="2:23" s="15" customFormat="1" x14ac:dyDescent="0.35"/>
    <row r="41" spans="2:23" s="15" customFormat="1" x14ac:dyDescent="0.35"/>
    <row r="42" spans="2:23" s="15" customFormat="1" x14ac:dyDescent="0.35"/>
    <row r="43" spans="2:23" s="15" customFormat="1" x14ac:dyDescent="0.35"/>
    <row r="44" spans="2:23" s="15" customFormat="1" x14ac:dyDescent="0.35"/>
    <row r="45" spans="2:23" s="15" customFormat="1" x14ac:dyDescent="0.35"/>
    <row r="46" spans="2:23" s="15" customFormat="1" x14ac:dyDescent="0.35"/>
    <row r="47" spans="2:23" s="15" customFormat="1" x14ac:dyDescent="0.35"/>
    <row r="48" spans="2:23" s="15" customFormat="1" x14ac:dyDescent="0.35"/>
    <row r="49" s="15" customFormat="1" x14ac:dyDescent="0.35"/>
    <row r="50" s="15" customFormat="1" x14ac:dyDescent="0.35"/>
    <row r="51" s="15" customFormat="1" x14ac:dyDescent="0.35"/>
    <row r="52" s="15" customFormat="1" x14ac:dyDescent="0.35"/>
    <row r="53" s="15" customFormat="1" x14ac:dyDescent="0.35"/>
    <row r="54" s="15" customFormat="1" x14ac:dyDescent="0.35"/>
    <row r="55" s="15" customFormat="1" x14ac:dyDescent="0.35"/>
    <row r="56" s="15" customFormat="1" x14ac:dyDescent="0.35"/>
    <row r="57" s="15" customFormat="1" x14ac:dyDescent="0.35"/>
    <row r="58" s="15" customFormat="1" x14ac:dyDescent="0.35"/>
    <row r="59" s="15" customFormat="1" x14ac:dyDescent="0.35"/>
    <row r="60" s="15" customFormat="1" x14ac:dyDescent="0.35"/>
    <row r="61" s="15" customFormat="1" x14ac:dyDescent="0.35"/>
    <row r="62" s="15" customFormat="1" x14ac:dyDescent="0.35"/>
    <row r="63" s="15" customFormat="1" x14ac:dyDescent="0.35"/>
    <row r="64" s="15" customFormat="1" x14ac:dyDescent="0.35"/>
    <row r="65" s="15" customFormat="1" x14ac:dyDescent="0.35"/>
    <row r="66" s="15" customFormat="1" x14ac:dyDescent="0.35"/>
    <row r="67" s="15" customFormat="1" x14ac:dyDescent="0.35"/>
    <row r="68" s="15" customFormat="1" x14ac:dyDescent="0.35"/>
    <row r="69" s="15" customFormat="1" x14ac:dyDescent="0.35"/>
    <row r="70" s="15" customFormat="1" x14ac:dyDescent="0.35"/>
    <row r="71" s="15" customFormat="1" x14ac:dyDescent="0.35"/>
    <row r="72" s="15" customFormat="1" x14ac:dyDescent="0.35"/>
    <row r="73" s="15" customFormat="1" x14ac:dyDescent="0.35"/>
    <row r="74" s="15" customFormat="1" x14ac:dyDescent="0.35"/>
    <row r="75" s="15" customFormat="1" x14ac:dyDescent="0.35"/>
    <row r="76" s="15" customFormat="1" x14ac:dyDescent="0.35"/>
    <row r="77" s="15" customFormat="1" x14ac:dyDescent="0.35"/>
    <row r="78" s="15" customFormat="1" x14ac:dyDescent="0.35"/>
    <row r="79" s="15" customFormat="1" x14ac:dyDescent="0.35"/>
    <row r="80" s="15" customFormat="1" x14ac:dyDescent="0.35"/>
    <row r="81" s="15" customFormat="1" x14ac:dyDescent="0.35"/>
    <row r="82" s="15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brian.maddox11@gmail.com</dc:creator>
  <cp:lastModifiedBy>Brian Maddox</cp:lastModifiedBy>
  <dcterms:created xsi:type="dcterms:W3CDTF">2026-01-24T10:06:08Z</dcterms:created>
  <dcterms:modified xsi:type="dcterms:W3CDTF">2026-01-29T19:53:40Z</dcterms:modified>
</cp:coreProperties>
</file>