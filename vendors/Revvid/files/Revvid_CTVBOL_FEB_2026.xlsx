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itspty\citrixupm$\UserData\tm\Desktop\"/>
    </mc:Choice>
  </mc:AlternateContent>
  <xr:revisionPtr revIDLastSave="0" documentId="8_{F1B7E2FA-06C0-4D97-9B9E-77AE8D9B65A5}" xr6:coauthVersionLast="47" xr6:coauthVersionMax="47" xr10:uidLastSave="{00000000-0000-0000-0000-000000000000}"/>
  <bookViews>
    <workbookView xWindow="-120" yWindow="-120" windowWidth="21840" windowHeight="11130" xr2:uid="{5EBAF7D5-797B-A74B-B35B-E34E3B7D1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AH26" i="1"/>
  <c r="AG26" i="1"/>
  <c r="AF26" i="1"/>
  <c r="AF28" i="1" s="1"/>
  <c r="AG28" i="1" s="1"/>
  <c r="AH28" i="1" s="1"/>
  <c r="AD26" i="1"/>
  <c r="AC26" i="1"/>
  <c r="AE32" i="1" s="1"/>
  <c r="AE34" i="1" s="1"/>
  <c r="AA26" i="1"/>
  <c r="AA28" i="1" s="1"/>
  <c r="Z26" i="1"/>
  <c r="Z28" i="1" s="1"/>
  <c r="Y26" i="1"/>
  <c r="Y28" i="1" s="1"/>
  <c r="X26" i="1"/>
  <c r="X28" i="1" s="1"/>
  <c r="Y18" i="1"/>
  <c r="Z18" i="1" s="1"/>
  <c r="AA18" i="1" s="1"/>
  <c r="X18" i="1"/>
  <c r="R27" i="1"/>
  <c r="S27" i="1" s="1"/>
  <c r="H27" i="1"/>
  <c r="I27" i="1" s="1"/>
  <c r="J27" i="1" s="1"/>
  <c r="W26" i="1"/>
  <c r="W28" i="1" s="1"/>
  <c r="V26" i="1"/>
  <c r="V28" i="1" s="1"/>
  <c r="U26" i="1"/>
  <c r="W32" i="1" s="1"/>
  <c r="W34" i="1" s="1"/>
  <c r="S26" i="1"/>
  <c r="R26" i="1"/>
  <c r="Q26" i="1"/>
  <c r="P26" i="1"/>
  <c r="P28" i="1" s="1"/>
  <c r="Q28" i="1" s="1"/>
  <c r="R28" i="1" s="1"/>
  <c r="S28" i="1" s="1"/>
  <c r="O26" i="1"/>
  <c r="N26" i="1"/>
  <c r="M26" i="1"/>
  <c r="J26" i="1"/>
  <c r="I26" i="1"/>
  <c r="H26" i="1"/>
  <c r="G26" i="1"/>
  <c r="F26" i="1"/>
  <c r="E26" i="1"/>
  <c r="D26" i="1"/>
  <c r="U28" i="1" l="1"/>
  <c r="S29" i="1"/>
  <c r="S32" i="1" s="1"/>
  <c r="S34" i="1" s="1"/>
  <c r="J29" i="1"/>
  <c r="D7" i="1" l="1"/>
  <c r="J32" i="1"/>
  <c r="J34" i="1" s="1"/>
</calcChain>
</file>

<file path=xl/sharedStrings.xml><?xml version="1.0" encoding="utf-8"?>
<sst xmlns="http://schemas.openxmlformats.org/spreadsheetml/2006/main" count="75" uniqueCount="29">
  <si>
    <t xml:space="preserve"> </t>
  </si>
  <si>
    <t>TTL IMPS</t>
  </si>
  <si>
    <t>TTL Cost</t>
  </si>
  <si>
    <t>eCPM</t>
  </si>
  <si>
    <t xml:space="preserve">Betonline Delviery </t>
  </si>
  <si>
    <t>Impressions</t>
  </si>
  <si>
    <t xml:space="preserve">ESPN </t>
  </si>
  <si>
    <t xml:space="preserve">Fox Sports </t>
  </si>
  <si>
    <t>USA Today</t>
  </si>
  <si>
    <t xml:space="preserve">CBS Sports </t>
  </si>
  <si>
    <t>SEC</t>
  </si>
  <si>
    <t xml:space="preserve">Big 10 Network </t>
  </si>
  <si>
    <t>Live Games</t>
  </si>
  <si>
    <t>Daily Impressions</t>
  </si>
  <si>
    <t>Daily Spend</t>
  </si>
  <si>
    <t>CPM</t>
  </si>
  <si>
    <t>WEEK 7 650,000</t>
  </si>
  <si>
    <t>5,.000</t>
  </si>
  <si>
    <t xml:space="preserve">    Feb 26 Monthly Totals </t>
  </si>
  <si>
    <t>Week 6 3,900,000</t>
  </si>
  <si>
    <t>Week 8 2,600,000</t>
  </si>
  <si>
    <t>WEEK 9 650,000</t>
  </si>
  <si>
    <t>W/O 2/2</t>
  </si>
  <si>
    <t>W/O2/9</t>
  </si>
  <si>
    <t>10,00</t>
  </si>
  <si>
    <t>W/O 2/23</t>
  </si>
  <si>
    <t>Live Game IMP</t>
  </si>
  <si>
    <t>CTV Sports</t>
  </si>
  <si>
    <t>W/O 2/16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</si>
</sst>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Bangla Sangam MN"/>
      <family val="2"/>
    </font>
    <font>
      <b/>
      <sz val="16"/>
      <color rgb="FF000000"/>
      <name val="Bangla Sangam MN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D6FF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2" borderId="0" xfId="0" applyFont="1" applyFill="1"/>
    <xf numFmtId="16" fontId="3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3" fillId="3" borderId="1" xfId="0" applyFont="1" applyFill="1" applyBorder="1"/>
    <xf numFmtId="3" fontId="3" fillId="3" borderId="2" xfId="0" applyNumberFormat="1" applyFont="1" applyFill="1" applyBorder="1"/>
    <xf numFmtId="0" fontId="3" fillId="3" borderId="5" xfId="0" applyFont="1" applyFill="1" applyBorder="1"/>
    <xf numFmtId="6" fontId="3" fillId="3" borderId="6" xfId="0" applyNumberFormat="1" applyFont="1" applyFill="1" applyBorder="1"/>
    <xf numFmtId="0" fontId="3" fillId="3" borderId="7" xfId="0" applyFont="1" applyFill="1" applyBorder="1"/>
    <xf numFmtId="44" fontId="3" fillId="3" borderId="10" xfId="1" applyFont="1" applyFill="1" applyBorder="1"/>
    <xf numFmtId="0" fontId="3" fillId="2" borderId="0" xfId="0" applyFont="1" applyFill="1"/>
    <xf numFmtId="3" fontId="3" fillId="2" borderId="0" xfId="0" applyNumberFormat="1" applyFont="1" applyFill="1"/>
    <xf numFmtId="164" fontId="2" fillId="2" borderId="0" xfId="1" applyNumberFormat="1" applyFont="1" applyFill="1"/>
    <xf numFmtId="0" fontId="2" fillId="4" borderId="1" xfId="0" applyFont="1" applyFill="1" applyBorder="1"/>
    <xf numFmtId="6" fontId="3" fillId="2" borderId="0" xfId="0" applyNumberFormat="1" applyFont="1" applyFill="1"/>
    <xf numFmtId="0" fontId="2" fillId="4" borderId="7" xfId="0" applyFont="1" applyFill="1" applyBorder="1"/>
    <xf numFmtId="44" fontId="2" fillId="2" borderId="0" xfId="0" applyNumberFormat="1" applyFont="1" applyFill="1"/>
    <xf numFmtId="3" fontId="2" fillId="2" borderId="0" xfId="0" applyNumberFormat="1" applyFont="1" applyFill="1"/>
    <xf numFmtId="9" fontId="2" fillId="2" borderId="0" xfId="2" applyFont="1" applyFill="1" applyBorder="1"/>
    <xf numFmtId="17" fontId="2" fillId="2" borderId="11" xfId="0" applyNumberFormat="1" applyFont="1" applyFill="1" applyBorder="1" applyAlignment="1">
      <alignment horizontal="center"/>
    </xf>
    <xf numFmtId="14" fontId="3" fillId="2" borderId="12" xfId="0" applyNumberFormat="1" applyFont="1" applyFill="1" applyBorder="1" applyAlignment="1">
      <alignment horizontal="center"/>
    </xf>
    <xf numFmtId="14" fontId="3" fillId="2" borderId="13" xfId="0" applyNumberFormat="1" applyFont="1" applyFill="1" applyBorder="1" applyAlignment="1">
      <alignment horizontal="center"/>
    </xf>
    <xf numFmtId="14" fontId="3" fillId="2" borderId="14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3" fontId="2" fillId="3" borderId="13" xfId="0" applyNumberFormat="1" applyFont="1" applyFill="1" applyBorder="1" applyAlignment="1">
      <alignment horizontal="center"/>
    </xf>
    <xf numFmtId="3" fontId="2" fillId="3" borderId="14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3" fontId="2" fillId="3" borderId="12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6" fontId="3" fillId="3" borderId="0" xfId="0" applyNumberFormat="1" applyFont="1" applyFill="1" applyAlignment="1">
      <alignment horizontal="center"/>
    </xf>
    <xf numFmtId="6" fontId="3" fillId="3" borderId="15" xfId="0" applyNumberFormat="1" applyFont="1" applyFill="1" applyBorder="1" applyAlignment="1">
      <alignment horizontal="center"/>
    </xf>
    <xf numFmtId="6" fontId="3" fillId="3" borderId="1" xfId="0" applyNumberFormat="1" applyFont="1" applyFill="1" applyBorder="1" applyAlignment="1">
      <alignment horizontal="center"/>
    </xf>
    <xf numFmtId="6" fontId="3" fillId="3" borderId="3" xfId="0" applyNumberFormat="1" applyFont="1" applyFill="1" applyBorder="1" applyAlignment="1">
      <alignment horizontal="center"/>
    </xf>
    <xf numFmtId="6" fontId="3" fillId="3" borderId="4" xfId="0" applyNumberFormat="1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8" fontId="3" fillId="3" borderId="8" xfId="0" applyNumberFormat="1" applyFont="1" applyFill="1" applyBorder="1" applyAlignment="1">
      <alignment horizontal="center"/>
    </xf>
    <xf numFmtId="8" fontId="3" fillId="3" borderId="9" xfId="0" applyNumberFormat="1" applyFont="1" applyFill="1" applyBorder="1" applyAlignment="1">
      <alignment horizontal="center"/>
    </xf>
    <xf numFmtId="8" fontId="3" fillId="3" borderId="7" xfId="0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3" fillId="5" borderId="1" xfId="0" applyFont="1" applyFill="1" applyBorder="1"/>
    <xf numFmtId="3" fontId="3" fillId="5" borderId="4" xfId="0" applyNumberFormat="1" applyFont="1" applyFill="1" applyBorder="1"/>
    <xf numFmtId="0" fontId="3" fillId="5" borderId="3" xfId="0" applyFont="1" applyFill="1" applyBorder="1"/>
    <xf numFmtId="0" fontId="3" fillId="5" borderId="5" xfId="0" applyFont="1" applyFill="1" applyBorder="1"/>
    <xf numFmtId="6" fontId="3" fillId="5" borderId="15" xfId="0" applyNumberFormat="1" applyFont="1" applyFill="1" applyBorder="1"/>
    <xf numFmtId="0" fontId="2" fillId="5" borderId="5" xfId="0" applyFont="1" applyFill="1" applyBorder="1"/>
    <xf numFmtId="0" fontId="3" fillId="5" borderId="0" xfId="0" applyFont="1" applyFill="1"/>
    <xf numFmtId="0" fontId="3" fillId="5" borderId="7" xfId="0" applyFont="1" applyFill="1" applyBorder="1"/>
    <xf numFmtId="8" fontId="3" fillId="5" borderId="9" xfId="0" applyNumberFormat="1" applyFont="1" applyFill="1" applyBorder="1"/>
    <xf numFmtId="0" fontId="2" fillId="5" borderId="7" xfId="0" applyFont="1" applyFill="1" applyBorder="1"/>
    <xf numFmtId="0" fontId="3" fillId="5" borderId="8" xfId="0" applyFont="1" applyFill="1" applyBorder="1"/>
    <xf numFmtId="0" fontId="3" fillId="2" borderId="1" xfId="0" applyFont="1" applyFill="1" applyBorder="1"/>
    <xf numFmtId="3" fontId="3" fillId="2" borderId="3" xfId="0" applyNumberFormat="1" applyFont="1" applyFill="1" applyBorder="1"/>
    <xf numFmtId="9" fontId="3" fillId="2" borderId="4" xfId="0" applyNumberFormat="1" applyFont="1" applyFill="1" applyBorder="1"/>
    <xf numFmtId="0" fontId="3" fillId="2" borderId="12" xfId="0" applyFont="1" applyFill="1" applyBorder="1"/>
    <xf numFmtId="3" fontId="3" fillId="2" borderId="14" xfId="0" applyNumberFormat="1" applyFont="1" applyFill="1" applyBorder="1"/>
    <xf numFmtId="0" fontId="3" fillId="2" borderId="7" xfId="0" applyFont="1" applyFill="1" applyBorder="1"/>
    <xf numFmtId="3" fontId="3" fillId="2" borderId="8" xfId="0" applyNumberFormat="1" applyFont="1" applyFill="1" applyBorder="1"/>
    <xf numFmtId="9" fontId="3" fillId="2" borderId="9" xfId="0" applyNumberFormat="1" applyFont="1" applyFill="1" applyBorder="1"/>
    <xf numFmtId="14" fontId="3" fillId="2" borderId="7" xfId="0" applyNumberFormat="1" applyFont="1" applyFill="1" applyBorder="1"/>
    <xf numFmtId="3" fontId="3" fillId="2" borderId="0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14" fontId="3" fillId="2" borderId="4" xfId="0" applyNumberFormat="1" applyFont="1" applyFill="1" applyBorder="1" applyAlignment="1">
      <alignment horizontal="center"/>
    </xf>
    <xf numFmtId="3" fontId="3" fillId="2" borderId="0" xfId="0" applyNumberFormat="1" applyFont="1" applyFill="1" applyBorder="1"/>
    <xf numFmtId="6" fontId="3" fillId="2" borderId="0" xfId="0" applyNumberFormat="1" applyFont="1" applyFill="1" applyBorder="1"/>
    <xf numFmtId="8" fontId="3" fillId="2" borderId="0" xfId="0" applyNumberFormat="1" applyFont="1" applyFill="1" applyBorder="1"/>
    <xf numFmtId="3" fontId="2" fillId="4" borderId="4" xfId="0" applyNumberFormat="1" applyFont="1" applyFill="1" applyBorder="1"/>
    <xf numFmtId="3" fontId="2" fillId="4" borderId="9" xfId="0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1B5F-49A4-CA4B-A7A7-C8A9F5858E80}">
  <dimension ref="B1:AI81"/>
  <sheetViews>
    <sheetView tabSelected="1" workbookViewId="0">
      <selection activeCell="A36" sqref="A36"/>
    </sheetView>
  </sheetViews>
  <sheetFormatPr defaultColWidth="10.77734375" defaultRowHeight="20.25"/>
  <cols>
    <col min="1" max="2" width="10.77734375" style="50"/>
    <col min="3" max="3" width="28.77734375" style="50" customWidth="1"/>
    <col min="4" max="4" width="16.33203125" style="50" customWidth="1"/>
    <col min="5" max="5" width="18.44140625" style="50" customWidth="1"/>
    <col min="6" max="6" width="19.33203125" style="50" customWidth="1"/>
    <col min="7" max="7" width="23" style="50" customWidth="1"/>
    <col min="8" max="8" width="21.33203125" style="50" customWidth="1"/>
    <col min="9" max="9" width="24.33203125" style="50" customWidth="1"/>
    <col min="10" max="10" width="16.77734375" style="50" customWidth="1"/>
    <col min="11" max="11" width="13" style="50" customWidth="1"/>
    <col min="12" max="12" width="7.109375" style="50" hidden="1" customWidth="1"/>
    <col min="13" max="13" width="21.109375" style="50" customWidth="1"/>
    <col min="14" max="14" width="19.33203125" style="50" customWidth="1"/>
    <col min="15" max="15" width="20.44140625" style="50" customWidth="1"/>
    <col min="16" max="16" width="19.6640625" style="50" customWidth="1"/>
    <col min="17" max="17" width="18.109375" style="50" customWidth="1"/>
    <col min="18" max="18" width="20.33203125" style="50" customWidth="1"/>
    <col min="19" max="19" width="17.109375" style="50" customWidth="1"/>
    <col min="20" max="20" width="10.77734375" style="1"/>
    <col min="21" max="21" width="20.44140625" style="50" customWidth="1"/>
    <col min="22" max="22" width="19.33203125" style="50" customWidth="1"/>
    <col min="23" max="27" width="18.44140625" style="50" customWidth="1"/>
    <col min="28" max="28" width="10.77734375" style="1"/>
    <col min="29" max="29" width="16.77734375" style="1" customWidth="1"/>
    <col min="30" max="30" width="19" style="1" customWidth="1"/>
    <col min="31" max="31" width="19" style="50" customWidth="1"/>
    <col min="32" max="32" width="20" style="50" customWidth="1"/>
    <col min="33" max="33" width="16" style="50" customWidth="1"/>
    <col min="34" max="34" width="19.44140625" style="50" customWidth="1"/>
    <col min="35" max="16384" width="10.77734375" style="50"/>
  </cols>
  <sheetData>
    <row r="1" spans="3:31" s="1" customFormat="1"/>
    <row r="2" spans="3:31" s="1" customFormat="1"/>
    <row r="3" spans="3:31" s="1" customFormat="1">
      <c r="W3" s="18"/>
    </row>
    <row r="4" spans="3:31" s="1" customFormat="1" ht="21" thickBot="1">
      <c r="C4" s="2" t="s">
        <v>18</v>
      </c>
      <c r="F4" s="3"/>
      <c r="G4" s="1" t="s">
        <v>0</v>
      </c>
      <c r="H4" s="18"/>
      <c r="O4" s="18"/>
    </row>
    <row r="5" spans="3:31" s="1" customFormat="1">
      <c r="C5" s="5" t="s">
        <v>1</v>
      </c>
      <c r="D5" s="6">
        <v>7800000</v>
      </c>
      <c r="E5" s="1" t="s">
        <v>0</v>
      </c>
      <c r="F5" s="18" t="s">
        <v>0</v>
      </c>
    </row>
    <row r="6" spans="3:31" s="1" customFormat="1">
      <c r="C6" s="7" t="s">
        <v>2</v>
      </c>
      <c r="D6" s="8">
        <v>125000</v>
      </c>
    </row>
    <row r="7" spans="3:31" s="1" customFormat="1" ht="21" thickBot="1">
      <c r="C7" s="9" t="s">
        <v>3</v>
      </c>
      <c r="D7" s="10">
        <f>D6/D5*1000</f>
        <v>16.025641025641026</v>
      </c>
    </row>
    <row r="8" spans="3:31" s="1" customFormat="1"/>
    <row r="9" spans="3:31" s="1" customFormat="1">
      <c r="C9"/>
      <c r="D9"/>
      <c r="E9"/>
      <c r="I9" s="11"/>
    </row>
    <row r="10" spans="3:31" s="1" customFormat="1" ht="21" thickBot="1">
      <c r="D10" s="4"/>
      <c r="E10" s="4"/>
      <c r="G10" s="1">
        <v>7</v>
      </c>
      <c r="I10" s="12"/>
      <c r="S10" s="13" t="s">
        <v>0</v>
      </c>
    </row>
    <row r="11" spans="3:31" s="1" customFormat="1">
      <c r="C11" s="14" t="s">
        <v>26</v>
      </c>
      <c r="D11" s="79">
        <v>2375000</v>
      </c>
      <c r="E11" s="19"/>
      <c r="I11" s="15"/>
      <c r="S11" s="13" t="s">
        <v>0</v>
      </c>
    </row>
    <row r="12" spans="3:31" s="1" customFormat="1" ht="21" thickBot="1">
      <c r="C12" s="16" t="s">
        <v>27</v>
      </c>
      <c r="D12" s="80">
        <f>D5-D11</f>
        <v>5425000</v>
      </c>
      <c r="E12" s="19"/>
      <c r="I12" s="15"/>
      <c r="O12" s="1" t="s">
        <v>0</v>
      </c>
      <c r="S12" s="13"/>
    </row>
    <row r="13" spans="3:31" s="1" customFormat="1">
      <c r="I13" s="15"/>
      <c r="S13" s="13"/>
    </row>
    <row r="14" spans="3:31" s="1" customFormat="1">
      <c r="I14" s="15"/>
      <c r="S14" s="13"/>
    </row>
    <row r="15" spans="3:31" s="1" customFormat="1">
      <c r="I15" s="15"/>
      <c r="S15" s="13"/>
    </row>
    <row r="16" spans="3:31" s="1" customFormat="1" ht="21" thickBot="1">
      <c r="C16" s="13" t="s">
        <v>19</v>
      </c>
      <c r="D16" s="17"/>
      <c r="M16" s="1" t="s">
        <v>16</v>
      </c>
      <c r="N16" s="18"/>
      <c r="O16" s="19"/>
      <c r="U16" s="1" t="s">
        <v>20</v>
      </c>
      <c r="AC16" s="1" t="s">
        <v>21</v>
      </c>
      <c r="AD16" s="18"/>
      <c r="AE16" s="19"/>
    </row>
    <row r="17" spans="3:35" s="3" customFormat="1" ht="21" thickBot="1">
      <c r="C17" s="20">
        <v>46054</v>
      </c>
      <c r="D17" s="21">
        <v>46055</v>
      </c>
      <c r="E17" s="22">
        <v>46056</v>
      </c>
      <c r="F17" s="22">
        <v>46057</v>
      </c>
      <c r="G17" s="22">
        <v>46058</v>
      </c>
      <c r="H17" s="22">
        <v>46059</v>
      </c>
      <c r="I17" s="22">
        <v>46060</v>
      </c>
      <c r="J17" s="23">
        <v>46061</v>
      </c>
      <c r="M17" s="21">
        <v>46062</v>
      </c>
      <c r="N17" s="22">
        <v>46063</v>
      </c>
      <c r="O17" s="22">
        <v>46064</v>
      </c>
      <c r="P17" s="22">
        <v>46065</v>
      </c>
      <c r="Q17" s="22">
        <v>46066</v>
      </c>
      <c r="R17" s="22">
        <v>46067</v>
      </c>
      <c r="S17" s="23">
        <v>46068</v>
      </c>
      <c r="U17" s="73">
        <v>46069</v>
      </c>
      <c r="V17" s="74">
        <v>46070</v>
      </c>
      <c r="W17" s="74">
        <v>46071</v>
      </c>
      <c r="X17" s="74">
        <v>46072</v>
      </c>
      <c r="Y17" s="74">
        <v>46073</v>
      </c>
      <c r="Z17" s="74">
        <v>46074</v>
      </c>
      <c r="AA17" s="75">
        <v>46075</v>
      </c>
      <c r="AC17" s="21">
        <v>46076</v>
      </c>
      <c r="AD17" s="22">
        <v>46077</v>
      </c>
      <c r="AE17" s="22">
        <v>46078</v>
      </c>
      <c r="AF17" s="22">
        <v>46079</v>
      </c>
      <c r="AG17" s="22">
        <v>46080</v>
      </c>
      <c r="AH17" s="23">
        <v>46081</v>
      </c>
    </row>
    <row r="18" spans="3:35" s="3" customFormat="1" ht="21" thickBot="1">
      <c r="C18" s="24" t="s">
        <v>4</v>
      </c>
      <c r="D18" s="25" t="s">
        <v>5</v>
      </c>
      <c r="E18" s="26" t="s">
        <v>5</v>
      </c>
      <c r="F18" s="26" t="s">
        <v>5</v>
      </c>
      <c r="G18" s="26" t="s">
        <v>5</v>
      </c>
      <c r="H18" s="26" t="s">
        <v>5</v>
      </c>
      <c r="I18" s="26" t="s">
        <v>5</v>
      </c>
      <c r="J18" s="27" t="s">
        <v>5</v>
      </c>
      <c r="M18" s="25" t="s">
        <v>5</v>
      </c>
      <c r="N18" s="26" t="s">
        <v>5</v>
      </c>
      <c r="O18" s="26" t="s">
        <v>5</v>
      </c>
      <c r="P18" s="26" t="s">
        <v>5</v>
      </c>
      <c r="Q18" s="26" t="s">
        <v>5</v>
      </c>
      <c r="R18" s="26" t="s">
        <v>5</v>
      </c>
      <c r="S18" s="27" t="s">
        <v>5</v>
      </c>
      <c r="U18" s="25" t="s">
        <v>5</v>
      </c>
      <c r="V18" s="26" t="s">
        <v>5</v>
      </c>
      <c r="W18" s="26" t="s">
        <v>5</v>
      </c>
      <c r="X18" s="26" t="str">
        <f>W18</f>
        <v>Impressions</v>
      </c>
      <c r="Y18" s="26" t="str">
        <f>W18</f>
        <v>Impressions</v>
      </c>
      <c r="Z18" s="26" t="str">
        <f>Y18</f>
        <v>Impressions</v>
      </c>
      <c r="AA18" s="27" t="str">
        <f>Z18</f>
        <v>Impressions</v>
      </c>
      <c r="AC18" s="25" t="s">
        <v>5</v>
      </c>
      <c r="AD18" s="26" t="s">
        <v>5</v>
      </c>
      <c r="AE18" s="26" t="s">
        <v>5</v>
      </c>
      <c r="AF18" s="26" t="s">
        <v>5</v>
      </c>
      <c r="AG18" s="26" t="s">
        <v>5</v>
      </c>
      <c r="AH18" s="27" t="s">
        <v>5</v>
      </c>
    </row>
    <row r="19" spans="3:35" s="3" customFormat="1">
      <c r="C19" s="28" t="s">
        <v>6</v>
      </c>
      <c r="D19" s="29">
        <v>50000</v>
      </c>
      <c r="E19" s="29">
        <v>50000</v>
      </c>
      <c r="F19" s="29">
        <v>50000</v>
      </c>
      <c r="G19" s="29">
        <v>200000</v>
      </c>
      <c r="H19" s="29">
        <v>200000</v>
      </c>
      <c r="I19" s="29">
        <v>200000</v>
      </c>
      <c r="J19" s="30">
        <v>200000</v>
      </c>
      <c r="M19" s="31">
        <v>5000</v>
      </c>
      <c r="N19" s="29">
        <v>5000</v>
      </c>
      <c r="O19" s="29">
        <v>5000</v>
      </c>
      <c r="P19" s="29">
        <v>20000</v>
      </c>
      <c r="Q19" s="29">
        <v>20000</v>
      </c>
      <c r="R19" s="29">
        <v>20000</v>
      </c>
      <c r="S19" s="30">
        <v>20000</v>
      </c>
      <c r="U19" s="31">
        <v>50000</v>
      </c>
      <c r="V19" s="72">
        <v>50000</v>
      </c>
      <c r="W19" s="72">
        <v>50000</v>
      </c>
      <c r="X19" s="72">
        <v>150000</v>
      </c>
      <c r="Y19" s="72">
        <v>150000</v>
      </c>
      <c r="Z19" s="72">
        <v>150000</v>
      </c>
      <c r="AA19" s="30">
        <v>150000</v>
      </c>
      <c r="AC19" s="31" t="s">
        <v>24</v>
      </c>
      <c r="AD19" s="72">
        <v>10000</v>
      </c>
      <c r="AE19" s="72">
        <v>10000</v>
      </c>
      <c r="AF19" s="72">
        <v>60000</v>
      </c>
      <c r="AG19" s="72">
        <v>60000</v>
      </c>
      <c r="AH19" s="30">
        <v>60000</v>
      </c>
    </row>
    <row r="20" spans="3:35" s="3" customFormat="1">
      <c r="C20" s="28" t="s">
        <v>7</v>
      </c>
      <c r="D20" s="29">
        <v>30000</v>
      </c>
      <c r="E20" s="29">
        <v>30000</v>
      </c>
      <c r="F20" s="29">
        <v>30000</v>
      </c>
      <c r="G20" s="29">
        <v>120000</v>
      </c>
      <c r="H20" s="29">
        <v>120000</v>
      </c>
      <c r="I20" s="29">
        <v>120000</v>
      </c>
      <c r="J20" s="30">
        <v>120000</v>
      </c>
      <c r="M20" s="31">
        <v>5000</v>
      </c>
      <c r="N20" s="29">
        <v>5000</v>
      </c>
      <c r="O20" s="29">
        <v>5000</v>
      </c>
      <c r="P20" s="29">
        <v>20000</v>
      </c>
      <c r="Q20" s="29">
        <v>20000</v>
      </c>
      <c r="R20" s="29">
        <v>20000</v>
      </c>
      <c r="S20" s="30">
        <v>20000</v>
      </c>
      <c r="U20" s="31">
        <v>25000</v>
      </c>
      <c r="V20" s="72">
        <v>25000</v>
      </c>
      <c r="W20" s="72">
        <v>25000</v>
      </c>
      <c r="X20" s="72">
        <v>100000</v>
      </c>
      <c r="Y20" s="72">
        <v>100000</v>
      </c>
      <c r="Z20" s="72">
        <v>100000</v>
      </c>
      <c r="AA20" s="30">
        <v>100000</v>
      </c>
      <c r="AC20" s="31">
        <v>5000</v>
      </c>
      <c r="AD20" s="72">
        <v>5000</v>
      </c>
      <c r="AE20" s="72">
        <v>5000</v>
      </c>
      <c r="AF20" s="72">
        <v>20000</v>
      </c>
      <c r="AG20" s="72">
        <v>20000</v>
      </c>
      <c r="AH20" s="30">
        <v>20000</v>
      </c>
    </row>
    <row r="21" spans="3:35" s="3" customFormat="1">
      <c r="C21" s="28" t="s">
        <v>8</v>
      </c>
      <c r="D21" s="29">
        <v>5000</v>
      </c>
      <c r="E21" s="29">
        <v>5000</v>
      </c>
      <c r="F21" s="29">
        <v>5000</v>
      </c>
      <c r="G21" s="29">
        <v>20000</v>
      </c>
      <c r="H21" s="29">
        <v>20000</v>
      </c>
      <c r="I21" s="29">
        <v>20000</v>
      </c>
      <c r="J21" s="30">
        <v>20000</v>
      </c>
      <c r="M21" s="31">
        <v>5000</v>
      </c>
      <c r="N21" s="29">
        <v>5000</v>
      </c>
      <c r="O21" s="29">
        <v>5000</v>
      </c>
      <c r="P21" s="29">
        <v>20000</v>
      </c>
      <c r="Q21" s="29">
        <v>20000</v>
      </c>
      <c r="R21" s="29">
        <v>20000</v>
      </c>
      <c r="S21" s="30">
        <v>20000</v>
      </c>
      <c r="U21" s="31">
        <v>10000</v>
      </c>
      <c r="V21" s="72">
        <v>10000</v>
      </c>
      <c r="W21" s="72">
        <v>10000</v>
      </c>
      <c r="X21" s="72">
        <v>40000</v>
      </c>
      <c r="Y21" s="72">
        <v>40000</v>
      </c>
      <c r="Z21" s="72">
        <v>40000</v>
      </c>
      <c r="AA21" s="30">
        <v>40000</v>
      </c>
      <c r="AC21" s="31">
        <v>5000</v>
      </c>
      <c r="AD21" s="72">
        <v>5000</v>
      </c>
      <c r="AE21" s="72">
        <v>5000</v>
      </c>
      <c r="AF21" s="72">
        <v>20000</v>
      </c>
      <c r="AG21" s="72">
        <v>20000</v>
      </c>
      <c r="AH21" s="30">
        <v>20000</v>
      </c>
    </row>
    <row r="22" spans="3:35" s="3" customFormat="1">
      <c r="C22" s="28" t="s">
        <v>9</v>
      </c>
      <c r="D22" s="29">
        <v>10000</v>
      </c>
      <c r="E22" s="29">
        <v>10000</v>
      </c>
      <c r="F22" s="29">
        <v>10000</v>
      </c>
      <c r="G22" s="29">
        <v>40000</v>
      </c>
      <c r="H22" s="29">
        <v>40000</v>
      </c>
      <c r="I22" s="29">
        <v>40000</v>
      </c>
      <c r="J22" s="30">
        <v>40000</v>
      </c>
      <c r="M22" s="31">
        <v>5000</v>
      </c>
      <c r="N22" s="29">
        <v>5000</v>
      </c>
      <c r="O22" s="29" t="s">
        <v>17</v>
      </c>
      <c r="P22" s="29">
        <v>20000</v>
      </c>
      <c r="Q22" s="29">
        <v>20000</v>
      </c>
      <c r="R22" s="29">
        <v>20000</v>
      </c>
      <c r="S22" s="30">
        <v>20000</v>
      </c>
      <c r="U22" s="31">
        <v>10000</v>
      </c>
      <c r="V22" s="72">
        <v>10000</v>
      </c>
      <c r="W22" s="72">
        <v>10000</v>
      </c>
      <c r="X22" s="72">
        <v>20000</v>
      </c>
      <c r="Y22" s="72">
        <v>20000</v>
      </c>
      <c r="Z22" s="72">
        <v>20000</v>
      </c>
      <c r="AA22" s="30">
        <v>20000</v>
      </c>
      <c r="AC22" s="31">
        <v>5000</v>
      </c>
      <c r="AD22" s="72">
        <v>5000</v>
      </c>
      <c r="AE22" s="72" t="s">
        <v>17</v>
      </c>
      <c r="AF22" s="72">
        <v>20000</v>
      </c>
      <c r="AG22" s="72">
        <v>20000</v>
      </c>
      <c r="AH22" s="30">
        <v>20000</v>
      </c>
    </row>
    <row r="23" spans="3:35" s="3" customFormat="1">
      <c r="C23" s="28" t="s">
        <v>10</v>
      </c>
      <c r="D23" s="29">
        <v>25000</v>
      </c>
      <c r="E23" s="29">
        <v>25000</v>
      </c>
      <c r="F23" s="29">
        <v>25000</v>
      </c>
      <c r="G23" s="29">
        <v>100000</v>
      </c>
      <c r="H23" s="29">
        <v>100000</v>
      </c>
      <c r="I23" s="29">
        <v>100000</v>
      </c>
      <c r="J23" s="30">
        <v>100000</v>
      </c>
      <c r="M23" s="31">
        <v>5000</v>
      </c>
      <c r="N23" s="29">
        <v>5000</v>
      </c>
      <c r="O23" s="29">
        <v>5000</v>
      </c>
      <c r="P23" s="29">
        <v>20000</v>
      </c>
      <c r="Q23" s="29">
        <v>20000</v>
      </c>
      <c r="R23" s="29">
        <v>20000</v>
      </c>
      <c r="S23" s="30">
        <v>20000</v>
      </c>
      <c r="U23" s="31">
        <v>5000</v>
      </c>
      <c r="V23" s="72">
        <v>5000</v>
      </c>
      <c r="W23" s="72">
        <v>5000</v>
      </c>
      <c r="X23" s="72">
        <v>20000</v>
      </c>
      <c r="Y23" s="72">
        <v>20000</v>
      </c>
      <c r="Z23" s="72">
        <v>20000</v>
      </c>
      <c r="AA23" s="30">
        <v>20000</v>
      </c>
      <c r="AC23" s="31">
        <v>5000</v>
      </c>
      <c r="AD23" s="72">
        <v>5000</v>
      </c>
      <c r="AE23" s="72">
        <v>5000</v>
      </c>
      <c r="AF23" s="72">
        <v>20000</v>
      </c>
      <c r="AG23" s="72">
        <v>20000</v>
      </c>
      <c r="AH23" s="30">
        <v>20000</v>
      </c>
    </row>
    <row r="24" spans="3:35" s="3" customFormat="1">
      <c r="C24" s="28" t="s">
        <v>11</v>
      </c>
      <c r="D24" s="29">
        <v>25000</v>
      </c>
      <c r="E24" s="29">
        <v>25000</v>
      </c>
      <c r="F24" s="29">
        <v>25000</v>
      </c>
      <c r="G24" s="29">
        <v>100000</v>
      </c>
      <c r="H24" s="29">
        <v>100000</v>
      </c>
      <c r="I24" s="29">
        <v>100000</v>
      </c>
      <c r="J24" s="30">
        <v>100000</v>
      </c>
      <c r="M24" s="31">
        <v>5000</v>
      </c>
      <c r="N24" s="29">
        <v>5000</v>
      </c>
      <c r="O24" s="29">
        <v>5000</v>
      </c>
      <c r="P24" s="29">
        <v>20000</v>
      </c>
      <c r="Q24" s="29">
        <v>20000</v>
      </c>
      <c r="R24" s="29">
        <v>20000</v>
      </c>
      <c r="S24" s="30">
        <v>20000</v>
      </c>
      <c r="U24" s="31">
        <v>5000</v>
      </c>
      <c r="V24" s="72">
        <v>5000</v>
      </c>
      <c r="W24" s="72">
        <v>5000</v>
      </c>
      <c r="X24" s="72">
        <v>20000</v>
      </c>
      <c r="Y24" s="72">
        <v>20000</v>
      </c>
      <c r="Z24" s="72">
        <v>20000</v>
      </c>
      <c r="AA24" s="30">
        <v>20000</v>
      </c>
      <c r="AC24" s="31">
        <v>5000</v>
      </c>
      <c r="AD24" s="72">
        <v>5000</v>
      </c>
      <c r="AE24" s="72">
        <v>5000</v>
      </c>
      <c r="AF24" s="72">
        <v>20000</v>
      </c>
      <c r="AG24" s="72">
        <v>20000</v>
      </c>
      <c r="AH24" s="30">
        <v>20000</v>
      </c>
    </row>
    <row r="25" spans="3:35" s="3" customFormat="1" ht="21" thickBot="1">
      <c r="C25" s="28" t="s">
        <v>12</v>
      </c>
      <c r="D25" s="29">
        <v>70000</v>
      </c>
      <c r="E25" s="29">
        <v>70000</v>
      </c>
      <c r="F25" s="29">
        <v>70000</v>
      </c>
      <c r="G25" s="29">
        <v>280000</v>
      </c>
      <c r="H25" s="29">
        <v>280000</v>
      </c>
      <c r="I25" s="29">
        <v>280000</v>
      </c>
      <c r="J25" s="30">
        <v>280000</v>
      </c>
      <c r="M25" s="31">
        <v>5000</v>
      </c>
      <c r="N25" s="29">
        <v>5000</v>
      </c>
      <c r="O25" s="29">
        <v>5000</v>
      </c>
      <c r="P25" s="29">
        <v>20000</v>
      </c>
      <c r="Q25" s="29">
        <v>20000</v>
      </c>
      <c r="R25" s="29">
        <v>20000</v>
      </c>
      <c r="S25" s="30">
        <v>20000</v>
      </c>
      <c r="U25" s="31">
        <v>25000</v>
      </c>
      <c r="V25" s="72">
        <v>25000</v>
      </c>
      <c r="W25" s="72">
        <v>25000</v>
      </c>
      <c r="X25" s="72">
        <v>200000</v>
      </c>
      <c r="Y25" s="72">
        <v>200000</v>
      </c>
      <c r="Z25" s="72">
        <v>200000</v>
      </c>
      <c r="AA25" s="30">
        <v>200000</v>
      </c>
      <c r="AC25" s="31">
        <v>5000</v>
      </c>
      <c r="AD25" s="72">
        <v>5000</v>
      </c>
      <c r="AE25" s="72">
        <v>5000</v>
      </c>
      <c r="AF25" s="72">
        <v>20000</v>
      </c>
      <c r="AG25" s="72">
        <v>20000</v>
      </c>
      <c r="AH25" s="30">
        <v>20000</v>
      </c>
    </row>
    <row r="26" spans="3:35" s="3" customFormat="1" ht="21" thickBot="1">
      <c r="C26" s="32" t="s">
        <v>13</v>
      </c>
      <c r="D26" s="33">
        <f t="shared" ref="D26:J26" si="0">SUM(D19:D25)</f>
        <v>215000</v>
      </c>
      <c r="E26" s="33">
        <f t="shared" si="0"/>
        <v>215000</v>
      </c>
      <c r="F26" s="33">
        <f t="shared" si="0"/>
        <v>215000</v>
      </c>
      <c r="G26" s="33">
        <f t="shared" si="0"/>
        <v>860000</v>
      </c>
      <c r="H26" s="33">
        <f t="shared" si="0"/>
        <v>860000</v>
      </c>
      <c r="I26" s="33">
        <f t="shared" si="0"/>
        <v>860000</v>
      </c>
      <c r="J26" s="34">
        <f t="shared" si="0"/>
        <v>860000</v>
      </c>
      <c r="M26" s="35">
        <f t="shared" ref="M26:S26" si="1">SUM(M19:M25)</f>
        <v>35000</v>
      </c>
      <c r="N26" s="36">
        <f t="shared" si="1"/>
        <v>35000</v>
      </c>
      <c r="O26" s="36">
        <f t="shared" si="1"/>
        <v>30000</v>
      </c>
      <c r="P26" s="36">
        <f t="shared" si="1"/>
        <v>140000</v>
      </c>
      <c r="Q26" s="36">
        <f t="shared" si="1"/>
        <v>140000</v>
      </c>
      <c r="R26" s="36">
        <f t="shared" si="1"/>
        <v>140000</v>
      </c>
      <c r="S26" s="37">
        <f t="shared" si="1"/>
        <v>140000</v>
      </c>
      <c r="T26" s="3" t="s">
        <v>0</v>
      </c>
      <c r="U26" s="38">
        <f t="shared" ref="U26:AA26" si="2">SUM(U19:U25)</f>
        <v>130000</v>
      </c>
      <c r="V26" s="33">
        <f t="shared" si="2"/>
        <v>130000</v>
      </c>
      <c r="W26" s="33">
        <f t="shared" si="2"/>
        <v>130000</v>
      </c>
      <c r="X26" s="33">
        <f t="shared" si="2"/>
        <v>550000</v>
      </c>
      <c r="Y26" s="33">
        <f t="shared" si="2"/>
        <v>550000</v>
      </c>
      <c r="Z26" s="33">
        <f t="shared" si="2"/>
        <v>550000</v>
      </c>
      <c r="AA26" s="34">
        <f t="shared" si="2"/>
        <v>550000</v>
      </c>
      <c r="AC26" s="35">
        <f>SUM(AC19:AC25)</f>
        <v>30000</v>
      </c>
      <c r="AD26" s="36">
        <f>SUM(AD19:AD25)</f>
        <v>40000</v>
      </c>
      <c r="AE26" s="36">
        <v>45000</v>
      </c>
      <c r="AF26" s="36">
        <f>SUM(AF19:AF25)</f>
        <v>180000</v>
      </c>
      <c r="AG26" s="36">
        <f>SUM(AG19:AG25)</f>
        <v>180000</v>
      </c>
      <c r="AH26" s="37">
        <f>SUM(AH19:AH25)</f>
        <v>180000</v>
      </c>
    </row>
    <row r="27" spans="3:35" s="3" customFormat="1">
      <c r="C27" s="39" t="s">
        <v>14</v>
      </c>
      <c r="D27" s="40">
        <v>6250</v>
      </c>
      <c r="E27" s="40">
        <v>6250</v>
      </c>
      <c r="F27" s="40">
        <v>6250</v>
      </c>
      <c r="G27" s="40">
        <v>14062</v>
      </c>
      <c r="H27" s="40">
        <f>G27</f>
        <v>14062</v>
      </c>
      <c r="I27" s="40">
        <f>H27</f>
        <v>14062</v>
      </c>
      <c r="J27" s="41">
        <f>I27</f>
        <v>14062</v>
      </c>
      <c r="M27" s="42">
        <v>1041</v>
      </c>
      <c r="N27" s="43">
        <v>1041</v>
      </c>
      <c r="O27" s="43">
        <v>1041</v>
      </c>
      <c r="P27" s="43">
        <v>2343</v>
      </c>
      <c r="Q27" s="43">
        <v>2343</v>
      </c>
      <c r="R27" s="43">
        <f t="shared" ref="Q27:S28" si="3">Q27</f>
        <v>2343</v>
      </c>
      <c r="S27" s="44">
        <f t="shared" si="3"/>
        <v>2343</v>
      </c>
      <c r="U27" s="42">
        <v>1875</v>
      </c>
      <c r="V27" s="43">
        <v>1875</v>
      </c>
      <c r="W27" s="43">
        <v>1875</v>
      </c>
      <c r="X27" s="43">
        <v>4687</v>
      </c>
      <c r="Y27" s="43">
        <v>4687</v>
      </c>
      <c r="Z27" s="43">
        <v>4687</v>
      </c>
      <c r="AA27" s="44">
        <v>4687</v>
      </c>
      <c r="AC27" s="42">
        <v>1041</v>
      </c>
      <c r="AD27" s="43">
        <v>1041</v>
      </c>
      <c r="AE27" s="43">
        <v>1041</v>
      </c>
      <c r="AF27" s="43">
        <v>3125</v>
      </c>
      <c r="AG27" s="43">
        <v>3125</v>
      </c>
      <c r="AH27" s="44">
        <v>3125</v>
      </c>
    </row>
    <row r="28" spans="3:35" s="3" customFormat="1" ht="21" thickBot="1">
      <c r="C28" s="45" t="s">
        <v>15</v>
      </c>
      <c r="D28" s="46">
        <v>15.68</v>
      </c>
      <c r="E28" s="46">
        <v>15.68</v>
      </c>
      <c r="F28" s="46">
        <v>15.68</v>
      </c>
      <c r="G28" s="46">
        <v>14.08</v>
      </c>
      <c r="H28" s="46">
        <v>14.08</v>
      </c>
      <c r="I28" s="46">
        <v>14.08</v>
      </c>
      <c r="J28" s="47">
        <v>14.08</v>
      </c>
      <c r="M28" s="48">
        <v>16.78</v>
      </c>
      <c r="N28" s="46">
        <v>16.78</v>
      </c>
      <c r="O28" s="46">
        <v>16.78</v>
      </c>
      <c r="P28" s="46">
        <f>P27/P26*1000</f>
        <v>16.735714285714284</v>
      </c>
      <c r="Q28" s="46">
        <f t="shared" si="3"/>
        <v>16.735714285714284</v>
      </c>
      <c r="R28" s="46">
        <f t="shared" si="3"/>
        <v>16.735714285714284</v>
      </c>
      <c r="S28" s="47">
        <f t="shared" si="3"/>
        <v>16.735714285714284</v>
      </c>
      <c r="U28" s="48">
        <f>U27/U26*1000</f>
        <v>14.423076923076923</v>
      </c>
      <c r="V28" s="46">
        <f t="shared" ref="V28:AA28" si="4">V27/V26*1000</f>
        <v>14.423076923076923</v>
      </c>
      <c r="W28" s="46">
        <f t="shared" si="4"/>
        <v>14.423076923076923</v>
      </c>
      <c r="X28" s="46">
        <f t="shared" si="4"/>
        <v>8.5218181818181833</v>
      </c>
      <c r="Y28" s="46">
        <f t="shared" si="4"/>
        <v>8.5218181818181833</v>
      </c>
      <c r="Z28" s="46">
        <f t="shared" si="4"/>
        <v>8.5218181818181833</v>
      </c>
      <c r="AA28" s="47">
        <f t="shared" si="4"/>
        <v>8.5218181818181833</v>
      </c>
      <c r="AC28" s="48">
        <v>16.78</v>
      </c>
      <c r="AD28" s="46">
        <v>16.78</v>
      </c>
      <c r="AE28" s="46">
        <v>16.78</v>
      </c>
      <c r="AF28" s="46">
        <f>AF27/AF26*1000</f>
        <v>17.361111111111111</v>
      </c>
      <c r="AG28" s="46">
        <f t="shared" ref="AG28:AH28" si="5">AF28</f>
        <v>17.361111111111111</v>
      </c>
      <c r="AH28" s="47">
        <f t="shared" si="5"/>
        <v>17.361111111111111</v>
      </c>
    </row>
    <row r="29" spans="3:35" s="3" customFormat="1">
      <c r="F29" s="29" t="s">
        <v>0</v>
      </c>
      <c r="J29" s="29">
        <f>D26+E26+F26+G26+H26+I26+J26</f>
        <v>4085000</v>
      </c>
      <c r="O29" s="29" t="s">
        <v>0</v>
      </c>
      <c r="S29" s="29">
        <f>M26+N26+O26+P26+Q26+R26+S26</f>
        <v>660000</v>
      </c>
      <c r="W29" s="49" t="s">
        <v>0</v>
      </c>
      <c r="X29" s="49"/>
      <c r="Y29" s="49"/>
      <c r="Z29" s="49"/>
      <c r="AA29" s="49"/>
      <c r="AE29" s="29" t="s">
        <v>0</v>
      </c>
    </row>
    <row r="30" spans="3:35" s="1" customFormat="1"/>
    <row r="31" spans="3:35" s="1" customFormat="1" ht="21" thickBot="1"/>
    <row r="32" spans="3:35">
      <c r="H32" s="51" t="s">
        <v>22</v>
      </c>
      <c r="I32" s="52" t="s">
        <v>1</v>
      </c>
      <c r="J32" s="53">
        <f>J29</f>
        <v>4085000</v>
      </c>
      <c r="Q32" s="51" t="s">
        <v>23</v>
      </c>
      <c r="R32" s="52" t="s">
        <v>1</v>
      </c>
      <c r="S32" s="53">
        <f>S29</f>
        <v>660000</v>
      </c>
      <c r="U32" s="52" t="s">
        <v>28</v>
      </c>
      <c r="V32" s="54" t="s">
        <v>1</v>
      </c>
      <c r="W32" s="53">
        <f>U26+V26+W26+X26+Y26+Z26+AA26</f>
        <v>2590000</v>
      </c>
      <c r="X32" s="76"/>
      <c r="Y32" s="76"/>
      <c r="Z32" s="76"/>
      <c r="AA32" s="76"/>
      <c r="AC32" s="52" t="s">
        <v>25</v>
      </c>
      <c r="AD32" s="54" t="s">
        <v>1</v>
      </c>
      <c r="AE32" s="53">
        <f>AC26+AD26+AE26+AF26+AG26+AH26+AI26</f>
        <v>655000</v>
      </c>
      <c r="AF32" s="1"/>
      <c r="AG32" s="1"/>
      <c r="AH32" s="1"/>
      <c r="AI32" s="1"/>
    </row>
    <row r="33" spans="2:35">
      <c r="B33" s="1"/>
      <c r="C33" s="1"/>
      <c r="D33" s="1"/>
      <c r="E33" s="1"/>
      <c r="F33" s="1"/>
      <c r="G33" s="1"/>
      <c r="H33" s="1"/>
      <c r="I33" s="55" t="s">
        <v>2</v>
      </c>
      <c r="J33" s="56">
        <v>75000</v>
      </c>
      <c r="K33" s="1"/>
      <c r="L33" s="1"/>
      <c r="M33" s="1"/>
      <c r="N33" s="1"/>
      <c r="O33" s="1"/>
      <c r="P33" s="1"/>
      <c r="Q33" s="1"/>
      <c r="R33" s="55" t="s">
        <v>2</v>
      </c>
      <c r="S33" s="56">
        <v>12500</v>
      </c>
      <c r="U33" s="57"/>
      <c r="V33" s="58" t="s">
        <v>2</v>
      </c>
      <c r="W33" s="56">
        <v>25000</v>
      </c>
      <c r="X33" s="77"/>
      <c r="Y33" s="77"/>
      <c r="Z33" s="77"/>
      <c r="AA33" s="77"/>
      <c r="AC33" s="57"/>
      <c r="AD33" s="58" t="s">
        <v>2</v>
      </c>
      <c r="AE33" s="56">
        <v>12500</v>
      </c>
      <c r="AF33" s="1"/>
      <c r="AG33" s="1"/>
      <c r="AH33" s="1"/>
      <c r="AI33" s="1"/>
    </row>
    <row r="34" spans="2:35" ht="21" thickBot="1">
      <c r="B34" s="1"/>
      <c r="C34" s="1"/>
      <c r="D34" s="1"/>
      <c r="E34" s="1"/>
      <c r="F34" s="1"/>
      <c r="G34" s="1"/>
      <c r="H34" s="1"/>
      <c r="I34" s="59" t="s">
        <v>3</v>
      </c>
      <c r="J34" s="60">
        <f>J33/J32*1000</f>
        <v>18.359853121175032</v>
      </c>
      <c r="K34" s="1"/>
      <c r="L34" s="1"/>
      <c r="M34" s="1"/>
      <c r="N34" s="1"/>
      <c r="O34" s="1"/>
      <c r="P34" s="1"/>
      <c r="Q34" s="1"/>
      <c r="R34" s="59" t="s">
        <v>3</v>
      </c>
      <c r="S34" s="60">
        <f>S33/S32*1000</f>
        <v>18.939393939393941</v>
      </c>
      <c r="U34" s="61"/>
      <c r="V34" s="62" t="s">
        <v>3</v>
      </c>
      <c r="W34" s="60">
        <f>W33/W32*1000</f>
        <v>9.6525096525096519</v>
      </c>
      <c r="X34" s="78"/>
      <c r="Y34" s="78"/>
      <c r="Z34" s="78"/>
      <c r="AA34" s="78"/>
      <c r="AC34" s="61"/>
      <c r="AD34" s="62" t="s">
        <v>3</v>
      </c>
      <c r="AE34" s="60">
        <f>AE33/AE32*1000</f>
        <v>19.083969465648856</v>
      </c>
      <c r="AF34" s="1"/>
      <c r="AG34" s="1"/>
      <c r="AH34" s="1"/>
      <c r="AI34" s="1"/>
    </row>
    <row r="35" spans="2:35" s="1" customFormat="1" ht="21" thickBot="1"/>
    <row r="36" spans="2:35" ht="21" thickBot="1">
      <c r="B36" s="1"/>
      <c r="C36" s="1"/>
      <c r="D36" s="1"/>
      <c r="E36" s="1"/>
      <c r="F36" s="1"/>
      <c r="G36" s="1"/>
      <c r="H36" s="63"/>
      <c r="I36" s="64"/>
      <c r="J36" s="65"/>
      <c r="K36" s="1"/>
      <c r="L36" s="1"/>
      <c r="M36" s="18" t="s">
        <v>0</v>
      </c>
      <c r="N36" s="1"/>
      <c r="O36" s="1"/>
      <c r="P36" s="1"/>
      <c r="Q36" s="63"/>
      <c r="R36" s="64"/>
      <c r="S36" s="65"/>
      <c r="U36" s="66"/>
      <c r="V36" s="67"/>
      <c r="W36" s="1"/>
      <c r="X36" s="1"/>
      <c r="Y36" s="1"/>
      <c r="Z36" s="1"/>
      <c r="AA36" s="1"/>
      <c r="AE36" s="1"/>
      <c r="AF36" s="1"/>
      <c r="AG36" s="1"/>
      <c r="AH36" s="1"/>
      <c r="AI36" s="1"/>
    </row>
    <row r="37" spans="2:35" ht="21" thickBot="1">
      <c r="B37" s="1"/>
      <c r="C37" s="1"/>
      <c r="D37" s="1"/>
      <c r="E37" s="1"/>
      <c r="F37" s="1"/>
      <c r="G37" s="1"/>
      <c r="H37" s="68"/>
      <c r="I37" s="69"/>
      <c r="J37" s="70"/>
      <c r="K37" s="1"/>
      <c r="L37" s="1"/>
      <c r="M37" s="1"/>
      <c r="N37" s="1"/>
      <c r="O37" s="1"/>
      <c r="P37" s="1"/>
      <c r="Q37" s="71"/>
      <c r="R37" s="69"/>
      <c r="S37" s="70"/>
      <c r="U37" s="1"/>
      <c r="V37" s="1"/>
      <c r="W37" s="1"/>
      <c r="X37" s="1"/>
      <c r="Y37" s="1"/>
      <c r="Z37" s="1"/>
      <c r="AA37" s="1"/>
    </row>
    <row r="38" spans="2:35" s="1" customFormat="1"/>
    <row r="39" spans="2:35" s="1" customFormat="1"/>
    <row r="40" spans="2:35" s="1" customFormat="1"/>
    <row r="41" spans="2:35" s="1" customFormat="1"/>
    <row r="42" spans="2:35" s="1" customFormat="1"/>
    <row r="43" spans="2:35" s="1" customFormat="1"/>
    <row r="44" spans="2:35" s="1" customFormat="1"/>
    <row r="45" spans="2:35" s="1" customFormat="1"/>
    <row r="46" spans="2:35" s="1" customFormat="1"/>
    <row r="47" spans="2:35" s="1" customFormat="1"/>
    <row r="48" spans="2:35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brian.maddox11@gmail.com</dc:creator>
  <cp:lastModifiedBy>tim.anderson@commissionkings.ag</cp:lastModifiedBy>
  <dcterms:created xsi:type="dcterms:W3CDTF">2026-03-23T21:34:35Z</dcterms:created>
  <dcterms:modified xsi:type="dcterms:W3CDTF">2026-03-25T19:54:55Z</dcterms:modified>
</cp:coreProperties>
</file>