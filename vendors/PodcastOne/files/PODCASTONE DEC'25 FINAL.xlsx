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422543DF-83FC-034F-B490-6F4380B4D40E}" xr6:coauthVersionLast="47" xr6:coauthVersionMax="47" xr10:uidLastSave="{00000000-0000-0000-0000-000000000000}"/>
  <bookViews>
    <workbookView xWindow="320" yWindow="500" windowWidth="28480" windowHeight="16080" firstSheet="3" activeTab="3" xr2:uid="{4E1800FA-9B83-DD4B-8480-ACB8B1ADF01F}"/>
  </bookViews>
  <sheets>
    <sheet name="Week 1-4 Control 12.1-12.31" sheetId="4" r:id="rId1"/>
    <sheet name="Week 1-4 Control GEO 12.1-12.31" sheetId="5" r:id="rId2"/>
    <sheet name="Week 1-4 Cont. Daily 12.1-12.31" sheetId="6" r:id="rId3"/>
    <sheet name="Week 1-4 Treat. 12.1-12.31" sheetId="7" r:id="rId4"/>
    <sheet name="Week 1-4 Treat. GEO 12.1-12.31" sheetId="8" r:id="rId5"/>
    <sheet name="Week 1-4 Treat. DLY 12.1-12.31" sheetId="9" r:id="rId6"/>
    <sheet name="WC Week 1-4 12.1-12.31" sheetId="1" r:id="rId7"/>
    <sheet name="WC Week 1-4 GEO 12.1-12.31" sheetId="2" r:id="rId8"/>
    <sheet name="WC Week 1-4 Daily 12.1-12.31" sheetId="3" r:id="rId9"/>
  </sheets>
  <definedNames>
    <definedName name="_xlnm._FilterDatabase" localSheetId="0" hidden="1">'Week 1-4 Control 12.1-12.31'!$A$5:$F$96</definedName>
    <definedName name="_xlnm._FilterDatabase" localSheetId="3" hidden="1">'Week 1-4 Treat. 12.1-12.31'!$A$5:$F$94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7" l="1"/>
  <c r="F97" i="4"/>
  <c r="F1048576" i="4"/>
  <c r="F37" i="9"/>
  <c r="E37" i="9"/>
  <c r="E19" i="8"/>
  <c r="F37" i="6"/>
  <c r="E37" i="6"/>
  <c r="E19" i="5"/>
  <c r="F37" i="3"/>
  <c r="E37" i="3"/>
  <c r="E23" i="2"/>
  <c r="F76" i="1"/>
</calcChain>
</file>

<file path=xl/sharedStrings.xml><?xml version="1.0" encoding="utf-8"?>
<sst xmlns="http://schemas.openxmlformats.org/spreadsheetml/2006/main" count="1657" uniqueCount="278">
  <si>
    <t>Timezone: America/New_York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</si>
  <si>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</si>
  <si>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</si>
  <si>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</si>
  <si>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</si>
  <si>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</si>
  <si>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</si>
  <si>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</si>
  <si>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</si>
  <si>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Cold Case Files</t>
  </si>
  <si>
    <t>I Survived</t>
  </si>
  <si>
    <t>The World of Phil Hendrie</t>
  </si>
  <si>
    <t>Varnamtown</t>
  </si>
  <si>
    <t>Bad Bad Thing: The Blackstone Sisters</t>
  </si>
  <si>
    <t>The Consult: Real FBI Profilers</t>
  </si>
  <si>
    <t>Ransom</t>
  </si>
  <si>
    <t>Sex, Lies &amp; Murder</t>
  </si>
  <si>
    <t>The Dan Abrams Podcast (PodcastOne)</t>
  </si>
  <si>
    <t>Nappy Boy Radio with T-Pain</t>
  </si>
  <si>
    <t>Murder Made Me Famous</t>
  </si>
  <si>
    <t>Cheating: When Love Lies</t>
  </si>
  <si>
    <t>Real Crime: The REELZ Files</t>
  </si>
  <si>
    <t>Copycat Killers</t>
  </si>
  <si>
    <t>CIVIL</t>
  </si>
  <si>
    <t>Reasonable Doubt</t>
  </si>
  <si>
    <t>Bret Easton Ellis Podcast</t>
  </si>
  <si>
    <t>CONNECT with Jonathan Mark</t>
  </si>
  <si>
    <t>Let's Do Life with Autumn Calabrese</t>
  </si>
  <si>
    <t>We (Almost) Made It</t>
  </si>
  <si>
    <t>It's Not Only Football: Friday Night Lights and Beyond</t>
  </si>
  <si>
    <t>Wholeheartedly with Kendall and Galey</t>
  </si>
  <si>
    <t>On Brand with Jon and Marisa</t>
  </si>
  <si>
    <t>Lost In Panama</t>
  </si>
  <si>
    <t>Fully Booked by Kirkus Reviews</t>
  </si>
  <si>
    <t>Idiotically Speaking with Chris Kattan</t>
  </si>
  <si>
    <t>Blunt Force Truth</t>
  </si>
  <si>
    <t>Ace On The House</t>
  </si>
  <si>
    <t>expediTIously with Tip "T.I." Harris</t>
  </si>
  <si>
    <t>Dark Hollywood: The Reelz Files</t>
  </si>
  <si>
    <t>Adam Carolla Show Daily Brief</t>
  </si>
  <si>
    <t>The Michael Harrison Interview</t>
  </si>
  <si>
    <t>The Kelly Osbourne and Jeff Beacher Show</t>
  </si>
  <si>
    <t>Mind. Body. No Soul.</t>
  </si>
  <si>
    <t>Salty with Captain Lee</t>
  </si>
  <si>
    <t>The Producer's Guide: Todd Garner &amp; Hollywood's Elite</t>
  </si>
  <si>
    <t>HOT ROD Pod: Where It All Began</t>
  </si>
  <si>
    <t>Talk To Me</t>
  </si>
  <si>
    <t>From Negative to Positive with Pitbull</t>
  </si>
  <si>
    <t>From Zero: A Conversation with Mike Shinoda and Emily Armstrong</t>
  </si>
  <si>
    <t>SUS: Share Ur Scare</t>
  </si>
  <si>
    <t>Geffen Playhouse Unscripted</t>
  </si>
  <si>
    <t>This Is Monsters</t>
  </si>
  <si>
    <t>We Are Not Journalists</t>
  </si>
  <si>
    <t>Who I Am</t>
  </si>
  <si>
    <t>The Jay Jay French Connection: Beyond the Music</t>
  </si>
  <si>
    <t>Invisible Choir</t>
  </si>
  <si>
    <t>Hammered Heroes (And Villains)</t>
  </si>
  <si>
    <t>Living in Adoptionland with Bryan Elliott</t>
  </si>
  <si>
    <t>Knock Knock</t>
  </si>
  <si>
    <t>Zero Stars</t>
  </si>
  <si>
    <t>All of the Above with Norman Lear</t>
  </si>
  <si>
    <t>Chop Shop</t>
  </si>
  <si>
    <t>Let Me Save You 25 Years</t>
  </si>
  <si>
    <t>Adam's Best</t>
  </si>
  <si>
    <t>The Campaign Managers with Kellyanne Conway and David Plouffe</t>
  </si>
  <si>
    <t>Carolla Classics </t>
  </si>
  <si>
    <t>Adam Carolla's Exclusive Interviews</t>
  </si>
  <si>
    <t>Adam Carolla Show Clips</t>
  </si>
  <si>
    <t>Adam Carolla Live</t>
  </si>
  <si>
    <t>Comeback Kids</t>
  </si>
  <si>
    <t>Earth to Ariana</t>
  </si>
  <si>
    <t>Ever After with Jaleel White</t>
  </si>
  <si>
    <t>Be Very Afraid: A Horror Podcast</t>
  </si>
  <si>
    <t>All Dollars. No $ense</t>
  </si>
  <si>
    <t>The Funny Papers with Jersey Jerry</t>
  </si>
  <si>
    <t>Botany &amp; Barrels</t>
  </si>
  <si>
    <t>The Head &amp; The Heart</t>
  </si>
  <si>
    <t>Bounceback with Uncle Tim</t>
  </si>
  <si>
    <t>C-Sessions…with Randall Broad</t>
  </si>
  <si>
    <t>(7207) Betonline 2025</t>
  </si>
  <si>
    <t>TOTAL</t>
  </si>
  <si>
    <t xml:space="preserve">Filters: Order ID IN (7207*) </t>
  </si>
  <si>
    <t>Splits: Order ID,Order,Campaign ID,Geo-Region,Audio Impressions</t>
  </si>
  <si>
    <t>Geo - Region</t>
  </si>
  <si>
    <t>California (ca)</t>
  </si>
  <si>
    <t>Texas (tx)</t>
  </si>
  <si>
    <t>Illinois (il)</t>
  </si>
  <si>
    <t>Florida (fl)</t>
  </si>
  <si>
    <t>New York (ny)</t>
  </si>
  <si>
    <t>Georgia (ga)</t>
  </si>
  <si>
    <t>Washington (wa)</t>
  </si>
  <si>
    <t>Massachusetts (ma)</t>
  </si>
  <si>
    <t>Virginia (va)</t>
  </si>
  <si>
    <t>Ohio (oh)</t>
  </si>
  <si>
    <t>Kentucky (ky)</t>
  </si>
  <si>
    <t>Utah (ut)</t>
  </si>
  <si>
    <t>Colorado (co)</t>
  </si>
  <si>
    <t>North Carolina (nc)</t>
  </si>
  <si>
    <t>Arizona (az)</t>
  </si>
  <si>
    <t>South Carolina (sc)</t>
  </si>
  <si>
    <t>Hawaii (hi)</t>
  </si>
  <si>
    <t>(7207*)</t>
  </si>
  <si>
    <t>(7207*) Betonline 2025</t>
  </si>
  <si>
    <t>Splits: Order ID,Order,Campaign ID,Day,Audio Impressions</t>
  </si>
  <si>
    <t>Day</t>
  </si>
  <si>
    <t>$ By Day</t>
  </si>
  <si>
    <t>(7207*) Betonline 2025-12-01/2025-12-01</t>
  </si>
  <si>
    <t>(7207*) Betonline 2025-12-02/2025-12-02</t>
  </si>
  <si>
    <t>(7207*) Betonline 2025-12-03/2025-12-03</t>
  </si>
  <si>
    <t>(7207*) Betonline 2025-12-04/2025-12-04</t>
  </si>
  <si>
    <t>(7207*) Betonline 2025-12-05/2025-12-05</t>
  </si>
  <si>
    <t>(7207*) Betonline 2025-12-06/2025-12-06</t>
  </si>
  <si>
    <t>(7207*) Betonline 2025-12-07/2025-12-07</t>
  </si>
  <si>
    <t xml:space="preserve">Filters: Order ID IN (7210;7212) </t>
  </si>
  <si>
    <t>Adam Carolla Show</t>
  </si>
  <si>
    <t>"YOUR WELCOME" with Michael Malice</t>
  </si>
  <si>
    <t>The Adam and Dr. Drew Show</t>
  </si>
  <si>
    <t>The Steve Austin Show</t>
  </si>
  <si>
    <t>Notsam Wrestling</t>
  </si>
  <si>
    <t xml:space="preserve">CarCast </t>
  </si>
  <si>
    <t>One MANS Opinion with Jeff Mans</t>
  </si>
  <si>
    <t xml:space="preserve">The Morning After STL </t>
  </si>
  <si>
    <t>Plugged In with Chris Howard</t>
  </si>
  <si>
    <t>Going Racing with Adam Carolla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</si>
  <si>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</si>
  <si>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</si>
  <si>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</si>
  <si>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</si>
  <si>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</si>
  <si>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</si>
  <si>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Jim Beaver's Project Action</t>
  </si>
  <si>
    <t>Dr. Hockey</t>
  </si>
  <si>
    <t xml:space="preserve">The Deegans </t>
  </si>
  <si>
    <t>Foley Is Pod</t>
  </si>
  <si>
    <t xml:space="preserve">Hotboxin With Mike Tyson </t>
  </si>
  <si>
    <t>(7210; 7212)</t>
  </si>
  <si>
    <t>(7210;7212) Betonline 2025</t>
  </si>
  <si>
    <t>(7210;7212)</t>
  </si>
  <si>
    <t>(7211);(7213)</t>
  </si>
  <si>
    <t>(7211);(7213) Betonline 2025</t>
  </si>
  <si>
    <t xml:space="preserve">Filters: Order ID IN (7210);(7211);(7212);(7213) </t>
  </si>
  <si>
    <t>Missouri (mo)</t>
  </si>
  <si>
    <t>Wisconsin (wi)</t>
  </si>
  <si>
    <t>District of Columbia (dc)</t>
  </si>
  <si>
    <t>Mississippi (ms)</t>
  </si>
  <si>
    <t>Montana (mt)</t>
  </si>
  <si>
    <t>South Dakota (sd)</t>
  </si>
  <si>
    <t>Alaska (ak)</t>
  </si>
  <si>
    <t>(7210);(7211); (7212);(7213)</t>
  </si>
  <si>
    <t>(7210);(7211);(7212);(7213) Betonline 2025</t>
  </si>
  <si>
    <t xml:space="preserve">Filters: Order ID IN (7210; 7211; 7212; 7213) </t>
  </si>
  <si>
    <t>(7210; 7211;7212;7213)</t>
  </si>
  <si>
    <t>(7210; 7211;7212;7213) Betonline 2025</t>
  </si>
  <si>
    <t>(7210; 7211;7212;7213) Betonline 2025-12-01/2025-12-01</t>
  </si>
  <si>
    <t>(7210; 7211;7212;7213) Betonline 2025-12-03/2025-12-03</t>
  </si>
  <si>
    <t>(7210; 7211;7212;7213) Betonline 2025-12-04/2025-12-04</t>
  </si>
  <si>
    <t>(7210; 7211;7212;7213) Betonline 2025-12-05/2025-12-05</t>
  </si>
  <si>
    <t>(7210; 7211;7212;7213) Betonline 2025-12-06/2025-12-06</t>
  </si>
  <si>
    <t>(7210; 7211;7212;7213) Betonline 2025-12-07/2025-12-07</t>
  </si>
  <si>
    <t>(7210; 7211;7212;7213) Betonline 2025-12-02/2025-12-02</t>
  </si>
  <si>
    <t xml:space="preserve">Filters: Order ID IN (7208;7214) </t>
  </si>
  <si>
    <t>(7208;7214)</t>
  </si>
  <si>
    <t>(7208;7214) Betonline 2025</t>
  </si>
  <si>
    <t xml:space="preserve">Adam Carolla Show </t>
  </si>
  <si>
    <t xml:space="preserve">"YOUR WELCOME" with Michael Malice </t>
  </si>
  <si>
    <t xml:space="preserve">The Adam and Dr. Drew Show </t>
  </si>
  <si>
    <t xml:space="preserve">Notsam Wrestling </t>
  </si>
  <si>
    <t xml:space="preserve">One MANS Opinion with Jeff Mans </t>
  </si>
  <si>
    <t xml:space="preserve">Uncut with Jay Cutler </t>
  </si>
  <si>
    <t xml:space="preserve">The Michael Irvin Podcast </t>
  </si>
  <si>
    <t xml:space="preserve">Unplugged Chris Howard </t>
  </si>
  <si>
    <t xml:space="preserve">Going Racing with Adam Carolla </t>
  </si>
  <si>
    <t xml:space="preserve">Foley Is Pod </t>
  </si>
  <si>
    <t xml:space="preserve">Dr. Hockey </t>
  </si>
  <si>
    <t>(7209;7215)</t>
  </si>
  <si>
    <t>(7209;7215) Betonline 2025</t>
  </si>
  <si>
    <t>Filters: Order ID IN (7208);(7209);(7214);(7215)</t>
  </si>
  <si>
    <t>Minnesota (mn)</t>
  </si>
  <si>
    <t>Alabama (al)</t>
  </si>
  <si>
    <t>Oklahoma (ok)</t>
  </si>
  <si>
    <t>Idaho (id)</t>
  </si>
  <si>
    <t>New Mexico (nm)</t>
  </si>
  <si>
    <t>Delaware (de)</t>
  </si>
  <si>
    <t>North Dakota (nd)</t>
  </si>
  <si>
    <t>(7208);(7209);(7214);(7215)</t>
  </si>
  <si>
    <t>(7208);(7209);(7214);(7215) Betonline 2025</t>
  </si>
  <si>
    <t xml:space="preserve">Filters: Order ID IN (7208;7209;7214;7215) </t>
  </si>
  <si>
    <t>(7208;7209;7214;7215)</t>
  </si>
  <si>
    <t>(7208;7209;7214;7215) Betonline 2025</t>
  </si>
  <si>
    <t>(7208;7209;7214;7215) Betonline 2025-12-01/2025-12-01</t>
  </si>
  <si>
    <t>(7208;7209;7214;7215) Betonline 2025-12-02/2025-12-02</t>
  </si>
  <si>
    <t>(7208;7209;7214;7215) Betonline 2025-12-03/2025-12-03</t>
  </si>
  <si>
    <t>(7208;7209;7214;7215) Betonline 2025-12-04/2025-12-04</t>
  </si>
  <si>
    <t>(7208;7209;7214;7215) Betonline 2025-12-05/2025-12-05</t>
  </si>
  <si>
    <t>(7208;7209;7214;7215) Betonline 2025-12-06/2025-12-06</t>
  </si>
  <si>
    <t>(7208;7209;7214;7215) Betonline 2025-12-07/2025-12-07</t>
  </si>
  <si>
    <t>(7207*) Betonline 2025-12-08/2025-12-08</t>
  </si>
  <si>
    <t>(7207*) Betonline 2025-12-09/2025-12-09</t>
  </si>
  <si>
    <t>(7207*) Betonline 2025-12-10/2025-12-10</t>
  </si>
  <si>
    <t>(7207*) Betonline 2025-12-11/2025-12-11</t>
  </si>
  <si>
    <t>(7207*) Betonline 2025-12-12/2025-12-12</t>
  </si>
  <si>
    <t>(7207*) Betonline 2025-12-13/2025-12-13</t>
  </si>
  <si>
    <t>(7207*) Betonline 2025-12-14/2025-12-14</t>
  </si>
  <si>
    <t>(7210; 7211;7212;7213) Betonline 2025-12-08/2025-12-08</t>
  </si>
  <si>
    <t>(7210; 7211;7212;7213) Betonline 2025-12-09/2025-12-09</t>
  </si>
  <si>
    <t>(7210; 7211;7212;7213) Betonline 2025-12-10/2025-12-10</t>
  </si>
  <si>
    <t>(7210; 7211;7212;7213) Betonline 2025-12-11/2025-12-11</t>
  </si>
  <si>
    <t>(7210; 7211;7212;7213) Betonline 2025-12-12/2025-12-12</t>
  </si>
  <si>
    <t>(7210; 7211;7212;7213) Betonline 2025-12-13/2025-12-13</t>
  </si>
  <si>
    <t>(7210; 7211;7212;7213) Betonline 2025-12-14/2025-12-14</t>
  </si>
  <si>
    <t>(7208;7209;7214;7215) Betonline 2025-12-08/2025-12-08</t>
  </si>
  <si>
    <t>(7208;7209;7214;7215) Betonline 2025-12-09/2025-12-09</t>
  </si>
  <si>
    <t>(7208;7209;7214;7215) Betonline 2025-12-10/2025-12-10</t>
  </si>
  <si>
    <t>(7208;7209;7214;7215) Betonline 2025-12-11/2025-12-11</t>
  </si>
  <si>
    <t>(7208;7209;7214;7215) Betonline 2025-12-12/2025-12-12</t>
  </si>
  <si>
    <t>(7208;7209;7214;7215) Betonline 2025-12-13/2025-12-13</t>
  </si>
  <si>
    <t>(7208;7209;7214;7215) Betonline 2025-12-14/2025-12-14</t>
  </si>
  <si>
    <t>(7207*) Betonline 2025-12-15/2025-12-15</t>
  </si>
  <si>
    <t>(7207*) Betonline 2025-12-16/2025-12-16</t>
  </si>
  <si>
    <t>(7207*) Betonline 2025-12-17/2025-12-17</t>
  </si>
  <si>
    <t>(7207*) Betonline 2025-12-18/2025-12-18</t>
  </si>
  <si>
    <t>(7207*) Betonline 2025-12-19/2025-12-19</t>
  </si>
  <si>
    <t>(7207*) Betonline 2025-12-20/2025-12-20</t>
  </si>
  <si>
    <t>(7207*) Betonline 2025-12-21/2025-12-21</t>
  </si>
  <si>
    <t>(7210; 7211;7212;7213) Betonline 2025-12-15/2025-12-15</t>
  </si>
  <si>
    <t>(7210; 7211;7212;7213) Betonline 2025-12-16/2025-12-16</t>
  </si>
  <si>
    <t>(7210; 7211;7212;7213) Betonline 2025-12-17/2025-12-17</t>
  </si>
  <si>
    <t>(7210; 7211;7212;7213) Betonline 2025-12-18/2025-12-18</t>
  </si>
  <si>
    <t>(7210; 7211;7212;7213) Betonline 2025-12-19/2025-12-19</t>
  </si>
  <si>
    <t>(7210; 7211;7212;7213) Betonline 2025-12-20/2025-12-20</t>
  </si>
  <si>
    <t>(7210; 7211;7212;7213) Betonline 2025-12-21/2025-12-21</t>
  </si>
  <si>
    <t>(7208;7209;7214;7215) Betonline 2025-12-15/2025-12-15</t>
  </si>
  <si>
    <t>(7208;7209;7214;7215) Betonline 2025-12-16/2025-12-16</t>
  </si>
  <si>
    <t>(7208;7209;7214;7215) Betonline 2025-12-17/2025-12-17</t>
  </si>
  <si>
    <t>(7208;7209;7214;7215) Betonline 2025-12-18/2025-12-18</t>
  </si>
  <si>
    <t>(7208;7209;7214;7215) Betonline 2025-12-19/2025-12-19</t>
  </si>
  <si>
    <t>(7208;7209;7214;7215) Betonline 2025-12-20/2025-12-20</t>
  </si>
  <si>
    <t>(7208;7209;7214;7215) Betonline 2025-12-21/2025-12-21</t>
  </si>
  <si>
    <t>(7207*) Betonline 2025-12-22/2025-12-22</t>
  </si>
  <si>
    <t>(7207*) Betonline 2025-12-23/2025-12-23</t>
  </si>
  <si>
    <t>(7207*) Betonline 2025-12-24/2025-12-24</t>
  </si>
  <si>
    <t>(7207*) Betonline 2025-12-25/2025-12-25</t>
  </si>
  <si>
    <t>(7207*) Betonline 2025-12-26/2025-12-26</t>
  </si>
  <si>
    <t>(7207*) Betonline 2025-12-27/2025-12-27</t>
  </si>
  <si>
    <t>(7207*) Betonline 2025-12-28/2025-12-28</t>
  </si>
  <si>
    <t>(7210; 7211;7212;7213) Betonline 2025-12-22/2025-12-22</t>
  </si>
  <si>
    <t>(7210; 7211;7212;7213) Betonline 2025-12-23/2025-12-23</t>
  </si>
  <si>
    <t>(7210; 7211;7212;7213) Betonline 2025-12-24/2025-12-24</t>
  </si>
  <si>
    <t>(7210; 7211;7212;7213) Betonline 2025-12-25/2025-12-25</t>
  </si>
  <si>
    <t>(7210; 7211;7212;7213) Betonline 2025-12-26/2025-12-26</t>
  </si>
  <si>
    <t>(7210; 7211;7212;7213) Betonline 2025-12-27/2025-12-27</t>
  </si>
  <si>
    <t>(7210; 7211;7212;7213) Betonline 2025-12-28/2025-12-28</t>
  </si>
  <si>
    <t>(7208;7209;7214;7215) Betonline 2025-12-28/2025-12-28</t>
  </si>
  <si>
    <t>(7208;7209;7214;7215) Betonline 2025-12-29/2025-12-29</t>
  </si>
  <si>
    <t>(7208;7209;7214;7215) Betonline 2025-12-22/2025-12-22</t>
  </si>
  <si>
    <t>(7208;7209;7214;7215) Betonline 2025-12-23/2025-12-23</t>
  </si>
  <si>
    <t>(7208;7209;7214;7215) Betonline 2025-12-24/2025-12-24</t>
  </si>
  <si>
    <t>(7208;7209;7214;7215) Betonline 2025-12-25/2025-12-25</t>
  </si>
  <si>
    <t>(7208;7209;7214;7215) Betonline 2025-12-26/2025-12-26</t>
  </si>
  <si>
    <t>(7208;7209;7214;7215) Betonline 2025-12-27/2025-12-27</t>
  </si>
  <si>
    <t>Interval: 2025-12-01/2025-12-31</t>
  </si>
  <si>
    <t>(7207) Betonline 2025-12-01/2025-12-31</t>
  </si>
  <si>
    <t>(7207*) Betonline 2025-12-01/2025-12-31</t>
  </si>
  <si>
    <t>(7207*) Betonline 2025-12-29/2025-12-29</t>
  </si>
  <si>
    <t>(7207*) Betonline 2025-12-30/2025-12-30</t>
  </si>
  <si>
    <t>(7207*) Betonline 2025-12-31/2025-12-31</t>
  </si>
  <si>
    <t>(7211);(7213) Betonline 2025-12-01/2025-12-31</t>
  </si>
  <si>
    <t>(7210;7212)) Betonline 2025-12-01/2025-12-31</t>
  </si>
  <si>
    <t>(7210);(7211);(7212);(7213) Betonline 2025-12-01/2025-12-31</t>
  </si>
  <si>
    <t>(7210; 7211;7212;7213) Betonline 2025-12-29/2025-12-29</t>
  </si>
  <si>
    <t>(7210; 7211;7212;7213) Betonline 2025-12-30/2025-12-30</t>
  </si>
  <si>
    <t>(7210; 7211;7212;7213) Betonline 2025-12-31/2025-12-31</t>
  </si>
  <si>
    <t>(7208;7214) Betonline 2025-12-01/2025-12-31</t>
  </si>
  <si>
    <t>(7209;7215) Betonline 2025-12-01/2025-12-31</t>
  </si>
  <si>
    <t>(7208);(7209);(7214);(7215) Betonline 2025-12-01/2025-12-31</t>
  </si>
  <si>
    <t>(7208;7209;7214;7215) Betonline 2025-12-30/2025-12-30</t>
  </si>
  <si>
    <t>(7208;7209;7214;7215) Betonline 2025-12-31/2025-12-31</t>
  </si>
  <si>
    <t>TOTAL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</si>
</sst>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.5"/>
      <color rgb="FF222222"/>
      <name val="Aptos Narrow"/>
      <scheme val="minor"/>
    </font>
    <font>
      <sz val="10"/>
      <color theme="1"/>
      <name val="Helvetica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2" borderId="0" xfId="0" applyFont="1" applyFill="1"/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8" fontId="0" fillId="0" borderId="0" xfId="0" applyNumberFormat="1"/>
    <xf numFmtId="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8" fontId="5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867C-C923-C744-A622-7742787C37C2}">
  <dimension ref="A1:O1048576"/>
  <sheetViews>
    <sheetView topLeftCell="A79" workbookViewId="0">
      <selection activeCell="F94" sqref="F94"/>
    </sheetView>
  </sheetViews>
  <sheetFormatPr baseColWidth="10" defaultRowHeight="26" customHeight="1" x14ac:dyDescent="0.2"/>
  <cols>
    <col min="1" max="1" width="13.1640625" customWidth="1"/>
    <col min="2" max="2" width="24.5" customWidth="1"/>
    <col min="3" max="3" width="16.33203125" customWidth="1"/>
    <col min="4" max="4" width="39.1640625" customWidth="1"/>
    <col min="5" max="5" width="59.1640625" customWidth="1"/>
    <col min="6" max="6" width="16.6640625" customWidth="1"/>
    <col min="7" max="7" width="18.1640625" customWidth="1"/>
    <col min="8" max="8" width="18.83203125" customWidth="1"/>
    <col min="9" max="9" width="18.5" customWidth="1"/>
    <col min="10" max="10" width="19" customWidth="1"/>
  </cols>
  <sheetData>
    <row r="1" spans="1:14" ht="26" customHeight="1" x14ac:dyDescent="0.2">
      <c r="A1" s="1" t="s">
        <v>260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6" customHeight="1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6" customHeight="1" x14ac:dyDescent="0.2">
      <c r="A3" s="1" t="s">
        <v>113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6" customHeight="1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6" customHeight="1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  <c r="L5" s="6"/>
      <c r="M5" s="6"/>
      <c r="N5" s="6"/>
    </row>
    <row r="6" spans="1:14" ht="26" customHeight="1" x14ac:dyDescent="0.2">
      <c r="A6" s="8" t="s">
        <v>138</v>
      </c>
      <c r="B6" s="7" t="s">
        <v>139</v>
      </c>
      <c r="C6" s="7" t="s">
        <v>138</v>
      </c>
      <c r="D6" s="7" t="s">
        <v>266</v>
      </c>
      <c r="E6" s="3" t="s">
        <v>9</v>
      </c>
      <c r="F6" s="3">
        <v>108511</v>
      </c>
      <c r="G6" s="3"/>
      <c r="H6" s="3"/>
      <c r="I6" s="3"/>
      <c r="J6" s="3"/>
      <c r="K6" s="3"/>
    </row>
    <row r="7" spans="1:14" ht="26" customHeight="1" x14ac:dyDescent="0.2">
      <c r="A7" s="8" t="s">
        <v>138</v>
      </c>
      <c r="B7" s="7" t="s">
        <v>139</v>
      </c>
      <c r="C7" s="7" t="s">
        <v>138</v>
      </c>
      <c r="D7" s="7" t="s">
        <v>266</v>
      </c>
      <c r="E7" s="3" t="s">
        <v>24</v>
      </c>
      <c r="F7" s="3">
        <v>99852</v>
      </c>
      <c r="G7" s="3"/>
      <c r="H7" s="3"/>
      <c r="I7" s="3"/>
      <c r="J7" s="3"/>
      <c r="K7" s="3"/>
    </row>
    <row r="8" spans="1:14" ht="26" customHeight="1" x14ac:dyDescent="0.2">
      <c r="A8" s="20" t="s">
        <v>135</v>
      </c>
      <c r="B8" s="21" t="s">
        <v>136</v>
      </c>
      <c r="C8" s="21" t="s">
        <v>137</v>
      </c>
      <c r="D8" s="7" t="s">
        <v>267</v>
      </c>
      <c r="E8" s="3" t="s">
        <v>114</v>
      </c>
      <c r="F8" s="3">
        <v>98209</v>
      </c>
      <c r="G8" s="3"/>
      <c r="H8" s="3"/>
      <c r="I8" s="3"/>
      <c r="J8" s="3"/>
      <c r="K8" s="3"/>
    </row>
    <row r="9" spans="1:14" ht="26" customHeight="1" x14ac:dyDescent="0.2">
      <c r="A9" s="8" t="s">
        <v>138</v>
      </c>
      <c r="B9" s="7" t="s">
        <v>139</v>
      </c>
      <c r="C9" s="7" t="s">
        <v>138</v>
      </c>
      <c r="D9" s="7" t="s">
        <v>266</v>
      </c>
      <c r="E9" s="3" t="s">
        <v>22</v>
      </c>
      <c r="F9" s="3">
        <v>92899</v>
      </c>
      <c r="G9" s="3"/>
      <c r="H9" s="3"/>
      <c r="I9" s="3"/>
      <c r="J9" s="3"/>
      <c r="K9" s="3"/>
    </row>
    <row r="10" spans="1:14" ht="26" customHeight="1" x14ac:dyDescent="0.2">
      <c r="A10" s="20" t="s">
        <v>135</v>
      </c>
      <c r="B10" s="21" t="s">
        <v>136</v>
      </c>
      <c r="C10" s="21" t="s">
        <v>137</v>
      </c>
      <c r="D10" s="7" t="s">
        <v>267</v>
      </c>
      <c r="E10" s="3" t="s">
        <v>115</v>
      </c>
      <c r="F10" s="3">
        <v>92773</v>
      </c>
      <c r="G10" s="3"/>
      <c r="H10" s="3"/>
      <c r="I10" s="3"/>
      <c r="J10" s="3"/>
      <c r="K10" s="3"/>
    </row>
    <row r="11" spans="1:14" ht="26" customHeight="1" x14ac:dyDescent="0.2">
      <c r="A11" s="20" t="s">
        <v>135</v>
      </c>
      <c r="B11" s="21" t="s">
        <v>136</v>
      </c>
      <c r="C11" s="21" t="s">
        <v>137</v>
      </c>
      <c r="D11" s="7" t="s">
        <v>267</v>
      </c>
      <c r="E11" s="3" t="s">
        <v>116</v>
      </c>
      <c r="F11" s="3">
        <v>90040</v>
      </c>
      <c r="G11" s="3"/>
      <c r="H11" s="3"/>
      <c r="I11" s="3"/>
      <c r="J11" s="3"/>
      <c r="K11" s="3"/>
    </row>
    <row r="12" spans="1:14" ht="26" customHeight="1" x14ac:dyDescent="0.2">
      <c r="A12" s="8" t="s">
        <v>138</v>
      </c>
      <c r="B12" s="7" t="s">
        <v>139</v>
      </c>
      <c r="C12" s="7" t="s">
        <v>138</v>
      </c>
      <c r="D12" s="7" t="s">
        <v>266</v>
      </c>
      <c r="E12" s="3" t="s">
        <v>13</v>
      </c>
      <c r="F12" s="3">
        <v>88414</v>
      </c>
      <c r="G12" s="3"/>
      <c r="H12" s="3"/>
      <c r="I12" s="3"/>
      <c r="J12" s="3"/>
      <c r="K12" s="3"/>
    </row>
    <row r="13" spans="1:14" ht="26" customHeight="1" x14ac:dyDescent="0.2">
      <c r="A13" s="8" t="s">
        <v>138</v>
      </c>
      <c r="B13" s="7" t="s">
        <v>139</v>
      </c>
      <c r="C13" s="7" t="s">
        <v>138</v>
      </c>
      <c r="D13" s="7" t="s">
        <v>266</v>
      </c>
      <c r="E13" s="3" t="s">
        <v>16</v>
      </c>
      <c r="F13" s="3">
        <v>81289</v>
      </c>
      <c r="G13" s="3"/>
      <c r="H13" s="3"/>
      <c r="I13" s="3"/>
      <c r="J13" s="3"/>
      <c r="K13" s="3"/>
    </row>
    <row r="14" spans="1:14" ht="26" customHeight="1" x14ac:dyDescent="0.2">
      <c r="A14" s="20" t="s">
        <v>135</v>
      </c>
      <c r="B14" s="21" t="s">
        <v>136</v>
      </c>
      <c r="C14" s="21" t="s">
        <v>137</v>
      </c>
      <c r="D14" s="7" t="s">
        <v>267</v>
      </c>
      <c r="E14" s="3" t="s">
        <v>117</v>
      </c>
      <c r="F14" s="3">
        <v>78808</v>
      </c>
      <c r="G14" s="3"/>
      <c r="H14" s="3"/>
      <c r="I14" s="3"/>
      <c r="J14" s="3"/>
      <c r="K14" s="3"/>
    </row>
    <row r="15" spans="1:14" ht="26" customHeight="1" x14ac:dyDescent="0.2">
      <c r="A15" s="8" t="s">
        <v>138</v>
      </c>
      <c r="B15" s="7" t="s">
        <v>139</v>
      </c>
      <c r="C15" s="7" t="s">
        <v>138</v>
      </c>
      <c r="D15" s="7" t="s">
        <v>266</v>
      </c>
      <c r="E15" s="3" t="s">
        <v>19</v>
      </c>
      <c r="F15" s="3">
        <v>74155</v>
      </c>
      <c r="G15" s="3"/>
      <c r="H15" s="3"/>
      <c r="I15" s="3"/>
      <c r="J15" s="3"/>
      <c r="K15" s="3"/>
      <c r="L15" s="3"/>
    </row>
    <row r="16" spans="1:14" ht="26" customHeight="1" x14ac:dyDescent="0.2">
      <c r="A16" s="20" t="s">
        <v>135</v>
      </c>
      <c r="B16" s="21" t="s">
        <v>136</v>
      </c>
      <c r="C16" s="21" t="s">
        <v>137</v>
      </c>
      <c r="D16" s="7" t="s">
        <v>267</v>
      </c>
      <c r="E16" s="3" t="s">
        <v>118</v>
      </c>
      <c r="F16" s="3">
        <v>71286</v>
      </c>
      <c r="G16" s="3"/>
      <c r="H16" s="3"/>
      <c r="I16" s="3"/>
      <c r="J16" s="3"/>
      <c r="K16" s="3"/>
    </row>
    <row r="17" spans="1:15" ht="26" customHeight="1" x14ac:dyDescent="0.2">
      <c r="A17" s="8" t="s">
        <v>138</v>
      </c>
      <c r="B17" s="7" t="s">
        <v>139</v>
      </c>
      <c r="C17" s="7" t="s">
        <v>138</v>
      </c>
      <c r="D17" s="7" t="s">
        <v>266</v>
      </c>
      <c r="E17" s="3" t="s">
        <v>11</v>
      </c>
      <c r="F17" s="3">
        <v>70501</v>
      </c>
      <c r="G17" s="3"/>
      <c r="H17" s="3"/>
      <c r="I17" s="3"/>
      <c r="J17" s="3"/>
      <c r="K17" s="3"/>
    </row>
    <row r="18" spans="1:15" ht="26" customHeight="1" x14ac:dyDescent="0.2">
      <c r="A18" s="8" t="s">
        <v>138</v>
      </c>
      <c r="B18" s="7" t="s">
        <v>139</v>
      </c>
      <c r="C18" s="7" t="s">
        <v>138</v>
      </c>
      <c r="D18" s="7" t="s">
        <v>266</v>
      </c>
      <c r="E18" s="3" t="s">
        <v>12</v>
      </c>
      <c r="F18" s="3">
        <v>64355</v>
      </c>
      <c r="G18" s="3"/>
      <c r="H18" s="3"/>
      <c r="I18" s="3"/>
      <c r="J18" s="3"/>
      <c r="K18" s="3"/>
    </row>
    <row r="19" spans="1:15" ht="26" customHeight="1" x14ac:dyDescent="0.2">
      <c r="A19" s="8" t="s">
        <v>138</v>
      </c>
      <c r="B19" s="7" t="s">
        <v>139</v>
      </c>
      <c r="C19" s="7" t="s">
        <v>138</v>
      </c>
      <c r="D19" s="7" t="s">
        <v>266</v>
      </c>
      <c r="E19" s="3" t="s">
        <v>25</v>
      </c>
      <c r="F19" s="3">
        <v>60328</v>
      </c>
      <c r="G19" s="3"/>
      <c r="H19" s="3"/>
      <c r="I19" s="3"/>
      <c r="J19" s="3"/>
      <c r="K19" s="3"/>
    </row>
    <row r="20" spans="1:15" ht="26" customHeight="1" x14ac:dyDescent="0.2">
      <c r="A20" s="20" t="s">
        <v>135</v>
      </c>
      <c r="B20" s="21" t="s">
        <v>136</v>
      </c>
      <c r="C20" s="21" t="s">
        <v>137</v>
      </c>
      <c r="D20" s="7" t="s">
        <v>267</v>
      </c>
      <c r="E20" s="3" t="s">
        <v>119</v>
      </c>
      <c r="F20" s="3">
        <v>58677</v>
      </c>
      <c r="G20" s="3"/>
      <c r="H20" s="3"/>
      <c r="I20" s="3"/>
      <c r="J20" s="3"/>
      <c r="K20" s="3"/>
    </row>
    <row r="21" spans="1:15" ht="26" customHeight="1" x14ac:dyDescent="0.2">
      <c r="A21" s="20" t="s">
        <v>135</v>
      </c>
      <c r="B21" s="21" t="s">
        <v>136</v>
      </c>
      <c r="C21" s="21" t="s">
        <v>137</v>
      </c>
      <c r="D21" s="7" t="s">
        <v>267</v>
      </c>
      <c r="E21" s="3" t="s">
        <v>121</v>
      </c>
      <c r="F21" s="3">
        <v>50610</v>
      </c>
      <c r="G21" s="3"/>
      <c r="H21" s="3"/>
      <c r="I21" s="3"/>
      <c r="J21" s="3"/>
      <c r="K21" s="3"/>
    </row>
    <row r="22" spans="1:15" ht="26" customHeight="1" x14ac:dyDescent="0.2">
      <c r="A22" s="8" t="s">
        <v>138</v>
      </c>
      <c r="B22" s="7" t="s">
        <v>139</v>
      </c>
      <c r="C22" s="7" t="s">
        <v>138</v>
      </c>
      <c r="D22" s="7" t="s">
        <v>266</v>
      </c>
      <c r="E22" s="3" t="s">
        <v>14</v>
      </c>
      <c r="F22" s="3">
        <v>47351</v>
      </c>
      <c r="G22" s="3"/>
      <c r="H22" s="3"/>
      <c r="I22" s="3"/>
      <c r="J22" s="3"/>
      <c r="K22" s="3"/>
    </row>
    <row r="23" spans="1:15" ht="26" customHeight="1" x14ac:dyDescent="0.2">
      <c r="A23" s="8" t="s">
        <v>138</v>
      </c>
      <c r="B23" s="7" t="s">
        <v>139</v>
      </c>
      <c r="C23" s="7" t="s">
        <v>138</v>
      </c>
      <c r="D23" s="7" t="s">
        <v>266</v>
      </c>
      <c r="E23" s="3" t="s">
        <v>36</v>
      </c>
      <c r="F23" s="3">
        <v>44679</v>
      </c>
      <c r="G23" s="3"/>
      <c r="H23" s="3"/>
      <c r="I23" s="3"/>
      <c r="J23" s="3"/>
      <c r="K23" s="3"/>
      <c r="M23" s="7"/>
    </row>
    <row r="24" spans="1:15" ht="26" customHeight="1" x14ac:dyDescent="0.2">
      <c r="A24" s="20" t="s">
        <v>135</v>
      </c>
      <c r="B24" s="21" t="s">
        <v>136</v>
      </c>
      <c r="C24" s="21" t="s">
        <v>137</v>
      </c>
      <c r="D24" s="7" t="s">
        <v>267</v>
      </c>
      <c r="E24" s="3" t="s">
        <v>120</v>
      </c>
      <c r="F24" s="3">
        <v>43209</v>
      </c>
      <c r="G24" s="3"/>
      <c r="H24" s="7"/>
      <c r="I24" s="3"/>
      <c r="J24" s="3"/>
      <c r="K24" s="7"/>
    </row>
    <row r="25" spans="1:15" ht="26" customHeight="1" x14ac:dyDescent="0.2">
      <c r="A25" s="8" t="s">
        <v>138</v>
      </c>
      <c r="B25" s="7" t="s">
        <v>139</v>
      </c>
      <c r="C25" s="7" t="s">
        <v>138</v>
      </c>
      <c r="D25" s="7" t="s">
        <v>266</v>
      </c>
      <c r="E25" s="3" t="s">
        <v>26</v>
      </c>
      <c r="F25" s="3">
        <v>39892</v>
      </c>
      <c r="G25" s="7"/>
      <c r="H25" s="3"/>
      <c r="I25" s="3"/>
      <c r="J25" s="3"/>
      <c r="K25" s="3"/>
    </row>
    <row r="26" spans="1:15" ht="26" customHeight="1" x14ac:dyDescent="0.2">
      <c r="A26" s="8" t="s">
        <v>138</v>
      </c>
      <c r="B26" s="7" t="s">
        <v>139</v>
      </c>
      <c r="C26" s="7" t="s">
        <v>138</v>
      </c>
      <c r="D26" s="7" t="s">
        <v>266</v>
      </c>
      <c r="E26" s="3" t="s">
        <v>10</v>
      </c>
      <c r="F26" s="3">
        <v>39627</v>
      </c>
      <c r="G26" s="3"/>
      <c r="H26" s="3"/>
      <c r="I26" s="3"/>
      <c r="J26" s="3"/>
      <c r="K26" s="3"/>
    </row>
    <row r="27" spans="1:15" ht="26" customHeight="1" x14ac:dyDescent="0.2">
      <c r="A27" s="8" t="s">
        <v>138</v>
      </c>
      <c r="B27" s="7" t="s">
        <v>139</v>
      </c>
      <c r="C27" s="7" t="s">
        <v>138</v>
      </c>
      <c r="D27" s="7" t="s">
        <v>266</v>
      </c>
      <c r="E27" s="3" t="s">
        <v>31</v>
      </c>
      <c r="F27" s="3">
        <v>38633</v>
      </c>
      <c r="G27" s="23"/>
      <c r="H27" s="23"/>
      <c r="I27" s="23"/>
      <c r="J27" s="23"/>
    </row>
    <row r="28" spans="1:15" ht="26" customHeight="1" x14ac:dyDescent="0.2">
      <c r="A28" s="8" t="s">
        <v>138</v>
      </c>
      <c r="B28" s="7" t="s">
        <v>139</v>
      </c>
      <c r="C28" s="7" t="s">
        <v>138</v>
      </c>
      <c r="D28" s="7" t="s">
        <v>266</v>
      </c>
      <c r="E28" s="3" t="s">
        <v>38</v>
      </c>
      <c r="F28" s="3">
        <v>38588</v>
      </c>
    </row>
    <row r="29" spans="1:15" ht="26" customHeight="1" x14ac:dyDescent="0.2">
      <c r="A29" s="8" t="s">
        <v>138</v>
      </c>
      <c r="B29" s="7" t="s">
        <v>139</v>
      </c>
      <c r="C29" s="7" t="s">
        <v>138</v>
      </c>
      <c r="D29" s="7" t="s">
        <v>266</v>
      </c>
      <c r="E29" s="3" t="s">
        <v>20</v>
      </c>
      <c r="F29" s="3">
        <v>37981</v>
      </c>
    </row>
    <row r="30" spans="1:15" ht="26" customHeight="1" x14ac:dyDescent="0.2">
      <c r="A30" s="20" t="s">
        <v>135</v>
      </c>
      <c r="B30" s="21" t="s">
        <v>136</v>
      </c>
      <c r="C30" s="21" t="s">
        <v>137</v>
      </c>
      <c r="D30" s="7" t="s">
        <v>267</v>
      </c>
      <c r="E30" s="3" t="s">
        <v>122</v>
      </c>
      <c r="F30" s="3">
        <v>37891</v>
      </c>
    </row>
    <row r="31" spans="1:15" ht="26" customHeight="1" x14ac:dyDescent="0.2">
      <c r="A31" s="8" t="s">
        <v>138</v>
      </c>
      <c r="B31" s="7" t="s">
        <v>139</v>
      </c>
      <c r="C31" s="7" t="s">
        <v>138</v>
      </c>
      <c r="D31" s="7" t="s">
        <v>266</v>
      </c>
      <c r="E31" s="3" t="s">
        <v>49</v>
      </c>
      <c r="F31" s="3">
        <v>36776</v>
      </c>
      <c r="G31" s="2"/>
      <c r="H31" s="2"/>
      <c r="I31" s="2"/>
      <c r="J31" s="2"/>
      <c r="K31" s="2"/>
      <c r="L31" s="2"/>
      <c r="M31" s="2"/>
      <c r="N31" s="2"/>
      <c r="O31" s="3"/>
    </row>
    <row r="32" spans="1:15" ht="26" customHeight="1" x14ac:dyDescent="0.2">
      <c r="A32" s="8" t="s">
        <v>138</v>
      </c>
      <c r="B32" s="7" t="s">
        <v>139</v>
      </c>
      <c r="C32" s="7" t="s">
        <v>138</v>
      </c>
      <c r="D32" s="7" t="s">
        <v>266</v>
      </c>
      <c r="E32" s="3" t="s">
        <v>21</v>
      </c>
      <c r="F32" s="3">
        <v>35280</v>
      </c>
      <c r="G32" s="2"/>
      <c r="H32" s="2"/>
      <c r="I32" s="2"/>
      <c r="J32" s="2"/>
      <c r="K32" s="2"/>
      <c r="L32" s="2"/>
      <c r="M32" s="2"/>
      <c r="N32" s="2"/>
      <c r="O32" s="3"/>
    </row>
    <row r="33" spans="1:15" ht="26" customHeight="1" x14ac:dyDescent="0.2">
      <c r="A33" s="8" t="s">
        <v>138</v>
      </c>
      <c r="B33" s="7" t="s">
        <v>139</v>
      </c>
      <c r="C33" s="7" t="s">
        <v>138</v>
      </c>
      <c r="D33" s="7" t="s">
        <v>266</v>
      </c>
      <c r="E33" s="3" t="s">
        <v>18</v>
      </c>
      <c r="F33" s="3">
        <v>33592</v>
      </c>
      <c r="G33" s="2"/>
      <c r="H33" s="2"/>
      <c r="I33" s="2"/>
      <c r="J33" s="2"/>
      <c r="K33" s="2"/>
      <c r="L33" s="2"/>
      <c r="M33" s="2"/>
      <c r="N33" s="2"/>
      <c r="O33" s="3"/>
    </row>
    <row r="34" spans="1:15" ht="26" customHeight="1" x14ac:dyDescent="0.2">
      <c r="A34" s="20" t="s">
        <v>135</v>
      </c>
      <c r="B34" s="21" t="s">
        <v>136</v>
      </c>
      <c r="C34" s="21" t="s">
        <v>137</v>
      </c>
      <c r="D34" s="7" t="s">
        <v>267</v>
      </c>
      <c r="E34" s="3" t="s">
        <v>123</v>
      </c>
      <c r="F34" s="3">
        <v>31414</v>
      </c>
      <c r="G34" s="3"/>
      <c r="H34" s="3"/>
      <c r="I34" s="3"/>
      <c r="J34" s="3"/>
      <c r="K34" s="3"/>
      <c r="L34" s="3"/>
      <c r="M34" s="3"/>
      <c r="N34" s="3"/>
      <c r="O34" s="3"/>
    </row>
    <row r="35" spans="1:15" ht="26" customHeight="1" x14ac:dyDescent="0.2">
      <c r="A35" s="8" t="s">
        <v>138</v>
      </c>
      <c r="B35" s="7" t="s">
        <v>139</v>
      </c>
      <c r="C35" s="7" t="s">
        <v>138</v>
      </c>
      <c r="D35" s="7" t="s">
        <v>266</v>
      </c>
      <c r="E35" s="3" t="s">
        <v>39</v>
      </c>
      <c r="F35" s="3">
        <v>29228</v>
      </c>
      <c r="G35" s="6"/>
      <c r="H35" s="6"/>
      <c r="I35" s="6"/>
      <c r="J35" s="6"/>
      <c r="K35" s="5"/>
      <c r="L35" s="6"/>
      <c r="M35" s="6"/>
      <c r="N35" s="6"/>
      <c r="O35" s="6"/>
    </row>
    <row r="36" spans="1:15" ht="26" customHeight="1" x14ac:dyDescent="0.2">
      <c r="A36" s="8" t="s">
        <v>138</v>
      </c>
      <c r="B36" s="7" t="s">
        <v>139</v>
      </c>
      <c r="C36" s="7" t="s">
        <v>138</v>
      </c>
      <c r="D36" s="7" t="s">
        <v>266</v>
      </c>
      <c r="E36" s="3" t="s">
        <v>32</v>
      </c>
      <c r="F36" s="3">
        <v>28278</v>
      </c>
      <c r="G36" s="3"/>
      <c r="H36" s="3"/>
      <c r="I36" s="3"/>
      <c r="J36" s="3"/>
      <c r="K36" s="3"/>
    </row>
    <row r="37" spans="1:15" ht="26" customHeight="1" x14ac:dyDescent="0.2">
      <c r="A37" s="8" t="s">
        <v>138</v>
      </c>
      <c r="B37" s="7" t="s">
        <v>139</v>
      </c>
      <c r="C37" s="7" t="s">
        <v>138</v>
      </c>
      <c r="D37" s="7" t="s">
        <v>266</v>
      </c>
      <c r="E37" s="3" t="s">
        <v>51</v>
      </c>
      <c r="F37" s="3">
        <v>27476</v>
      </c>
      <c r="G37" s="3"/>
      <c r="H37" s="3"/>
      <c r="I37" s="3"/>
      <c r="J37" s="3"/>
      <c r="K37" s="3"/>
    </row>
    <row r="38" spans="1:15" ht="26" customHeight="1" x14ac:dyDescent="0.2">
      <c r="A38" s="8" t="s">
        <v>138</v>
      </c>
      <c r="B38" s="7" t="s">
        <v>139</v>
      </c>
      <c r="C38" s="7" t="s">
        <v>138</v>
      </c>
      <c r="D38" s="7" t="s">
        <v>266</v>
      </c>
      <c r="E38" s="3" t="s">
        <v>60</v>
      </c>
      <c r="F38" s="3">
        <v>26517</v>
      </c>
      <c r="G38" s="3"/>
      <c r="H38" s="3"/>
      <c r="I38" s="3"/>
      <c r="J38" s="3"/>
      <c r="K38" s="3"/>
    </row>
    <row r="39" spans="1:15" ht="26" customHeight="1" x14ac:dyDescent="0.2">
      <c r="A39" s="20" t="s">
        <v>135</v>
      </c>
      <c r="B39" s="21" t="s">
        <v>136</v>
      </c>
      <c r="C39" s="21" t="s">
        <v>137</v>
      </c>
      <c r="D39" s="7" t="s">
        <v>267</v>
      </c>
      <c r="E39" s="3" t="s">
        <v>124</v>
      </c>
      <c r="F39" s="3">
        <v>25164</v>
      </c>
      <c r="G39" s="3"/>
      <c r="H39" s="3"/>
      <c r="I39" s="3"/>
      <c r="J39" s="3"/>
      <c r="K39" s="3"/>
    </row>
    <row r="40" spans="1:15" ht="26" customHeight="1" x14ac:dyDescent="0.2">
      <c r="A40" s="8" t="s">
        <v>138</v>
      </c>
      <c r="B40" s="7" t="s">
        <v>139</v>
      </c>
      <c r="C40" s="7" t="s">
        <v>138</v>
      </c>
      <c r="D40" s="7" t="s">
        <v>266</v>
      </c>
      <c r="E40" s="3" t="s">
        <v>23</v>
      </c>
      <c r="F40" s="3">
        <v>25128</v>
      </c>
      <c r="G40" s="3"/>
      <c r="H40" s="3"/>
      <c r="I40" s="3"/>
      <c r="J40" s="3"/>
      <c r="K40" s="3"/>
    </row>
    <row r="41" spans="1:15" ht="26" customHeight="1" x14ac:dyDescent="0.2">
      <c r="A41" s="8" t="s">
        <v>138</v>
      </c>
      <c r="B41" s="7" t="s">
        <v>139</v>
      </c>
      <c r="C41" s="7" t="s">
        <v>138</v>
      </c>
      <c r="D41" s="7" t="s">
        <v>266</v>
      </c>
      <c r="E41" s="3" t="s">
        <v>37</v>
      </c>
      <c r="F41" s="3">
        <v>24617</v>
      </c>
      <c r="G41" s="3"/>
      <c r="H41" s="3"/>
      <c r="I41" s="3"/>
      <c r="J41" s="3"/>
      <c r="K41" s="3"/>
    </row>
    <row r="42" spans="1:15" ht="26" customHeight="1" x14ac:dyDescent="0.2">
      <c r="A42" s="8" t="s">
        <v>138</v>
      </c>
      <c r="B42" s="7" t="s">
        <v>139</v>
      </c>
      <c r="C42" s="7" t="s">
        <v>138</v>
      </c>
      <c r="D42" s="7" t="s">
        <v>266</v>
      </c>
      <c r="E42" s="3" t="s">
        <v>68</v>
      </c>
      <c r="F42" s="3">
        <v>23449</v>
      </c>
      <c r="G42" s="3"/>
      <c r="H42" s="3"/>
      <c r="I42" s="3"/>
      <c r="J42" s="3"/>
      <c r="K42" s="3"/>
    </row>
    <row r="43" spans="1:15" ht="26" customHeight="1" x14ac:dyDescent="0.2">
      <c r="A43" s="8" t="s">
        <v>138</v>
      </c>
      <c r="B43" s="7" t="s">
        <v>139</v>
      </c>
      <c r="C43" s="7" t="s">
        <v>138</v>
      </c>
      <c r="D43" s="7" t="s">
        <v>266</v>
      </c>
      <c r="E43" s="3" t="s">
        <v>35</v>
      </c>
      <c r="F43" s="3">
        <v>23280</v>
      </c>
      <c r="G43" s="3"/>
      <c r="H43" s="3"/>
      <c r="I43" s="3"/>
      <c r="J43" s="3"/>
      <c r="K43" s="3"/>
    </row>
    <row r="44" spans="1:15" ht="26" customHeight="1" x14ac:dyDescent="0.2">
      <c r="A44" s="8" t="s">
        <v>138</v>
      </c>
      <c r="B44" s="7" t="s">
        <v>139</v>
      </c>
      <c r="C44" s="7" t="s">
        <v>138</v>
      </c>
      <c r="D44" s="7" t="s">
        <v>266</v>
      </c>
      <c r="E44" s="3" t="s">
        <v>17</v>
      </c>
      <c r="F44" s="3">
        <v>22718</v>
      </c>
      <c r="G44" s="3"/>
      <c r="H44" s="3"/>
      <c r="I44" s="3"/>
      <c r="J44" s="3"/>
      <c r="K44" s="3"/>
    </row>
    <row r="45" spans="1:15" ht="26" customHeight="1" x14ac:dyDescent="0.2">
      <c r="A45" s="8" t="s">
        <v>138</v>
      </c>
      <c r="B45" s="7" t="s">
        <v>139</v>
      </c>
      <c r="C45" s="7" t="s">
        <v>138</v>
      </c>
      <c r="D45" s="7" t="s">
        <v>266</v>
      </c>
      <c r="E45" s="3" t="s">
        <v>33</v>
      </c>
      <c r="F45" s="3">
        <v>21272</v>
      </c>
      <c r="G45" s="3"/>
      <c r="H45" s="3"/>
      <c r="I45" s="3"/>
      <c r="J45" s="3"/>
      <c r="K45" s="3"/>
    </row>
    <row r="46" spans="1:15" ht="26" customHeight="1" x14ac:dyDescent="0.2">
      <c r="A46" s="8" t="s">
        <v>138</v>
      </c>
      <c r="B46" s="7" t="s">
        <v>139</v>
      </c>
      <c r="C46" s="7" t="s">
        <v>138</v>
      </c>
      <c r="D46" s="7" t="s">
        <v>266</v>
      </c>
      <c r="E46" s="3" t="s">
        <v>30</v>
      </c>
      <c r="F46" s="3">
        <v>20027</v>
      </c>
      <c r="G46" s="3"/>
      <c r="H46" s="3"/>
      <c r="I46" s="3"/>
      <c r="J46" s="3"/>
      <c r="K46" s="3"/>
    </row>
    <row r="47" spans="1:15" ht="26" customHeight="1" x14ac:dyDescent="0.2">
      <c r="A47" s="8" t="s">
        <v>138</v>
      </c>
      <c r="B47" s="7" t="s">
        <v>139</v>
      </c>
      <c r="C47" s="7" t="s">
        <v>138</v>
      </c>
      <c r="D47" s="7" t="s">
        <v>266</v>
      </c>
      <c r="E47" s="3" t="s">
        <v>44</v>
      </c>
      <c r="F47" s="3">
        <v>19519</v>
      </c>
      <c r="G47" s="3"/>
      <c r="H47" s="3"/>
      <c r="I47" s="3"/>
      <c r="J47" s="3"/>
      <c r="K47" s="3"/>
    </row>
    <row r="48" spans="1:15" ht="26" customHeight="1" x14ac:dyDescent="0.2">
      <c r="A48" s="20" t="s">
        <v>135</v>
      </c>
      <c r="B48" s="21" t="s">
        <v>136</v>
      </c>
      <c r="C48" s="21" t="s">
        <v>137</v>
      </c>
      <c r="D48" s="7" t="s">
        <v>267</v>
      </c>
      <c r="E48" s="3" t="s">
        <v>125</v>
      </c>
      <c r="F48" s="3">
        <v>19093</v>
      </c>
      <c r="G48" s="3"/>
      <c r="H48" s="3"/>
      <c r="I48" s="3"/>
      <c r="J48" s="3"/>
      <c r="K48" s="3"/>
    </row>
    <row r="49" spans="1:11" ht="26" customHeight="1" x14ac:dyDescent="0.2">
      <c r="A49" s="8" t="s">
        <v>138</v>
      </c>
      <c r="B49" s="7" t="s">
        <v>139</v>
      </c>
      <c r="C49" s="7" t="s">
        <v>138</v>
      </c>
      <c r="D49" s="7" t="s">
        <v>266</v>
      </c>
      <c r="E49" s="3" t="s">
        <v>61</v>
      </c>
      <c r="F49" s="3">
        <v>17281</v>
      </c>
      <c r="G49" s="3"/>
      <c r="H49" s="3"/>
      <c r="I49" s="3"/>
      <c r="J49" s="3"/>
      <c r="K49" s="3"/>
    </row>
    <row r="50" spans="1:11" ht="26" customHeight="1" x14ac:dyDescent="0.2">
      <c r="A50" s="20" t="s">
        <v>135</v>
      </c>
      <c r="B50" s="21" t="s">
        <v>136</v>
      </c>
      <c r="C50" s="21" t="s">
        <v>137</v>
      </c>
      <c r="D50" s="7" t="s">
        <v>267</v>
      </c>
      <c r="E50" s="3" t="s">
        <v>126</v>
      </c>
      <c r="F50" s="3">
        <v>16897</v>
      </c>
      <c r="G50" s="3"/>
      <c r="H50" s="3"/>
      <c r="I50" s="3"/>
      <c r="J50" s="3"/>
      <c r="K50" s="3"/>
    </row>
    <row r="51" spans="1:11" ht="26" customHeight="1" x14ac:dyDescent="0.2">
      <c r="A51" s="8" t="s">
        <v>138</v>
      </c>
      <c r="B51" s="7" t="s">
        <v>139</v>
      </c>
      <c r="C51" s="7" t="s">
        <v>138</v>
      </c>
      <c r="D51" s="7" t="s">
        <v>266</v>
      </c>
      <c r="E51" s="3" t="s">
        <v>43</v>
      </c>
      <c r="F51" s="3">
        <v>16602</v>
      </c>
      <c r="G51" s="3"/>
      <c r="H51" s="3"/>
      <c r="I51" s="3"/>
      <c r="J51" s="3"/>
      <c r="K51" s="3"/>
    </row>
    <row r="52" spans="1:11" ht="26" customHeight="1" x14ac:dyDescent="0.2">
      <c r="A52" s="20" t="s">
        <v>135</v>
      </c>
      <c r="B52" s="21" t="s">
        <v>136</v>
      </c>
      <c r="C52" s="21" t="s">
        <v>137</v>
      </c>
      <c r="D52" s="7" t="s">
        <v>267</v>
      </c>
      <c r="E52" s="3" t="s">
        <v>127</v>
      </c>
      <c r="F52" s="3">
        <v>14320</v>
      </c>
      <c r="G52" s="3"/>
      <c r="H52" s="3"/>
      <c r="I52" s="3"/>
      <c r="J52" s="3"/>
      <c r="K52" s="3"/>
    </row>
    <row r="53" spans="1:11" ht="26" customHeight="1" x14ac:dyDescent="0.2">
      <c r="A53" s="8" t="s">
        <v>138</v>
      </c>
      <c r="B53" s="7" t="s">
        <v>139</v>
      </c>
      <c r="C53" s="7" t="s">
        <v>138</v>
      </c>
      <c r="D53" s="7" t="s">
        <v>266</v>
      </c>
      <c r="E53" s="3" t="s">
        <v>45</v>
      </c>
      <c r="F53" s="3">
        <v>13607</v>
      </c>
      <c r="G53" s="3"/>
      <c r="H53" s="3"/>
      <c r="I53" s="3"/>
      <c r="J53" s="3"/>
      <c r="K53" s="3"/>
    </row>
    <row r="54" spans="1:11" ht="26" customHeight="1" x14ac:dyDescent="0.2">
      <c r="A54" s="8" t="s">
        <v>138</v>
      </c>
      <c r="B54" s="7" t="s">
        <v>139</v>
      </c>
      <c r="C54" s="7" t="s">
        <v>138</v>
      </c>
      <c r="D54" s="7" t="s">
        <v>266</v>
      </c>
      <c r="E54" s="3" t="s">
        <v>54</v>
      </c>
      <c r="F54" s="3">
        <v>12862</v>
      </c>
      <c r="G54" s="3"/>
      <c r="H54" s="3"/>
      <c r="I54" s="3"/>
      <c r="J54" s="3"/>
      <c r="K54" s="3"/>
    </row>
    <row r="55" spans="1:11" ht="26" customHeight="1" x14ac:dyDescent="0.2">
      <c r="A55" s="8" t="s">
        <v>138</v>
      </c>
      <c r="B55" s="7" t="s">
        <v>139</v>
      </c>
      <c r="C55" s="7" t="s">
        <v>138</v>
      </c>
      <c r="D55" s="7" t="s">
        <v>266</v>
      </c>
      <c r="E55" s="3" t="s">
        <v>46</v>
      </c>
      <c r="F55" s="3">
        <v>11866</v>
      </c>
      <c r="G55" s="3"/>
      <c r="H55" s="3"/>
      <c r="I55" s="3"/>
      <c r="J55" s="3"/>
      <c r="K55" s="3"/>
    </row>
    <row r="56" spans="1:11" ht="26" customHeight="1" x14ac:dyDescent="0.2">
      <c r="A56" s="8" t="s">
        <v>138</v>
      </c>
      <c r="B56" s="7" t="s">
        <v>139</v>
      </c>
      <c r="C56" s="7" t="s">
        <v>138</v>
      </c>
      <c r="D56" s="7" t="s">
        <v>266</v>
      </c>
      <c r="E56" s="3" t="s">
        <v>50</v>
      </c>
      <c r="F56" s="3">
        <v>11547</v>
      </c>
      <c r="G56" s="3"/>
      <c r="H56" s="3"/>
      <c r="I56" s="3"/>
      <c r="J56" s="3"/>
      <c r="K56" s="3"/>
    </row>
    <row r="57" spans="1:11" ht="26" customHeight="1" x14ac:dyDescent="0.2">
      <c r="A57" s="8" t="s">
        <v>138</v>
      </c>
      <c r="B57" s="7" t="s">
        <v>139</v>
      </c>
      <c r="C57" s="7" t="s">
        <v>138</v>
      </c>
      <c r="D57" s="7" t="s">
        <v>266</v>
      </c>
      <c r="E57" s="3" t="s">
        <v>40</v>
      </c>
      <c r="F57" s="3">
        <v>10836</v>
      </c>
      <c r="G57" s="3"/>
      <c r="H57" s="3"/>
      <c r="I57" s="3"/>
      <c r="J57" s="3"/>
      <c r="K57" s="3"/>
    </row>
    <row r="58" spans="1:11" ht="26" customHeight="1" x14ac:dyDescent="0.2">
      <c r="A58" s="20" t="s">
        <v>135</v>
      </c>
      <c r="B58" s="21" t="s">
        <v>136</v>
      </c>
      <c r="C58" s="21" t="s">
        <v>137</v>
      </c>
      <c r="D58" s="7" t="s">
        <v>267</v>
      </c>
      <c r="E58" s="3" t="s">
        <v>128</v>
      </c>
      <c r="F58" s="3">
        <v>10393</v>
      </c>
      <c r="G58" s="3"/>
      <c r="H58" s="3"/>
      <c r="I58" s="3"/>
      <c r="J58" s="3"/>
      <c r="K58" s="3"/>
    </row>
    <row r="59" spans="1:11" ht="26" customHeight="1" x14ac:dyDescent="0.2">
      <c r="A59" s="8" t="s">
        <v>138</v>
      </c>
      <c r="B59" s="7" t="s">
        <v>139</v>
      </c>
      <c r="C59" s="7" t="s">
        <v>138</v>
      </c>
      <c r="D59" s="7" t="s">
        <v>266</v>
      </c>
      <c r="E59" s="3" t="s">
        <v>74</v>
      </c>
      <c r="F59" s="3">
        <v>10293</v>
      </c>
      <c r="G59" s="3"/>
      <c r="H59" s="3"/>
      <c r="I59" s="3"/>
      <c r="J59" s="3"/>
      <c r="K59" s="3"/>
    </row>
    <row r="60" spans="1:11" ht="26" customHeight="1" x14ac:dyDescent="0.2">
      <c r="A60" s="8" t="s">
        <v>138</v>
      </c>
      <c r="B60" s="7" t="s">
        <v>139</v>
      </c>
      <c r="C60" s="7" t="s">
        <v>138</v>
      </c>
      <c r="D60" s="7" t="s">
        <v>266</v>
      </c>
      <c r="E60" s="3" t="s">
        <v>29</v>
      </c>
      <c r="F60" s="3">
        <v>10101</v>
      </c>
      <c r="G60" s="3"/>
      <c r="H60" s="3"/>
      <c r="I60" s="3"/>
      <c r="J60" s="3"/>
      <c r="K60" s="3"/>
    </row>
    <row r="61" spans="1:11" ht="26" customHeight="1" x14ac:dyDescent="0.2">
      <c r="A61" s="8" t="s">
        <v>138</v>
      </c>
      <c r="B61" s="7" t="s">
        <v>139</v>
      </c>
      <c r="C61" s="7" t="s">
        <v>138</v>
      </c>
      <c r="D61" s="7" t="s">
        <v>266</v>
      </c>
      <c r="E61" s="3" t="s">
        <v>58</v>
      </c>
      <c r="F61" s="3">
        <v>9564</v>
      </c>
      <c r="G61" s="3"/>
      <c r="H61" s="3"/>
      <c r="I61" s="3"/>
      <c r="J61" s="3"/>
      <c r="K61" s="3"/>
    </row>
    <row r="62" spans="1:11" ht="26" customHeight="1" x14ac:dyDescent="0.2">
      <c r="A62" s="8" t="s">
        <v>138</v>
      </c>
      <c r="B62" s="7" t="s">
        <v>139</v>
      </c>
      <c r="C62" s="7" t="s">
        <v>138</v>
      </c>
      <c r="D62" s="7" t="s">
        <v>266</v>
      </c>
      <c r="E62" s="3" t="s">
        <v>15</v>
      </c>
      <c r="F62" s="3">
        <v>9272</v>
      </c>
      <c r="G62" s="3"/>
      <c r="H62" s="3"/>
      <c r="I62" s="3"/>
      <c r="J62" s="3"/>
      <c r="K62" s="3"/>
    </row>
    <row r="63" spans="1:11" ht="26" customHeight="1" x14ac:dyDescent="0.2">
      <c r="A63" s="8" t="s">
        <v>138</v>
      </c>
      <c r="B63" s="7" t="s">
        <v>139</v>
      </c>
      <c r="C63" s="7" t="s">
        <v>138</v>
      </c>
      <c r="D63" s="7" t="s">
        <v>266</v>
      </c>
      <c r="E63" s="3" t="s">
        <v>76</v>
      </c>
      <c r="F63" s="3">
        <v>9028</v>
      </c>
      <c r="G63" s="3"/>
      <c r="H63" s="3"/>
      <c r="I63" s="3"/>
      <c r="J63" s="3"/>
      <c r="K63" s="3"/>
    </row>
    <row r="64" spans="1:11" ht="26" customHeight="1" x14ac:dyDescent="0.2">
      <c r="A64" s="8" t="s">
        <v>138</v>
      </c>
      <c r="B64" s="7" t="s">
        <v>139</v>
      </c>
      <c r="C64" s="7" t="s">
        <v>138</v>
      </c>
      <c r="D64" s="7" t="s">
        <v>266</v>
      </c>
      <c r="E64" s="3" t="s">
        <v>52</v>
      </c>
      <c r="F64" s="3">
        <v>8950</v>
      </c>
      <c r="G64" s="3"/>
      <c r="H64" s="3"/>
      <c r="I64" s="3"/>
      <c r="J64" s="3"/>
      <c r="K64" s="3"/>
    </row>
    <row r="65" spans="1:11" ht="26" customHeight="1" x14ac:dyDescent="0.2">
      <c r="A65" s="8" t="s">
        <v>138</v>
      </c>
      <c r="B65" s="7" t="s">
        <v>139</v>
      </c>
      <c r="C65" s="7" t="s">
        <v>138</v>
      </c>
      <c r="D65" s="7" t="s">
        <v>266</v>
      </c>
      <c r="E65" s="3" t="s">
        <v>70</v>
      </c>
      <c r="F65" s="3">
        <v>8587</v>
      </c>
      <c r="G65" s="3"/>
      <c r="H65" s="3"/>
      <c r="I65" s="3"/>
      <c r="J65" s="3"/>
      <c r="K65" s="3"/>
    </row>
    <row r="66" spans="1:11" ht="26" customHeight="1" x14ac:dyDescent="0.2">
      <c r="A66" s="20" t="s">
        <v>135</v>
      </c>
      <c r="B66" s="21" t="s">
        <v>136</v>
      </c>
      <c r="C66" s="21" t="s">
        <v>137</v>
      </c>
      <c r="D66" s="7" t="s">
        <v>267</v>
      </c>
      <c r="E66" s="3" t="s">
        <v>129</v>
      </c>
      <c r="F66" s="3">
        <v>8537</v>
      </c>
      <c r="G66" s="3"/>
      <c r="H66" s="3"/>
      <c r="I66" s="3"/>
      <c r="J66" s="3"/>
      <c r="K66" s="3"/>
    </row>
    <row r="67" spans="1:11" ht="26" customHeight="1" x14ac:dyDescent="0.2">
      <c r="A67" s="8" t="s">
        <v>138</v>
      </c>
      <c r="B67" s="7" t="s">
        <v>139</v>
      </c>
      <c r="C67" s="7" t="s">
        <v>138</v>
      </c>
      <c r="D67" s="7" t="s">
        <v>266</v>
      </c>
      <c r="E67" s="3" t="s">
        <v>65</v>
      </c>
      <c r="F67" s="3">
        <v>8026</v>
      </c>
      <c r="G67" s="3"/>
      <c r="H67" s="3"/>
      <c r="I67" s="3"/>
      <c r="J67" s="3"/>
      <c r="K67" s="3"/>
    </row>
    <row r="68" spans="1:11" ht="26" customHeight="1" x14ac:dyDescent="0.2">
      <c r="A68" s="8" t="s">
        <v>138</v>
      </c>
      <c r="B68" s="7" t="s">
        <v>139</v>
      </c>
      <c r="C68" s="7" t="s">
        <v>138</v>
      </c>
      <c r="D68" s="7" t="s">
        <v>266</v>
      </c>
      <c r="E68" s="3" t="s">
        <v>64</v>
      </c>
      <c r="F68" s="3">
        <v>7642</v>
      </c>
      <c r="G68" s="3"/>
      <c r="H68" s="3"/>
      <c r="I68" s="3"/>
      <c r="J68" s="3"/>
      <c r="K68" s="3"/>
    </row>
    <row r="69" spans="1:11" ht="26" customHeight="1" x14ac:dyDescent="0.2">
      <c r="A69" s="8" t="s">
        <v>138</v>
      </c>
      <c r="B69" s="7" t="s">
        <v>139</v>
      </c>
      <c r="C69" s="7" t="s">
        <v>138</v>
      </c>
      <c r="D69" s="7" t="s">
        <v>266</v>
      </c>
      <c r="E69" s="3" t="s">
        <v>73</v>
      </c>
      <c r="F69" s="3">
        <v>7622</v>
      </c>
      <c r="G69" s="3"/>
      <c r="H69" s="3"/>
      <c r="I69" s="3"/>
      <c r="J69" s="3"/>
      <c r="K69" s="3"/>
    </row>
    <row r="70" spans="1:11" ht="26" customHeight="1" x14ac:dyDescent="0.2">
      <c r="A70" s="8" t="s">
        <v>138</v>
      </c>
      <c r="B70" s="7" t="s">
        <v>139</v>
      </c>
      <c r="C70" s="7" t="s">
        <v>138</v>
      </c>
      <c r="D70" s="7" t="s">
        <v>266</v>
      </c>
      <c r="E70" s="3" t="s">
        <v>41</v>
      </c>
      <c r="F70" s="3">
        <v>7495</v>
      </c>
      <c r="G70" s="3"/>
      <c r="H70" s="3"/>
      <c r="I70" s="3"/>
      <c r="J70" s="3"/>
      <c r="K70" s="3"/>
    </row>
    <row r="71" spans="1:11" ht="26" customHeight="1" x14ac:dyDescent="0.2">
      <c r="A71" s="8" t="s">
        <v>138</v>
      </c>
      <c r="B71" s="7" t="s">
        <v>139</v>
      </c>
      <c r="C71" s="7" t="s">
        <v>138</v>
      </c>
      <c r="D71" s="7" t="s">
        <v>266</v>
      </c>
      <c r="E71" s="3" t="s">
        <v>67</v>
      </c>
      <c r="F71" s="3">
        <v>7361</v>
      </c>
      <c r="G71" s="3"/>
      <c r="H71" s="3"/>
      <c r="I71" s="3"/>
      <c r="J71" s="3"/>
      <c r="K71" s="3"/>
    </row>
    <row r="72" spans="1:11" ht="26" customHeight="1" x14ac:dyDescent="0.2">
      <c r="A72" s="8" t="s">
        <v>138</v>
      </c>
      <c r="B72" s="7" t="s">
        <v>139</v>
      </c>
      <c r="C72" s="7" t="s">
        <v>138</v>
      </c>
      <c r="D72" s="7" t="s">
        <v>266</v>
      </c>
      <c r="E72" s="3" t="s">
        <v>75</v>
      </c>
      <c r="F72" s="3">
        <v>7287</v>
      </c>
      <c r="G72" s="3"/>
      <c r="H72" s="3"/>
      <c r="I72" s="3"/>
      <c r="J72" s="3"/>
      <c r="K72" s="3"/>
    </row>
    <row r="73" spans="1:11" ht="26" customHeight="1" x14ac:dyDescent="0.2">
      <c r="A73" s="8" t="s">
        <v>138</v>
      </c>
      <c r="B73" s="7" t="s">
        <v>139</v>
      </c>
      <c r="C73" s="7" t="s">
        <v>138</v>
      </c>
      <c r="D73" s="7" t="s">
        <v>266</v>
      </c>
      <c r="E73" s="3" t="s">
        <v>56</v>
      </c>
      <c r="F73" s="3">
        <v>7240</v>
      </c>
      <c r="G73" s="3"/>
      <c r="H73" s="3"/>
      <c r="I73" s="3"/>
      <c r="J73" s="3"/>
      <c r="K73" s="3"/>
    </row>
    <row r="74" spans="1:11" ht="26" customHeight="1" x14ac:dyDescent="0.2">
      <c r="A74" s="8" t="s">
        <v>138</v>
      </c>
      <c r="B74" s="7" t="s">
        <v>139</v>
      </c>
      <c r="C74" s="7" t="s">
        <v>138</v>
      </c>
      <c r="D74" s="7" t="s">
        <v>266</v>
      </c>
      <c r="E74" s="3" t="s">
        <v>71</v>
      </c>
      <c r="F74" s="3">
        <v>7088</v>
      </c>
      <c r="G74" s="3"/>
      <c r="H74" s="3"/>
      <c r="I74" s="3"/>
      <c r="J74" s="3"/>
      <c r="K74" s="3"/>
    </row>
    <row r="75" spans="1:11" ht="26" customHeight="1" x14ac:dyDescent="0.2">
      <c r="A75" s="20" t="s">
        <v>135</v>
      </c>
      <c r="B75" s="21" t="s">
        <v>136</v>
      </c>
      <c r="C75" s="21" t="s">
        <v>137</v>
      </c>
      <c r="D75" s="7" t="s">
        <v>267</v>
      </c>
      <c r="E75" s="3" t="s">
        <v>130</v>
      </c>
      <c r="F75" s="3">
        <v>6966</v>
      </c>
      <c r="G75" s="3"/>
      <c r="H75" s="3"/>
      <c r="I75" s="3"/>
      <c r="J75" s="3"/>
      <c r="K75" s="3"/>
    </row>
    <row r="76" spans="1:11" ht="26" customHeight="1" x14ac:dyDescent="0.2">
      <c r="A76" s="8" t="s">
        <v>138</v>
      </c>
      <c r="B76" s="7" t="s">
        <v>139</v>
      </c>
      <c r="C76" s="7" t="s">
        <v>138</v>
      </c>
      <c r="D76" s="7" t="s">
        <v>266</v>
      </c>
      <c r="E76" s="3" t="s">
        <v>53</v>
      </c>
      <c r="F76" s="3">
        <v>6721</v>
      </c>
      <c r="G76" s="3"/>
      <c r="H76" s="3"/>
      <c r="I76" s="3"/>
      <c r="J76" s="3"/>
      <c r="K76" s="3"/>
    </row>
    <row r="77" spans="1:11" ht="26" customHeight="1" x14ac:dyDescent="0.2">
      <c r="A77" s="8" t="s">
        <v>138</v>
      </c>
      <c r="B77" s="7" t="s">
        <v>139</v>
      </c>
      <c r="C77" s="7" t="s">
        <v>138</v>
      </c>
      <c r="D77" s="7" t="s">
        <v>266</v>
      </c>
      <c r="E77" s="3" t="s">
        <v>59</v>
      </c>
      <c r="F77" s="3">
        <v>6384</v>
      </c>
      <c r="G77" s="3"/>
      <c r="H77" s="7"/>
      <c r="I77" s="3"/>
      <c r="J77" s="3"/>
      <c r="K77" s="3"/>
    </row>
    <row r="78" spans="1:11" ht="26" customHeight="1" x14ac:dyDescent="0.2">
      <c r="A78" s="8" t="s">
        <v>138</v>
      </c>
      <c r="B78" s="7" t="s">
        <v>139</v>
      </c>
      <c r="C78" s="7" t="s">
        <v>138</v>
      </c>
      <c r="D78" s="7" t="s">
        <v>266</v>
      </c>
      <c r="E78" s="3" t="s">
        <v>78</v>
      </c>
      <c r="F78" s="3">
        <v>6248</v>
      </c>
      <c r="G78" s="3"/>
      <c r="H78" s="7"/>
      <c r="I78" s="3"/>
      <c r="J78" s="3"/>
      <c r="K78" s="3"/>
    </row>
    <row r="79" spans="1:11" ht="26" customHeight="1" x14ac:dyDescent="0.2">
      <c r="A79" s="8" t="s">
        <v>138</v>
      </c>
      <c r="B79" s="7" t="s">
        <v>139</v>
      </c>
      <c r="C79" s="7" t="s">
        <v>138</v>
      </c>
      <c r="D79" s="7" t="s">
        <v>266</v>
      </c>
      <c r="E79" s="3" t="s">
        <v>72</v>
      </c>
      <c r="F79" s="3">
        <v>5883</v>
      </c>
      <c r="G79" s="3"/>
      <c r="H79" s="3"/>
      <c r="I79" s="3"/>
      <c r="J79" s="3"/>
      <c r="K79" s="3"/>
    </row>
    <row r="80" spans="1:11" ht="26" customHeight="1" x14ac:dyDescent="0.2">
      <c r="A80" s="8" t="s">
        <v>138</v>
      </c>
      <c r="B80" s="7" t="s">
        <v>139</v>
      </c>
      <c r="C80" s="7" t="s">
        <v>138</v>
      </c>
      <c r="D80" s="7" t="s">
        <v>266</v>
      </c>
      <c r="E80" s="3" t="s">
        <v>27</v>
      </c>
      <c r="F80" s="3">
        <v>5568</v>
      </c>
      <c r="G80" s="3"/>
      <c r="H80" s="7"/>
      <c r="I80" s="3"/>
      <c r="J80" s="3"/>
      <c r="K80" s="3"/>
    </row>
    <row r="81" spans="1:11" ht="26" customHeight="1" x14ac:dyDescent="0.2">
      <c r="A81" s="20" t="s">
        <v>135</v>
      </c>
      <c r="B81" s="21" t="s">
        <v>136</v>
      </c>
      <c r="C81" s="21" t="s">
        <v>137</v>
      </c>
      <c r="D81" s="7" t="s">
        <v>267</v>
      </c>
      <c r="E81" s="3" t="s">
        <v>131</v>
      </c>
      <c r="F81" s="3">
        <v>5506</v>
      </c>
      <c r="G81" s="3"/>
      <c r="H81" s="3"/>
      <c r="I81" s="3"/>
      <c r="J81" s="3"/>
      <c r="K81" s="3"/>
    </row>
    <row r="82" spans="1:11" ht="26" customHeight="1" x14ac:dyDescent="0.2">
      <c r="A82" s="8" t="s">
        <v>138</v>
      </c>
      <c r="B82" s="7" t="s">
        <v>139</v>
      </c>
      <c r="C82" s="7" t="s">
        <v>138</v>
      </c>
      <c r="D82" s="7" t="s">
        <v>266</v>
      </c>
      <c r="E82" s="3" t="s">
        <v>57</v>
      </c>
      <c r="F82" s="3">
        <v>5218</v>
      </c>
      <c r="G82" s="3"/>
      <c r="H82" s="3"/>
      <c r="I82" s="3"/>
      <c r="J82" s="3"/>
      <c r="K82" s="3"/>
    </row>
    <row r="83" spans="1:11" ht="26" customHeight="1" x14ac:dyDescent="0.2">
      <c r="A83" s="8" t="s">
        <v>138</v>
      </c>
      <c r="B83" s="7" t="s">
        <v>139</v>
      </c>
      <c r="C83" s="7" t="s">
        <v>138</v>
      </c>
      <c r="D83" s="7" t="s">
        <v>266</v>
      </c>
      <c r="E83" s="3" t="s">
        <v>47</v>
      </c>
      <c r="F83" s="3">
        <v>4659</v>
      </c>
      <c r="G83" s="3"/>
      <c r="H83" s="7"/>
      <c r="I83" s="3"/>
      <c r="J83" s="3"/>
      <c r="K83" s="3"/>
    </row>
    <row r="84" spans="1:11" ht="26" customHeight="1" x14ac:dyDescent="0.2">
      <c r="A84" s="20" t="s">
        <v>135</v>
      </c>
      <c r="B84" s="21" t="s">
        <v>136</v>
      </c>
      <c r="C84" s="21" t="s">
        <v>137</v>
      </c>
      <c r="D84" s="7" t="s">
        <v>267</v>
      </c>
      <c r="E84" s="3" t="s">
        <v>133</v>
      </c>
      <c r="F84" s="3">
        <v>4151</v>
      </c>
      <c r="G84" s="3"/>
      <c r="H84" s="3"/>
      <c r="I84" s="3"/>
      <c r="J84" s="3"/>
      <c r="K84" s="3"/>
    </row>
    <row r="85" spans="1:11" ht="26" customHeight="1" x14ac:dyDescent="0.2">
      <c r="A85" s="8" t="s">
        <v>138</v>
      </c>
      <c r="B85" s="7" t="s">
        <v>139</v>
      </c>
      <c r="C85" s="7" t="s">
        <v>138</v>
      </c>
      <c r="D85" s="7" t="s">
        <v>266</v>
      </c>
      <c r="E85" s="3" t="s">
        <v>77</v>
      </c>
      <c r="F85" s="3">
        <v>4058</v>
      </c>
      <c r="G85" s="3"/>
      <c r="H85" s="3"/>
      <c r="I85" s="3"/>
      <c r="J85" s="3"/>
      <c r="K85" s="3"/>
    </row>
    <row r="86" spans="1:11" ht="26" customHeight="1" x14ac:dyDescent="0.2">
      <c r="A86" s="8" t="s">
        <v>138</v>
      </c>
      <c r="B86" s="7" t="s">
        <v>139</v>
      </c>
      <c r="C86" s="7" t="s">
        <v>138</v>
      </c>
      <c r="D86" s="7" t="s">
        <v>266</v>
      </c>
      <c r="E86" s="3" t="s">
        <v>28</v>
      </c>
      <c r="F86" s="3">
        <v>3364</v>
      </c>
      <c r="G86" s="3"/>
      <c r="H86" s="3"/>
      <c r="I86" s="3"/>
      <c r="J86" s="3"/>
      <c r="K86" s="3"/>
    </row>
    <row r="87" spans="1:11" ht="26" customHeight="1" x14ac:dyDescent="0.2">
      <c r="A87" s="20" t="s">
        <v>135</v>
      </c>
      <c r="B87" s="21" t="s">
        <v>136</v>
      </c>
      <c r="C87" s="21" t="s">
        <v>137</v>
      </c>
      <c r="D87" s="7" t="s">
        <v>267</v>
      </c>
      <c r="E87" s="7" t="s">
        <v>132</v>
      </c>
      <c r="F87" s="7">
        <v>3078</v>
      </c>
      <c r="G87" s="3"/>
      <c r="H87" s="3"/>
      <c r="I87" s="3"/>
      <c r="J87" s="3"/>
      <c r="K87" s="3"/>
    </row>
    <row r="88" spans="1:11" ht="26" customHeight="1" x14ac:dyDescent="0.2">
      <c r="A88" s="8" t="s">
        <v>138</v>
      </c>
      <c r="B88" s="7" t="s">
        <v>139</v>
      </c>
      <c r="C88" s="7" t="s">
        <v>138</v>
      </c>
      <c r="D88" s="7" t="s">
        <v>266</v>
      </c>
      <c r="E88" s="3" t="s">
        <v>48</v>
      </c>
      <c r="F88" s="3">
        <v>2071</v>
      </c>
      <c r="G88" s="3"/>
      <c r="H88" s="3"/>
      <c r="I88" s="3"/>
      <c r="J88" s="3"/>
      <c r="K88" s="3"/>
    </row>
    <row r="89" spans="1:11" ht="26" customHeight="1" x14ac:dyDescent="0.2">
      <c r="A89" s="8" t="s">
        <v>138</v>
      </c>
      <c r="B89" s="7" t="s">
        <v>139</v>
      </c>
      <c r="C89" s="7" t="s">
        <v>138</v>
      </c>
      <c r="D89" s="7" t="s">
        <v>266</v>
      </c>
      <c r="E89" s="3" t="s">
        <v>62</v>
      </c>
      <c r="F89" s="3">
        <v>1865</v>
      </c>
      <c r="G89" s="3"/>
      <c r="H89" s="3"/>
      <c r="I89" s="3"/>
      <c r="J89" s="3"/>
      <c r="K89" s="3"/>
    </row>
    <row r="90" spans="1:11" ht="26" customHeight="1" x14ac:dyDescent="0.2">
      <c r="A90" s="8" t="s">
        <v>138</v>
      </c>
      <c r="B90" s="7" t="s">
        <v>139</v>
      </c>
      <c r="C90" s="7" t="s">
        <v>138</v>
      </c>
      <c r="D90" s="7" t="s">
        <v>266</v>
      </c>
      <c r="E90" s="3" t="s">
        <v>34</v>
      </c>
      <c r="F90" s="3">
        <v>1604</v>
      </c>
      <c r="G90" s="3"/>
      <c r="H90" s="3"/>
      <c r="I90" s="3"/>
      <c r="J90" s="3"/>
      <c r="K90" s="3"/>
    </row>
    <row r="91" spans="1:11" ht="26" customHeight="1" x14ac:dyDescent="0.2">
      <c r="A91" s="8" t="s">
        <v>138</v>
      </c>
      <c r="B91" s="7" t="s">
        <v>139</v>
      </c>
      <c r="C91" s="7" t="s">
        <v>138</v>
      </c>
      <c r="D91" s="7" t="s">
        <v>266</v>
      </c>
      <c r="E91" s="3" t="s">
        <v>42</v>
      </c>
      <c r="F91" s="3">
        <v>1447</v>
      </c>
      <c r="G91" s="3"/>
      <c r="H91" s="3"/>
      <c r="I91" s="3"/>
      <c r="J91" s="3"/>
      <c r="K91" s="3"/>
    </row>
    <row r="92" spans="1:11" ht="26" customHeight="1" x14ac:dyDescent="0.2">
      <c r="A92" s="8" t="s">
        <v>138</v>
      </c>
      <c r="B92" s="7" t="s">
        <v>139</v>
      </c>
      <c r="C92" s="7" t="s">
        <v>138</v>
      </c>
      <c r="D92" s="7" t="s">
        <v>266</v>
      </c>
      <c r="E92" s="3" t="s">
        <v>69</v>
      </c>
      <c r="F92" s="3">
        <v>1320</v>
      </c>
      <c r="G92" s="3"/>
      <c r="H92" s="3"/>
      <c r="I92" s="3"/>
      <c r="J92" s="3"/>
      <c r="K92" s="3"/>
    </row>
    <row r="93" spans="1:11" ht="26" customHeight="1" x14ac:dyDescent="0.2">
      <c r="A93" s="8" t="s">
        <v>138</v>
      </c>
      <c r="B93" s="7" t="s">
        <v>139</v>
      </c>
      <c r="C93" s="7" t="s">
        <v>138</v>
      </c>
      <c r="D93" s="7" t="s">
        <v>266</v>
      </c>
      <c r="E93" s="3" t="s">
        <v>66</v>
      </c>
      <c r="F93" s="3">
        <v>1095</v>
      </c>
      <c r="G93" s="3"/>
      <c r="H93" s="3"/>
      <c r="I93" s="3"/>
      <c r="J93" s="3"/>
      <c r="K93" s="3"/>
    </row>
    <row r="94" spans="1:11" ht="26" customHeight="1" x14ac:dyDescent="0.2">
      <c r="A94" s="8" t="s">
        <v>138</v>
      </c>
      <c r="B94" s="7" t="s">
        <v>139</v>
      </c>
      <c r="C94" s="7" t="s">
        <v>138</v>
      </c>
      <c r="D94" s="7" t="s">
        <v>266</v>
      </c>
      <c r="E94" s="3" t="s">
        <v>63</v>
      </c>
      <c r="F94" s="3">
        <v>984</v>
      </c>
      <c r="G94" s="3"/>
      <c r="H94" s="3"/>
      <c r="I94" s="3"/>
      <c r="J94" s="3"/>
      <c r="K94" s="3"/>
    </row>
    <row r="95" spans="1:11" ht="26" customHeight="1" x14ac:dyDescent="0.2">
      <c r="A95" s="8" t="s">
        <v>138</v>
      </c>
      <c r="B95" s="7" t="s">
        <v>139</v>
      </c>
      <c r="C95" s="7" t="s">
        <v>138</v>
      </c>
      <c r="D95" s="7" t="s">
        <v>266</v>
      </c>
      <c r="E95" s="3" t="s">
        <v>55</v>
      </c>
      <c r="F95" s="3">
        <v>863</v>
      </c>
      <c r="G95" s="3"/>
      <c r="H95" s="3"/>
      <c r="I95" s="3"/>
      <c r="J95" s="3"/>
      <c r="K95" s="3"/>
    </row>
    <row r="96" spans="1:11" ht="26" customHeight="1" x14ac:dyDescent="0.2">
      <c r="A96" s="20" t="s">
        <v>135</v>
      </c>
      <c r="B96" s="21" t="s">
        <v>136</v>
      </c>
      <c r="C96" s="21" t="s">
        <v>137</v>
      </c>
      <c r="D96" s="7" t="s">
        <v>267</v>
      </c>
      <c r="E96" s="3" t="s">
        <v>134</v>
      </c>
      <c r="F96" s="3">
        <v>8</v>
      </c>
      <c r="G96" s="3"/>
      <c r="H96" s="3"/>
      <c r="I96" s="3"/>
      <c r="J96" s="3"/>
      <c r="K96" s="3"/>
    </row>
    <row r="97" spans="5:11" ht="26" customHeight="1" x14ac:dyDescent="0.2">
      <c r="E97" s="3" t="s">
        <v>277</v>
      </c>
      <c r="F97">
        <f>SUM(F6:F96)</f>
        <v>2470751</v>
      </c>
      <c r="G97" s="3"/>
      <c r="H97" s="3"/>
      <c r="I97" s="3"/>
      <c r="J97" s="3"/>
      <c r="K97" s="3"/>
    </row>
    <row r="98" spans="5:11" ht="26" customHeight="1" x14ac:dyDescent="0.2">
      <c r="G98" s="3"/>
      <c r="H98" s="3"/>
      <c r="I98" s="3"/>
      <c r="J98" s="3"/>
      <c r="K98" s="3"/>
    </row>
    <row r="99" spans="5:11" ht="26" customHeight="1" x14ac:dyDescent="0.2">
      <c r="G99" s="3"/>
      <c r="H99" s="3"/>
      <c r="I99" s="3"/>
      <c r="J99" s="3"/>
      <c r="K99" s="3"/>
    </row>
    <row r="100" spans="5:11" ht="26" customHeight="1" x14ac:dyDescent="0.2">
      <c r="G100" s="3"/>
      <c r="H100" s="3"/>
      <c r="I100" s="3"/>
      <c r="J100" s="3"/>
      <c r="K100" s="3"/>
    </row>
    <row r="101" spans="5:11" ht="26" customHeight="1" x14ac:dyDescent="0.2">
      <c r="G101" s="3"/>
      <c r="H101" s="3"/>
      <c r="I101" s="3"/>
      <c r="J101" s="3"/>
      <c r="K101" s="3"/>
    </row>
    <row r="102" spans="5:11" ht="26" customHeight="1" x14ac:dyDescent="0.2">
      <c r="G102" s="3"/>
      <c r="H102" s="3"/>
      <c r="I102" s="3"/>
      <c r="J102" s="3"/>
      <c r="K102" s="3"/>
    </row>
    <row r="103" spans="5:11" ht="26" customHeight="1" x14ac:dyDescent="0.2">
      <c r="G103" s="3"/>
      <c r="H103" s="3"/>
      <c r="I103" s="3"/>
      <c r="J103" s="3"/>
      <c r="K103" s="3"/>
    </row>
    <row r="104" spans="5:11" ht="26" customHeight="1" x14ac:dyDescent="0.2">
      <c r="G104" s="3"/>
      <c r="H104" s="3"/>
      <c r="I104" s="3"/>
      <c r="J104" s="3"/>
      <c r="K104" s="3"/>
    </row>
    <row r="105" spans="5:11" ht="26" customHeight="1" x14ac:dyDescent="0.2">
      <c r="G105" s="23"/>
      <c r="H105" s="23"/>
      <c r="I105" s="23"/>
      <c r="J105" s="3"/>
    </row>
    <row r="106" spans="5:11" ht="26" customHeight="1" x14ac:dyDescent="0.2">
      <c r="J106" s="3"/>
    </row>
    <row r="107" spans="5:11" ht="26" customHeight="1" x14ac:dyDescent="0.2">
      <c r="J107" s="3"/>
    </row>
    <row r="108" spans="5:11" ht="26" customHeight="1" x14ac:dyDescent="0.2">
      <c r="J108" s="3"/>
    </row>
    <row r="109" spans="5:11" ht="26" customHeight="1" x14ac:dyDescent="0.2">
      <c r="J109" s="3"/>
    </row>
    <row r="110" spans="5:11" ht="26" customHeight="1" x14ac:dyDescent="0.2">
      <c r="J110" s="3"/>
    </row>
    <row r="111" spans="5:11" ht="26" customHeight="1" x14ac:dyDescent="0.2">
      <c r="J111" s="3"/>
    </row>
    <row r="112" spans="5:11" ht="26" customHeight="1" x14ac:dyDescent="0.2">
      <c r="J112" s="3"/>
    </row>
    <row r="113" spans="10:10" ht="26" customHeight="1" x14ac:dyDescent="0.2">
      <c r="J113" s="3"/>
    </row>
    <row r="114" spans="10:10" ht="26" customHeight="1" x14ac:dyDescent="0.2">
      <c r="J114" s="3"/>
    </row>
    <row r="115" spans="10:10" ht="26" customHeight="1" x14ac:dyDescent="0.2">
      <c r="J115" s="3"/>
    </row>
    <row r="1048576" spans="6:6" ht="26" customHeight="1" x14ac:dyDescent="0.2">
      <c r="F1048576">
        <f>SUM(F1:F1048575)</f>
        <v>4941502</v>
      </c>
    </row>
  </sheetData>
  <autoFilter ref="A5:F96" xr:uid="{9BF0867C-C923-C744-A622-7742787C37C2}">
    <sortState xmlns:xlrd2="http://schemas.microsoft.com/office/spreadsheetml/2017/richdata2" ref="A6:F96">
      <sortCondition descending="1" ref="F5:F96"/>
    </sortState>
  </autoFilter>
  <sortState xmlns:xlrd2="http://schemas.microsoft.com/office/spreadsheetml/2017/richdata2" ref="A27:F96">
    <sortCondition descending="1" ref="F27:F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8E3E-D125-3C4C-955B-EC34BFA08AEA}">
  <dimension ref="A1:L22"/>
  <sheetViews>
    <sheetView workbookViewId="0">
      <selection activeCell="F3" sqref="F3"/>
    </sheetView>
  </sheetViews>
  <sheetFormatPr baseColWidth="10" defaultRowHeight="15" x14ac:dyDescent="0.2"/>
  <cols>
    <col min="1" max="1" width="24" customWidth="1"/>
    <col min="2" max="2" width="35.5" customWidth="1"/>
    <col min="3" max="3" width="51.33203125" customWidth="1"/>
    <col min="4" max="4" width="22.33203125" customWidth="1"/>
    <col min="5" max="5" width="17.83203125" customWidth="1"/>
    <col min="6" max="8" width="22.33203125" customWidth="1"/>
    <col min="9" max="9" width="17.5" customWidth="1"/>
  </cols>
  <sheetData>
    <row r="1" spans="1:12" x14ac:dyDescent="0.2">
      <c r="A1" s="1" t="s">
        <v>260</v>
      </c>
      <c r="B1" s="1"/>
      <c r="C1" s="1"/>
      <c r="D1" s="1"/>
      <c r="E1" s="1"/>
      <c r="F1" s="1"/>
      <c r="G1" s="1"/>
      <c r="H1" s="1"/>
      <c r="I1" s="1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12" x14ac:dyDescent="0.2">
      <c r="A3" s="1" t="s">
        <v>140</v>
      </c>
      <c r="B3" s="1"/>
      <c r="C3" s="1"/>
      <c r="D3" s="1"/>
      <c r="E3" s="1"/>
      <c r="F3" s="1"/>
      <c r="G3" s="1"/>
      <c r="H3" s="1"/>
      <c r="I3" s="1"/>
    </row>
    <row r="4" spans="1:12" x14ac:dyDescent="0.2">
      <c r="A4" s="1" t="s">
        <v>82</v>
      </c>
      <c r="B4" s="1"/>
      <c r="C4" s="1"/>
      <c r="D4" s="1"/>
      <c r="E4" s="1"/>
      <c r="F4" s="1"/>
      <c r="G4" s="1"/>
      <c r="H4" s="1"/>
      <c r="I4" s="1"/>
    </row>
    <row r="5" spans="1:12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  <c r="G5" s="6"/>
      <c r="H5" s="6"/>
      <c r="I5" s="6"/>
    </row>
    <row r="6" spans="1:12" x14ac:dyDescent="0.2">
      <c r="A6" s="7" t="s">
        <v>148</v>
      </c>
      <c r="B6" s="7" t="s">
        <v>149</v>
      </c>
      <c r="C6" s="7" t="s">
        <v>268</v>
      </c>
      <c r="D6" s="3" t="s">
        <v>85</v>
      </c>
      <c r="E6" s="3">
        <v>344772</v>
      </c>
      <c r="F6" s="3"/>
      <c r="G6" s="3"/>
      <c r="H6" s="3"/>
      <c r="I6" s="3"/>
      <c r="J6" s="3"/>
    </row>
    <row r="7" spans="1:12" x14ac:dyDescent="0.2">
      <c r="A7" s="7" t="s">
        <v>148</v>
      </c>
      <c r="B7" s="7" t="s">
        <v>149</v>
      </c>
      <c r="C7" s="7" t="s">
        <v>268</v>
      </c>
      <c r="D7" s="7" t="s">
        <v>89</v>
      </c>
      <c r="E7" s="7">
        <v>328089</v>
      </c>
      <c r="F7" s="7"/>
      <c r="G7" s="3"/>
      <c r="H7" s="3"/>
      <c r="I7" s="7"/>
      <c r="J7" s="7"/>
    </row>
    <row r="8" spans="1:12" x14ac:dyDescent="0.2">
      <c r="A8" s="7" t="s">
        <v>148</v>
      </c>
      <c r="B8" s="7" t="s">
        <v>149</v>
      </c>
      <c r="C8" s="7" t="s">
        <v>268</v>
      </c>
      <c r="D8" s="7" t="s">
        <v>141</v>
      </c>
      <c r="E8" s="7">
        <v>290587</v>
      </c>
      <c r="F8" s="7"/>
      <c r="G8" s="3"/>
      <c r="H8" s="3"/>
      <c r="I8" s="7"/>
      <c r="J8" s="7"/>
    </row>
    <row r="9" spans="1:12" x14ac:dyDescent="0.2">
      <c r="A9" s="7" t="s">
        <v>148</v>
      </c>
      <c r="B9" s="7" t="s">
        <v>149</v>
      </c>
      <c r="C9" s="7" t="s">
        <v>268</v>
      </c>
      <c r="D9" s="7" t="s">
        <v>99</v>
      </c>
      <c r="E9" s="7">
        <v>275441</v>
      </c>
      <c r="F9" s="7"/>
      <c r="G9" s="3"/>
      <c r="H9" s="3"/>
      <c r="I9" s="7"/>
      <c r="J9" s="7"/>
      <c r="L9" s="7"/>
    </row>
    <row r="10" spans="1:12" x14ac:dyDescent="0.2">
      <c r="A10" s="7" t="s">
        <v>148</v>
      </c>
      <c r="B10" s="7" t="s">
        <v>149</v>
      </c>
      <c r="C10" s="7" t="s">
        <v>268</v>
      </c>
      <c r="D10" s="7" t="s">
        <v>95</v>
      </c>
      <c r="E10" s="7">
        <v>260443</v>
      </c>
      <c r="F10" s="7"/>
      <c r="G10" s="3"/>
      <c r="H10" s="3"/>
      <c r="I10" s="7"/>
      <c r="J10" s="7"/>
    </row>
    <row r="11" spans="1:12" x14ac:dyDescent="0.2">
      <c r="A11" s="7" t="s">
        <v>148</v>
      </c>
      <c r="B11" s="7" t="s">
        <v>149</v>
      </c>
      <c r="C11" s="7" t="s">
        <v>268</v>
      </c>
      <c r="D11" s="7" t="s">
        <v>142</v>
      </c>
      <c r="E11" s="7">
        <v>235184</v>
      </c>
      <c r="F11" s="7"/>
      <c r="G11" s="3"/>
      <c r="H11" s="3"/>
      <c r="I11" s="7"/>
      <c r="J11" s="7"/>
    </row>
    <row r="12" spans="1:12" x14ac:dyDescent="0.2">
      <c r="A12" s="7" t="s">
        <v>148</v>
      </c>
      <c r="B12" s="7" t="s">
        <v>149</v>
      </c>
      <c r="C12" s="7" t="s">
        <v>268</v>
      </c>
      <c r="D12" s="7" t="s">
        <v>98</v>
      </c>
      <c r="E12" s="7">
        <v>210211</v>
      </c>
      <c r="F12" s="7"/>
      <c r="G12" s="3"/>
      <c r="H12" s="3"/>
      <c r="I12" s="7"/>
      <c r="J12" s="7"/>
    </row>
    <row r="13" spans="1:12" x14ac:dyDescent="0.2">
      <c r="A13" s="7" t="s">
        <v>148</v>
      </c>
      <c r="B13" s="7" t="s">
        <v>149</v>
      </c>
      <c r="C13" s="7" t="s">
        <v>268</v>
      </c>
      <c r="D13" s="7" t="s">
        <v>92</v>
      </c>
      <c r="E13" s="7">
        <v>160018</v>
      </c>
      <c r="F13" s="7"/>
      <c r="G13" s="3"/>
      <c r="H13" s="3"/>
      <c r="I13" s="7"/>
      <c r="J13" s="7"/>
    </row>
    <row r="14" spans="1:12" x14ac:dyDescent="0.2">
      <c r="A14" s="7" t="s">
        <v>148</v>
      </c>
      <c r="B14" s="7" t="s">
        <v>149</v>
      </c>
      <c r="C14" s="7" t="s">
        <v>268</v>
      </c>
      <c r="D14" s="3" t="s">
        <v>143</v>
      </c>
      <c r="E14" s="3">
        <v>121376</v>
      </c>
      <c r="F14" s="3"/>
      <c r="G14" s="3"/>
      <c r="H14" s="3"/>
      <c r="I14" s="3"/>
      <c r="J14" s="3"/>
    </row>
    <row r="15" spans="1:12" x14ac:dyDescent="0.2">
      <c r="A15" s="7" t="s">
        <v>148</v>
      </c>
      <c r="B15" s="7" t="s">
        <v>149</v>
      </c>
      <c r="C15" s="7" t="s">
        <v>268</v>
      </c>
      <c r="D15" s="3" t="s">
        <v>144</v>
      </c>
      <c r="E15" s="3">
        <v>93479</v>
      </c>
      <c r="F15" s="3"/>
      <c r="G15" s="3"/>
      <c r="H15" s="3"/>
      <c r="I15" s="3"/>
      <c r="J15" s="3"/>
    </row>
    <row r="16" spans="1:12" x14ac:dyDescent="0.2">
      <c r="A16" s="7" t="s">
        <v>148</v>
      </c>
      <c r="B16" s="7" t="s">
        <v>149</v>
      </c>
      <c r="C16" s="7" t="s">
        <v>268</v>
      </c>
      <c r="D16" s="3" t="s">
        <v>145</v>
      </c>
      <c r="E16" s="3">
        <v>74815</v>
      </c>
      <c r="F16" s="3"/>
      <c r="G16" s="3"/>
      <c r="H16" s="3"/>
      <c r="I16" s="3"/>
      <c r="J16" s="3"/>
    </row>
    <row r="17" spans="1:10" x14ac:dyDescent="0.2">
      <c r="A17" s="7" t="s">
        <v>148</v>
      </c>
      <c r="B17" s="7" t="s">
        <v>149</v>
      </c>
      <c r="C17" s="7" t="s">
        <v>268</v>
      </c>
      <c r="D17" s="3" t="s">
        <v>146</v>
      </c>
      <c r="E17" s="3">
        <v>55053</v>
      </c>
      <c r="F17" s="3"/>
      <c r="G17" s="3"/>
      <c r="H17" s="3"/>
      <c r="I17" s="3"/>
      <c r="J17" s="3"/>
    </row>
    <row r="18" spans="1:10" x14ac:dyDescent="0.2">
      <c r="A18" s="7" t="s">
        <v>148</v>
      </c>
      <c r="B18" s="7" t="s">
        <v>149</v>
      </c>
      <c r="C18" s="7" t="s">
        <v>268</v>
      </c>
      <c r="D18" s="3" t="s">
        <v>147</v>
      </c>
      <c r="E18" s="3">
        <v>21283</v>
      </c>
      <c r="F18" s="3"/>
      <c r="G18" s="3"/>
      <c r="H18" s="3"/>
      <c r="I18" s="3"/>
      <c r="J18" s="3"/>
    </row>
    <row r="19" spans="1:10" x14ac:dyDescent="0.2">
      <c r="A19" s="9" t="s">
        <v>80</v>
      </c>
      <c r="E19" s="9">
        <f>SUM(E6:E18)</f>
        <v>2470751</v>
      </c>
      <c r="F19" s="23"/>
      <c r="G19" s="3"/>
      <c r="H19" s="3"/>
      <c r="I19" s="23"/>
    </row>
    <row r="20" spans="1:10" x14ac:dyDescent="0.2">
      <c r="G20" s="3"/>
      <c r="H20" s="3"/>
    </row>
    <row r="21" spans="1:10" x14ac:dyDescent="0.2">
      <c r="G21" s="3"/>
      <c r="H21" s="3"/>
    </row>
    <row r="22" spans="1:10" x14ac:dyDescent="0.2">
      <c r="H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413-3266-0849-9675-CAF345B65590}">
  <dimension ref="A1:M37"/>
  <sheetViews>
    <sheetView topLeftCell="A4" workbookViewId="0">
      <selection activeCell="L35" sqref="L35"/>
    </sheetView>
  </sheetViews>
  <sheetFormatPr baseColWidth="10" defaultRowHeight="15" x14ac:dyDescent="0.2"/>
  <cols>
    <col min="1" max="1" width="21.5" customWidth="1"/>
    <col min="2" max="2" width="32.6640625" customWidth="1"/>
    <col min="3" max="3" width="49.83203125" customWidth="1"/>
    <col min="4" max="4" width="9.83203125" customWidth="1"/>
    <col min="5" max="5" width="19.1640625" customWidth="1"/>
    <col min="6" max="6" width="12.6640625" customWidth="1"/>
    <col min="10" max="11" width="11.5" customWidth="1"/>
  </cols>
  <sheetData>
    <row r="1" spans="1:11" x14ac:dyDescent="0.2">
      <c r="A1" s="1" t="s">
        <v>260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150</v>
      </c>
      <c r="B3" s="1"/>
      <c r="C3" s="1"/>
      <c r="D3" s="1"/>
      <c r="E3" s="1"/>
    </row>
    <row r="4" spans="1:11" x14ac:dyDescent="0.2">
      <c r="A4" s="1" t="s">
        <v>103</v>
      </c>
      <c r="B4" s="1"/>
      <c r="C4" s="1"/>
      <c r="D4" s="1"/>
      <c r="E4" s="1"/>
    </row>
    <row r="5" spans="1:11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  <c r="K5" s="16"/>
    </row>
    <row r="6" spans="1:11" x14ac:dyDescent="0.2">
      <c r="A6" s="7" t="s">
        <v>151</v>
      </c>
      <c r="B6" s="7" t="s">
        <v>152</v>
      </c>
      <c r="C6" s="7" t="s">
        <v>153</v>
      </c>
      <c r="D6" s="15">
        <v>45992</v>
      </c>
      <c r="E6" s="18">
        <v>79741</v>
      </c>
      <c r="F6" s="17">
        <v>1609.96</v>
      </c>
    </row>
    <row r="7" spans="1:11" x14ac:dyDescent="0.2">
      <c r="A7" s="7" t="s">
        <v>151</v>
      </c>
      <c r="B7" s="7" t="s">
        <v>152</v>
      </c>
      <c r="C7" s="7" t="s">
        <v>159</v>
      </c>
      <c r="D7" s="15">
        <v>45993</v>
      </c>
      <c r="E7" s="18">
        <v>79742</v>
      </c>
      <c r="F7" s="17">
        <v>1609.98</v>
      </c>
    </row>
    <row r="8" spans="1:11" x14ac:dyDescent="0.2">
      <c r="A8" s="7" t="s">
        <v>151</v>
      </c>
      <c r="B8" s="7" t="s">
        <v>152</v>
      </c>
      <c r="C8" s="7" t="s">
        <v>154</v>
      </c>
      <c r="D8" s="15">
        <v>45994</v>
      </c>
      <c r="E8" s="18">
        <v>79751</v>
      </c>
      <c r="F8" s="17">
        <v>1610.17</v>
      </c>
    </row>
    <row r="9" spans="1:11" x14ac:dyDescent="0.2">
      <c r="A9" s="7" t="s">
        <v>151</v>
      </c>
      <c r="B9" s="7" t="s">
        <v>152</v>
      </c>
      <c r="C9" s="7" t="s">
        <v>155</v>
      </c>
      <c r="D9" s="15">
        <v>45995</v>
      </c>
      <c r="E9" s="18">
        <v>79755</v>
      </c>
      <c r="F9" s="17">
        <v>1610.24</v>
      </c>
    </row>
    <row r="10" spans="1:11" x14ac:dyDescent="0.2">
      <c r="A10" s="7" t="s">
        <v>151</v>
      </c>
      <c r="B10" s="7" t="s">
        <v>152</v>
      </c>
      <c r="C10" s="7" t="s">
        <v>156</v>
      </c>
      <c r="D10" s="15">
        <v>45996</v>
      </c>
      <c r="E10" s="18">
        <v>79739</v>
      </c>
      <c r="F10" s="17">
        <v>1609.92</v>
      </c>
    </row>
    <row r="11" spans="1:11" x14ac:dyDescent="0.2">
      <c r="A11" s="7" t="s">
        <v>151</v>
      </c>
      <c r="B11" s="7" t="s">
        <v>152</v>
      </c>
      <c r="C11" s="7" t="s">
        <v>157</v>
      </c>
      <c r="D11" s="15">
        <v>45997</v>
      </c>
      <c r="E11" s="18">
        <v>79749</v>
      </c>
      <c r="F11" s="17">
        <v>1610.13</v>
      </c>
    </row>
    <row r="12" spans="1:11" x14ac:dyDescent="0.2">
      <c r="A12" s="7" t="s">
        <v>151</v>
      </c>
      <c r="B12" s="7" t="s">
        <v>152</v>
      </c>
      <c r="C12" s="7" t="s">
        <v>158</v>
      </c>
      <c r="D12" s="15">
        <v>45998</v>
      </c>
      <c r="E12" s="18">
        <v>79740</v>
      </c>
      <c r="F12" s="17">
        <v>1609.94</v>
      </c>
    </row>
    <row r="13" spans="1:11" x14ac:dyDescent="0.2">
      <c r="A13" s="7" t="s">
        <v>151</v>
      </c>
      <c r="B13" s="7" t="s">
        <v>152</v>
      </c>
      <c r="C13" s="7" t="s">
        <v>203</v>
      </c>
      <c r="D13" s="15">
        <v>45999</v>
      </c>
      <c r="E13" s="18">
        <v>80091</v>
      </c>
      <c r="F13" s="17">
        <v>1617.21</v>
      </c>
      <c r="I13" s="17"/>
      <c r="J13" s="17"/>
    </row>
    <row r="14" spans="1:11" x14ac:dyDescent="0.2">
      <c r="A14" s="7" t="s">
        <v>151</v>
      </c>
      <c r="B14" s="7" t="s">
        <v>152</v>
      </c>
      <c r="C14" s="7" t="s">
        <v>204</v>
      </c>
      <c r="D14" s="15">
        <v>46000</v>
      </c>
      <c r="E14" s="18">
        <v>80104</v>
      </c>
      <c r="F14" s="17">
        <v>1617.47</v>
      </c>
      <c r="I14" s="17"/>
      <c r="J14" s="17"/>
    </row>
    <row r="15" spans="1:11" x14ac:dyDescent="0.2">
      <c r="A15" s="7" t="s">
        <v>151</v>
      </c>
      <c r="B15" s="7" t="s">
        <v>152</v>
      </c>
      <c r="C15" s="7" t="s">
        <v>205</v>
      </c>
      <c r="D15" s="15">
        <v>46001</v>
      </c>
      <c r="E15" s="18">
        <v>80102</v>
      </c>
      <c r="F15" s="17">
        <v>1617.43</v>
      </c>
      <c r="I15" s="17"/>
      <c r="J15" s="17"/>
    </row>
    <row r="16" spans="1:11" x14ac:dyDescent="0.2">
      <c r="A16" s="7" t="s">
        <v>151</v>
      </c>
      <c r="B16" s="7" t="s">
        <v>152</v>
      </c>
      <c r="C16" s="7" t="s">
        <v>206</v>
      </c>
      <c r="D16" s="15">
        <v>46002</v>
      </c>
      <c r="E16" s="18">
        <v>80097</v>
      </c>
      <c r="F16" s="17">
        <v>1617.33</v>
      </c>
      <c r="I16" s="17"/>
      <c r="J16" s="17"/>
    </row>
    <row r="17" spans="1:13" x14ac:dyDescent="0.2">
      <c r="A17" s="7" t="s">
        <v>151</v>
      </c>
      <c r="B17" s="7" t="s">
        <v>152</v>
      </c>
      <c r="C17" s="7" t="s">
        <v>207</v>
      </c>
      <c r="D17" s="15">
        <v>46003</v>
      </c>
      <c r="E17" s="18">
        <v>80105</v>
      </c>
      <c r="F17" s="17">
        <v>1617.49</v>
      </c>
      <c r="I17" s="17"/>
      <c r="J17" s="17"/>
    </row>
    <row r="18" spans="1:13" x14ac:dyDescent="0.2">
      <c r="A18" s="7" t="s">
        <v>151</v>
      </c>
      <c r="B18" s="7" t="s">
        <v>152</v>
      </c>
      <c r="C18" s="7" t="s">
        <v>208</v>
      </c>
      <c r="D18" s="15">
        <v>46004</v>
      </c>
      <c r="E18" s="18">
        <v>80107</v>
      </c>
      <c r="F18" s="17">
        <v>1617.53</v>
      </c>
      <c r="I18" s="17"/>
      <c r="J18" s="17"/>
    </row>
    <row r="19" spans="1:13" x14ac:dyDescent="0.2">
      <c r="A19" s="7" t="s">
        <v>151</v>
      </c>
      <c r="B19" s="7" t="s">
        <v>152</v>
      </c>
      <c r="C19" s="7" t="s">
        <v>209</v>
      </c>
      <c r="D19" s="15">
        <v>46005</v>
      </c>
      <c r="E19" s="18">
        <v>80098</v>
      </c>
      <c r="F19" s="17">
        <v>1617.35</v>
      </c>
      <c r="I19" s="17"/>
      <c r="J19" s="18"/>
    </row>
    <row r="20" spans="1:13" x14ac:dyDescent="0.2">
      <c r="A20" s="7" t="s">
        <v>151</v>
      </c>
      <c r="B20" s="7" t="s">
        <v>152</v>
      </c>
      <c r="C20" s="7" t="s">
        <v>224</v>
      </c>
      <c r="D20" s="15">
        <v>46006</v>
      </c>
      <c r="E20" s="18">
        <v>80184</v>
      </c>
      <c r="F20" s="17">
        <v>1619.21</v>
      </c>
      <c r="I20" s="15"/>
      <c r="J20" s="17"/>
      <c r="K20" s="17"/>
    </row>
    <row r="21" spans="1:13" x14ac:dyDescent="0.2">
      <c r="A21" s="7" t="s">
        <v>151</v>
      </c>
      <c r="B21" s="7" t="s">
        <v>152</v>
      </c>
      <c r="C21" s="7" t="s">
        <v>225</v>
      </c>
      <c r="D21" s="15">
        <v>46007</v>
      </c>
      <c r="E21" s="18">
        <v>80191</v>
      </c>
      <c r="F21" s="17">
        <v>1619.35</v>
      </c>
      <c r="I21" s="15"/>
      <c r="J21" s="17"/>
      <c r="K21" s="17"/>
    </row>
    <row r="22" spans="1:13" x14ac:dyDescent="0.2">
      <c r="A22" s="7" t="s">
        <v>151</v>
      </c>
      <c r="B22" s="7" t="s">
        <v>152</v>
      </c>
      <c r="C22" s="7" t="s">
        <v>226</v>
      </c>
      <c r="D22" s="15">
        <v>46008</v>
      </c>
      <c r="E22" s="18">
        <v>80175</v>
      </c>
      <c r="F22" s="17">
        <v>1619.03</v>
      </c>
      <c r="I22" s="15"/>
      <c r="J22" s="18"/>
      <c r="K22" s="17"/>
    </row>
    <row r="23" spans="1:13" x14ac:dyDescent="0.2">
      <c r="A23" s="7" t="s">
        <v>151</v>
      </c>
      <c r="B23" s="7" t="s">
        <v>152</v>
      </c>
      <c r="C23" s="7" t="s">
        <v>227</v>
      </c>
      <c r="D23" s="15">
        <v>46009</v>
      </c>
      <c r="E23" s="18">
        <v>80173</v>
      </c>
      <c r="F23" s="17">
        <v>1618.99</v>
      </c>
      <c r="I23" s="15"/>
      <c r="J23" s="18"/>
      <c r="K23" s="17"/>
    </row>
    <row r="24" spans="1:13" x14ac:dyDescent="0.2">
      <c r="A24" s="7" t="s">
        <v>151</v>
      </c>
      <c r="B24" s="7" t="s">
        <v>152</v>
      </c>
      <c r="C24" s="7" t="s">
        <v>228</v>
      </c>
      <c r="D24" s="15">
        <v>46010</v>
      </c>
      <c r="E24" s="18">
        <v>80186</v>
      </c>
      <c r="F24" s="17">
        <v>1619.25</v>
      </c>
      <c r="I24" s="15"/>
      <c r="J24" s="18"/>
      <c r="K24" s="17"/>
      <c r="L24" s="18"/>
      <c r="M24" s="17"/>
    </row>
    <row r="25" spans="1:13" x14ac:dyDescent="0.2">
      <c r="A25" s="7" t="s">
        <v>151</v>
      </c>
      <c r="B25" s="7" t="s">
        <v>152</v>
      </c>
      <c r="C25" s="7" t="s">
        <v>229</v>
      </c>
      <c r="D25" s="15">
        <v>46011</v>
      </c>
      <c r="E25" s="18">
        <v>80184</v>
      </c>
      <c r="F25" s="17">
        <v>1619.21</v>
      </c>
      <c r="I25" s="15"/>
      <c r="J25" s="18"/>
      <c r="K25" s="17"/>
      <c r="L25" s="18"/>
      <c r="M25" s="17"/>
    </row>
    <row r="26" spans="1:13" x14ac:dyDescent="0.2">
      <c r="A26" s="7" t="s">
        <v>151</v>
      </c>
      <c r="B26" s="7" t="s">
        <v>152</v>
      </c>
      <c r="C26" s="7" t="s">
        <v>230</v>
      </c>
      <c r="D26" s="15">
        <v>46012</v>
      </c>
      <c r="E26" s="18">
        <v>80181</v>
      </c>
      <c r="F26" s="17">
        <v>1619.15</v>
      </c>
      <c r="I26" s="15"/>
      <c r="J26" s="18"/>
      <c r="K26" s="17"/>
      <c r="L26" s="18"/>
      <c r="M26" s="17"/>
    </row>
    <row r="27" spans="1:13" x14ac:dyDescent="0.2">
      <c r="A27" s="7" t="s">
        <v>151</v>
      </c>
      <c r="B27" s="7" t="s">
        <v>152</v>
      </c>
      <c r="C27" s="7" t="s">
        <v>245</v>
      </c>
      <c r="D27" s="15">
        <v>46013</v>
      </c>
      <c r="E27" s="18">
        <v>80144</v>
      </c>
      <c r="F27" s="17">
        <v>1618.1</v>
      </c>
      <c r="I27" s="15"/>
      <c r="J27" s="18"/>
      <c r="K27" s="17"/>
      <c r="L27" s="18"/>
      <c r="M27" s="17"/>
    </row>
    <row r="28" spans="1:13" x14ac:dyDescent="0.2">
      <c r="A28" s="7" t="s">
        <v>151</v>
      </c>
      <c r="B28" s="7" t="s">
        <v>152</v>
      </c>
      <c r="C28" s="7" t="s">
        <v>246</v>
      </c>
      <c r="D28" s="15">
        <v>46014</v>
      </c>
      <c r="E28" s="18">
        <v>80134</v>
      </c>
      <c r="F28" s="17">
        <v>1617.9</v>
      </c>
      <c r="I28" s="15"/>
      <c r="J28" s="18"/>
      <c r="K28" s="17"/>
      <c r="L28" s="18"/>
      <c r="M28" s="17"/>
    </row>
    <row r="29" spans="1:13" x14ac:dyDescent="0.2">
      <c r="A29" s="7" t="s">
        <v>151</v>
      </c>
      <c r="B29" s="7" t="s">
        <v>152</v>
      </c>
      <c r="C29" s="7" t="s">
        <v>247</v>
      </c>
      <c r="D29" s="15">
        <v>46015</v>
      </c>
      <c r="E29" s="18">
        <v>80146</v>
      </c>
      <c r="F29" s="17">
        <v>1618.14</v>
      </c>
      <c r="I29" s="15"/>
      <c r="J29" s="18"/>
      <c r="K29" s="17"/>
      <c r="L29" s="17"/>
      <c r="M29" s="17"/>
    </row>
    <row r="30" spans="1:13" x14ac:dyDescent="0.2">
      <c r="A30" s="7" t="s">
        <v>151</v>
      </c>
      <c r="B30" s="7" t="s">
        <v>152</v>
      </c>
      <c r="C30" s="7" t="s">
        <v>248</v>
      </c>
      <c r="D30" s="15">
        <v>46016</v>
      </c>
      <c r="E30" s="18">
        <v>80143</v>
      </c>
      <c r="F30" s="17">
        <v>1618.08</v>
      </c>
      <c r="I30" s="15"/>
      <c r="J30" s="18"/>
      <c r="K30" s="17"/>
      <c r="L30" s="17"/>
      <c r="M30" s="17"/>
    </row>
    <row r="31" spans="1:13" x14ac:dyDescent="0.2">
      <c r="A31" s="7" t="s">
        <v>151</v>
      </c>
      <c r="B31" s="7" t="s">
        <v>152</v>
      </c>
      <c r="C31" s="7" t="s">
        <v>249</v>
      </c>
      <c r="D31" s="15">
        <v>46017</v>
      </c>
      <c r="E31" s="18">
        <v>80129</v>
      </c>
      <c r="F31" s="17">
        <v>1617.81</v>
      </c>
      <c r="I31" s="15"/>
      <c r="J31" s="18"/>
      <c r="K31" s="17"/>
      <c r="L31" s="17"/>
      <c r="M31" s="16"/>
    </row>
    <row r="32" spans="1:13" x14ac:dyDescent="0.2">
      <c r="A32" s="7" t="s">
        <v>151</v>
      </c>
      <c r="B32" s="7" t="s">
        <v>152</v>
      </c>
      <c r="C32" s="7" t="s">
        <v>250</v>
      </c>
      <c r="D32" s="15">
        <v>46018</v>
      </c>
      <c r="E32" s="18">
        <v>80141</v>
      </c>
      <c r="F32" s="17">
        <v>1618.04</v>
      </c>
      <c r="I32" s="15"/>
      <c r="J32" s="17"/>
      <c r="K32" s="15"/>
      <c r="L32" s="17"/>
      <c r="M32" s="17"/>
    </row>
    <row r="33" spans="1:13" x14ac:dyDescent="0.2">
      <c r="A33" s="7" t="s">
        <v>151</v>
      </c>
      <c r="B33" s="7" t="s">
        <v>152</v>
      </c>
      <c r="C33" s="7" t="s">
        <v>251</v>
      </c>
      <c r="D33" s="15">
        <v>46019</v>
      </c>
      <c r="E33" s="18">
        <v>80135</v>
      </c>
      <c r="F33" s="17">
        <v>1617.93</v>
      </c>
      <c r="I33" s="15"/>
      <c r="J33" s="17"/>
      <c r="K33" s="15"/>
      <c r="L33" s="17"/>
      <c r="M33" s="17"/>
    </row>
    <row r="34" spans="1:13" x14ac:dyDescent="0.2">
      <c r="A34" s="7" t="s">
        <v>151</v>
      </c>
      <c r="B34" s="7" t="s">
        <v>152</v>
      </c>
      <c r="C34" s="7" t="s">
        <v>269</v>
      </c>
      <c r="D34" s="15">
        <v>46020</v>
      </c>
      <c r="E34" s="18">
        <v>76532</v>
      </c>
      <c r="F34" s="17">
        <v>1606.07</v>
      </c>
      <c r="I34" s="15"/>
      <c r="J34" s="17"/>
      <c r="K34" s="15"/>
      <c r="L34" s="18"/>
      <c r="M34" s="17"/>
    </row>
    <row r="35" spans="1:13" x14ac:dyDescent="0.2">
      <c r="A35" s="7" t="s">
        <v>151</v>
      </c>
      <c r="B35" s="7" t="s">
        <v>152</v>
      </c>
      <c r="C35" s="7" t="s">
        <v>270</v>
      </c>
      <c r="D35" s="15">
        <v>46021</v>
      </c>
      <c r="E35" s="18">
        <v>76521</v>
      </c>
      <c r="F35" s="17">
        <v>1605.83</v>
      </c>
      <c r="I35" s="15"/>
      <c r="J35" s="17"/>
      <c r="K35" s="18"/>
      <c r="M35" s="16"/>
    </row>
    <row r="36" spans="1:13" x14ac:dyDescent="0.2">
      <c r="A36" s="7" t="s">
        <v>151</v>
      </c>
      <c r="B36" s="7" t="s">
        <v>152</v>
      </c>
      <c r="C36" s="7" t="s">
        <v>271</v>
      </c>
      <c r="D36" s="15">
        <v>46022</v>
      </c>
      <c r="E36" s="18">
        <v>76531</v>
      </c>
      <c r="F36" s="17">
        <v>1606.04</v>
      </c>
      <c r="I36" s="15"/>
      <c r="J36" s="17"/>
      <c r="K36" s="17"/>
    </row>
    <row r="37" spans="1:13" x14ac:dyDescent="0.2">
      <c r="A37" s="9" t="s">
        <v>80</v>
      </c>
      <c r="E37" s="22">
        <f>SUM(E6:E36)</f>
        <v>2470751</v>
      </c>
      <c r="F37" s="19">
        <f>SUM(F6:F36)</f>
        <v>50070.28</v>
      </c>
      <c r="I37" s="16"/>
      <c r="J37" s="16"/>
      <c r="K3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E4F7-55BF-5644-8BF8-ED0B82B40D5C}">
  <dimension ref="A1:S114"/>
  <sheetViews>
    <sheetView tabSelected="1" workbookViewId="0">
      <selection activeCell="E95" sqref="E95"/>
    </sheetView>
  </sheetViews>
  <sheetFormatPr baseColWidth="10" defaultRowHeight="15" x14ac:dyDescent="0.2"/>
  <cols>
    <col min="1" max="1" width="12.5" customWidth="1"/>
    <col min="2" max="2" width="23.6640625" customWidth="1"/>
    <col min="3" max="3" width="13.33203125" customWidth="1"/>
    <col min="4" max="4" width="38.1640625" customWidth="1"/>
    <col min="5" max="5" width="53.1640625" customWidth="1"/>
    <col min="6" max="6" width="16" customWidth="1"/>
    <col min="7" max="7" width="17.5" customWidth="1"/>
    <col min="8" max="8" width="20.6640625" customWidth="1"/>
    <col min="9" max="9" width="20" customWidth="1"/>
    <col min="10" max="10" width="18.5" customWidth="1"/>
  </cols>
  <sheetData>
    <row r="1" spans="1:19" ht="16" x14ac:dyDescent="0.2">
      <c r="A1" s="1" t="s">
        <v>260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</row>
    <row r="2" spans="1:19" ht="16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4"/>
      <c r="S2" s="11"/>
    </row>
    <row r="3" spans="1:19" ht="16" x14ac:dyDescent="0.2">
      <c r="A3" s="1" t="s">
        <v>160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</row>
    <row r="4" spans="1:19" ht="16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11"/>
    </row>
    <row r="5" spans="1:19" ht="16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  <c r="L5" s="5"/>
      <c r="M5" s="6"/>
      <c r="N5" s="6"/>
      <c r="O5" s="6"/>
      <c r="P5" s="6"/>
      <c r="Q5" s="6"/>
    </row>
    <row r="6" spans="1:19" x14ac:dyDescent="0.2">
      <c r="A6" s="8" t="s">
        <v>174</v>
      </c>
      <c r="B6" s="7" t="s">
        <v>175</v>
      </c>
      <c r="C6" s="7" t="s">
        <v>174</v>
      </c>
      <c r="D6" s="7" t="s">
        <v>273</v>
      </c>
      <c r="E6" s="3" t="s">
        <v>9</v>
      </c>
      <c r="F6" s="3">
        <v>114815</v>
      </c>
      <c r="G6" s="3"/>
      <c r="H6" s="3"/>
      <c r="I6" s="3"/>
      <c r="J6" s="3"/>
      <c r="K6" s="3"/>
    </row>
    <row r="7" spans="1:19" x14ac:dyDescent="0.2">
      <c r="A7" s="8" t="s">
        <v>174</v>
      </c>
      <c r="B7" s="7" t="s">
        <v>175</v>
      </c>
      <c r="C7" s="7" t="s">
        <v>174</v>
      </c>
      <c r="D7" s="7" t="s">
        <v>273</v>
      </c>
      <c r="E7" s="3" t="s">
        <v>36</v>
      </c>
      <c r="F7" s="3">
        <v>104742</v>
      </c>
      <c r="G7" s="3"/>
      <c r="H7" s="3"/>
      <c r="I7" s="3"/>
      <c r="J7" s="3"/>
      <c r="K7" s="3"/>
    </row>
    <row r="8" spans="1:19" x14ac:dyDescent="0.2">
      <c r="A8" s="20" t="s">
        <v>161</v>
      </c>
      <c r="B8" s="21" t="s">
        <v>162</v>
      </c>
      <c r="C8" s="21" t="s">
        <v>161</v>
      </c>
      <c r="D8" s="7" t="s">
        <v>272</v>
      </c>
      <c r="E8" s="3" t="s">
        <v>163</v>
      </c>
      <c r="F8" s="3">
        <v>102503</v>
      </c>
      <c r="G8" s="3"/>
      <c r="H8" s="3"/>
      <c r="I8" s="3"/>
      <c r="J8" s="3"/>
      <c r="K8" s="3"/>
    </row>
    <row r="9" spans="1:19" x14ac:dyDescent="0.2">
      <c r="A9" s="8" t="s">
        <v>174</v>
      </c>
      <c r="B9" s="7" t="s">
        <v>175</v>
      </c>
      <c r="C9" s="7" t="s">
        <v>174</v>
      </c>
      <c r="D9" s="7" t="s">
        <v>273</v>
      </c>
      <c r="E9" s="3" t="s">
        <v>23</v>
      </c>
      <c r="F9" s="3">
        <v>94119</v>
      </c>
      <c r="G9" s="3"/>
      <c r="H9" s="3"/>
      <c r="I9" s="3"/>
      <c r="J9" s="3"/>
      <c r="K9" s="3"/>
    </row>
    <row r="10" spans="1:19" x14ac:dyDescent="0.2">
      <c r="A10" s="20" t="s">
        <v>161</v>
      </c>
      <c r="B10" s="21" t="s">
        <v>162</v>
      </c>
      <c r="C10" s="21" t="s">
        <v>161</v>
      </c>
      <c r="D10" s="7" t="s">
        <v>272</v>
      </c>
      <c r="E10" s="3" t="s">
        <v>164</v>
      </c>
      <c r="F10" s="3">
        <v>93818</v>
      </c>
      <c r="G10" s="3"/>
      <c r="H10" s="3"/>
      <c r="I10" s="3"/>
      <c r="J10" s="3"/>
      <c r="K10" s="3"/>
    </row>
    <row r="11" spans="1:19" x14ac:dyDescent="0.2">
      <c r="A11" s="8" t="s">
        <v>174</v>
      </c>
      <c r="B11" s="7" t="s">
        <v>175</v>
      </c>
      <c r="C11" s="7" t="s">
        <v>174</v>
      </c>
      <c r="D11" s="7" t="s">
        <v>273</v>
      </c>
      <c r="E11" s="3" t="s">
        <v>20</v>
      </c>
      <c r="F11" s="3">
        <v>88957</v>
      </c>
      <c r="G11" s="3"/>
      <c r="H11" s="3"/>
      <c r="I11" s="3"/>
      <c r="J11" s="3"/>
      <c r="K11" s="3"/>
    </row>
    <row r="12" spans="1:19" x14ac:dyDescent="0.2">
      <c r="A12" s="20" t="s">
        <v>161</v>
      </c>
      <c r="B12" s="21" t="s">
        <v>162</v>
      </c>
      <c r="C12" s="21" t="s">
        <v>161</v>
      </c>
      <c r="D12" s="7" t="s">
        <v>272</v>
      </c>
      <c r="E12" s="3" t="s">
        <v>165</v>
      </c>
      <c r="F12" s="3">
        <v>88781</v>
      </c>
      <c r="G12" s="3"/>
      <c r="H12" s="3"/>
      <c r="I12" s="3"/>
      <c r="J12" s="3"/>
      <c r="K12" s="3"/>
      <c r="M12" s="3"/>
    </row>
    <row r="13" spans="1:19" x14ac:dyDescent="0.2">
      <c r="A13" s="8" t="s">
        <v>174</v>
      </c>
      <c r="B13" s="7" t="s">
        <v>175</v>
      </c>
      <c r="C13" s="7" t="s">
        <v>174</v>
      </c>
      <c r="D13" s="7" t="s">
        <v>273</v>
      </c>
      <c r="E13" s="3" t="s">
        <v>38</v>
      </c>
      <c r="F13" s="3">
        <v>84061</v>
      </c>
      <c r="G13" s="3"/>
      <c r="H13" s="3"/>
      <c r="I13" s="3"/>
      <c r="J13" s="3"/>
      <c r="K13" s="3"/>
      <c r="L13" s="3"/>
    </row>
    <row r="14" spans="1:19" x14ac:dyDescent="0.2">
      <c r="A14" s="20" t="s">
        <v>161</v>
      </c>
      <c r="B14" s="21" t="s">
        <v>162</v>
      </c>
      <c r="C14" s="21" t="s">
        <v>161</v>
      </c>
      <c r="D14" s="7" t="s">
        <v>272</v>
      </c>
      <c r="E14" s="3" t="s">
        <v>117</v>
      </c>
      <c r="F14" s="3">
        <v>82281</v>
      </c>
      <c r="G14" s="3"/>
      <c r="H14" s="3"/>
      <c r="I14" s="3"/>
      <c r="J14" s="3"/>
      <c r="K14" s="3"/>
    </row>
    <row r="15" spans="1:19" x14ac:dyDescent="0.2">
      <c r="A15" s="8" t="s">
        <v>174</v>
      </c>
      <c r="B15" s="7" t="s">
        <v>175</v>
      </c>
      <c r="C15" s="7" t="s">
        <v>174</v>
      </c>
      <c r="D15" s="7" t="s">
        <v>273</v>
      </c>
      <c r="E15" s="3" t="s">
        <v>22</v>
      </c>
      <c r="F15" s="3">
        <v>78009</v>
      </c>
      <c r="G15" s="3"/>
      <c r="H15" s="3"/>
      <c r="I15" s="3"/>
      <c r="J15" s="3"/>
      <c r="K15" s="3"/>
    </row>
    <row r="16" spans="1:19" x14ac:dyDescent="0.2">
      <c r="A16" s="8" t="s">
        <v>174</v>
      </c>
      <c r="B16" s="7" t="s">
        <v>175</v>
      </c>
      <c r="C16" s="7" t="s">
        <v>174</v>
      </c>
      <c r="D16" s="7" t="s">
        <v>273</v>
      </c>
      <c r="E16" s="3" t="s">
        <v>11</v>
      </c>
      <c r="F16" s="3">
        <v>76899</v>
      </c>
      <c r="G16" s="3"/>
      <c r="H16" s="3"/>
      <c r="I16" s="3"/>
      <c r="J16" s="3"/>
      <c r="K16" s="3"/>
    </row>
    <row r="17" spans="1:15" x14ac:dyDescent="0.2">
      <c r="A17" s="20" t="s">
        <v>161</v>
      </c>
      <c r="B17" s="21" t="s">
        <v>162</v>
      </c>
      <c r="C17" s="21" t="s">
        <v>161</v>
      </c>
      <c r="D17" s="7" t="s">
        <v>272</v>
      </c>
      <c r="E17" s="3" t="s">
        <v>166</v>
      </c>
      <c r="F17" s="3">
        <v>74976</v>
      </c>
      <c r="G17" s="7"/>
      <c r="H17" s="3"/>
      <c r="I17" s="3"/>
      <c r="J17" s="3"/>
      <c r="K17" s="3"/>
    </row>
    <row r="18" spans="1:15" x14ac:dyDescent="0.2">
      <c r="A18" s="8" t="s">
        <v>174</v>
      </c>
      <c r="B18" s="7" t="s">
        <v>175</v>
      </c>
      <c r="C18" s="7" t="s">
        <v>174</v>
      </c>
      <c r="D18" s="7" t="s">
        <v>273</v>
      </c>
      <c r="E18" s="3" t="s">
        <v>15</v>
      </c>
      <c r="F18" s="3">
        <v>70983</v>
      </c>
      <c r="G18" s="3"/>
      <c r="H18" s="3"/>
      <c r="I18" s="3"/>
      <c r="J18" s="3"/>
      <c r="K18" s="3"/>
    </row>
    <row r="19" spans="1:15" x14ac:dyDescent="0.2">
      <c r="A19" s="8" t="s">
        <v>174</v>
      </c>
      <c r="B19" s="7" t="s">
        <v>175</v>
      </c>
      <c r="C19" s="7" t="s">
        <v>174</v>
      </c>
      <c r="D19" s="7" t="s">
        <v>273</v>
      </c>
      <c r="E19" s="3" t="s">
        <v>10</v>
      </c>
      <c r="F19" s="3">
        <v>66269</v>
      </c>
      <c r="G19" s="3"/>
      <c r="H19" s="3"/>
      <c r="I19" s="3"/>
      <c r="J19" s="3"/>
      <c r="K19" s="3"/>
    </row>
    <row r="20" spans="1:15" x14ac:dyDescent="0.2">
      <c r="A20" s="8" t="s">
        <v>174</v>
      </c>
      <c r="B20" s="7" t="s">
        <v>175</v>
      </c>
      <c r="C20" s="7" t="s">
        <v>174</v>
      </c>
      <c r="D20" s="7" t="s">
        <v>273</v>
      </c>
      <c r="E20" s="3" t="s">
        <v>12</v>
      </c>
      <c r="F20" s="3">
        <v>62765</v>
      </c>
      <c r="G20" s="3"/>
      <c r="H20" s="3"/>
      <c r="I20" s="3"/>
      <c r="J20" s="3"/>
      <c r="K20" s="3"/>
    </row>
    <row r="21" spans="1:15" x14ac:dyDescent="0.2">
      <c r="A21" s="20" t="s">
        <v>161</v>
      </c>
      <c r="B21" s="21" t="s">
        <v>162</v>
      </c>
      <c r="C21" s="21" t="s">
        <v>161</v>
      </c>
      <c r="D21" s="7" t="s">
        <v>272</v>
      </c>
      <c r="E21" s="3" t="s">
        <v>119</v>
      </c>
      <c r="F21" s="3">
        <v>61152</v>
      </c>
      <c r="G21" s="3"/>
      <c r="H21" s="3"/>
      <c r="I21" s="3"/>
      <c r="J21" s="3"/>
      <c r="K21" s="3"/>
    </row>
    <row r="22" spans="1:15" x14ac:dyDescent="0.2">
      <c r="A22" s="8" t="s">
        <v>174</v>
      </c>
      <c r="B22" s="7" t="s">
        <v>175</v>
      </c>
      <c r="C22" s="7" t="s">
        <v>174</v>
      </c>
      <c r="D22" s="7" t="s">
        <v>273</v>
      </c>
      <c r="E22" s="3" t="s">
        <v>14</v>
      </c>
      <c r="F22" s="3">
        <v>57651</v>
      </c>
      <c r="G22" s="3"/>
      <c r="H22" s="3"/>
      <c r="I22" s="3"/>
      <c r="J22" s="3"/>
      <c r="K22" s="3"/>
    </row>
    <row r="23" spans="1:15" x14ac:dyDescent="0.2">
      <c r="A23" s="20" t="s">
        <v>161</v>
      </c>
      <c r="B23" s="21" t="s">
        <v>162</v>
      </c>
      <c r="C23" s="21" t="s">
        <v>161</v>
      </c>
      <c r="D23" s="7" t="s">
        <v>272</v>
      </c>
      <c r="E23" s="3" t="s">
        <v>121</v>
      </c>
      <c r="F23" s="3">
        <v>54063</v>
      </c>
      <c r="G23" s="3"/>
      <c r="H23" s="3"/>
      <c r="I23" s="3"/>
      <c r="J23" s="3"/>
      <c r="K23" s="3"/>
    </row>
    <row r="24" spans="1:15" x14ac:dyDescent="0.2">
      <c r="A24" s="8" t="s">
        <v>174</v>
      </c>
      <c r="B24" s="7" t="s">
        <v>175</v>
      </c>
      <c r="C24" s="7" t="s">
        <v>174</v>
      </c>
      <c r="D24" s="7" t="s">
        <v>273</v>
      </c>
      <c r="E24" s="3" t="s">
        <v>16</v>
      </c>
      <c r="F24" s="3">
        <v>53736</v>
      </c>
      <c r="G24" s="3"/>
      <c r="H24" s="3"/>
      <c r="I24" s="3"/>
      <c r="J24" s="3"/>
      <c r="K24" s="3"/>
    </row>
    <row r="25" spans="1:15" x14ac:dyDescent="0.2">
      <c r="A25" s="8" t="s">
        <v>174</v>
      </c>
      <c r="B25" s="7" t="s">
        <v>175</v>
      </c>
      <c r="C25" s="7" t="s">
        <v>174</v>
      </c>
      <c r="D25" s="7" t="s">
        <v>273</v>
      </c>
      <c r="E25" s="3" t="s">
        <v>13</v>
      </c>
      <c r="F25" s="3">
        <v>48788</v>
      </c>
      <c r="G25" s="3"/>
      <c r="H25" s="3"/>
      <c r="I25" s="3"/>
      <c r="J25" s="3"/>
      <c r="K25" s="3"/>
    </row>
    <row r="26" spans="1:15" x14ac:dyDescent="0.2">
      <c r="A26" s="20" t="s">
        <v>161</v>
      </c>
      <c r="B26" s="21" t="s">
        <v>162</v>
      </c>
      <c r="C26" s="21" t="s">
        <v>161</v>
      </c>
      <c r="D26" s="7" t="s">
        <v>272</v>
      </c>
      <c r="E26" s="3" t="s">
        <v>167</v>
      </c>
      <c r="F26" s="3">
        <v>47011</v>
      </c>
      <c r="G26" s="23"/>
      <c r="H26" s="3"/>
      <c r="I26" s="3"/>
      <c r="J26" s="3"/>
      <c r="K26" s="3"/>
    </row>
    <row r="27" spans="1:15" x14ac:dyDescent="0.2">
      <c r="A27" s="8" t="s">
        <v>174</v>
      </c>
      <c r="B27" s="7" t="s">
        <v>175</v>
      </c>
      <c r="C27" s="7" t="s">
        <v>174</v>
      </c>
      <c r="D27" s="7" t="s">
        <v>273</v>
      </c>
      <c r="E27" s="3" t="s">
        <v>31</v>
      </c>
      <c r="F27" s="3">
        <v>47004</v>
      </c>
    </row>
    <row r="28" spans="1:15" x14ac:dyDescent="0.2">
      <c r="A28" s="8" t="s">
        <v>174</v>
      </c>
      <c r="B28" s="7" t="s">
        <v>175</v>
      </c>
      <c r="C28" s="7" t="s">
        <v>174</v>
      </c>
      <c r="D28" s="7" t="s">
        <v>273</v>
      </c>
      <c r="E28" s="3" t="s">
        <v>49</v>
      </c>
      <c r="F28" s="3">
        <v>43401</v>
      </c>
      <c r="G28" s="3"/>
    </row>
    <row r="29" spans="1:15" x14ac:dyDescent="0.2">
      <c r="A29" s="8" t="s">
        <v>174</v>
      </c>
      <c r="B29" s="7" t="s">
        <v>175</v>
      </c>
      <c r="C29" s="7" t="s">
        <v>174</v>
      </c>
      <c r="D29" s="7" t="s">
        <v>273</v>
      </c>
      <c r="E29" s="3" t="s">
        <v>28</v>
      </c>
      <c r="F29" s="3">
        <v>39656</v>
      </c>
    </row>
    <row r="30" spans="1:15" x14ac:dyDescent="0.2">
      <c r="A30" s="20" t="s">
        <v>161</v>
      </c>
      <c r="B30" s="21" t="s">
        <v>162</v>
      </c>
      <c r="C30" s="21" t="s">
        <v>161</v>
      </c>
      <c r="D30" s="7" t="s">
        <v>272</v>
      </c>
      <c r="E30" s="7" t="s">
        <v>170</v>
      </c>
      <c r="F30" s="7">
        <v>37774</v>
      </c>
      <c r="G30" s="2"/>
      <c r="H30" s="2"/>
      <c r="I30" s="2"/>
      <c r="J30" s="2"/>
      <c r="K30" s="2"/>
      <c r="L30" s="2"/>
      <c r="M30" s="2"/>
      <c r="N30" s="2"/>
      <c r="O30" s="3"/>
    </row>
    <row r="31" spans="1:15" x14ac:dyDescent="0.2">
      <c r="A31" s="8" t="s">
        <v>174</v>
      </c>
      <c r="B31" s="7" t="s">
        <v>175</v>
      </c>
      <c r="C31" s="7" t="s">
        <v>174</v>
      </c>
      <c r="D31" s="7" t="s">
        <v>273</v>
      </c>
      <c r="E31" s="3" t="s">
        <v>18</v>
      </c>
      <c r="F31" s="3">
        <v>36889</v>
      </c>
      <c r="G31" s="2"/>
      <c r="H31" s="2"/>
      <c r="I31" s="2"/>
      <c r="J31" s="2"/>
      <c r="K31" s="2"/>
      <c r="L31" s="2"/>
      <c r="M31" s="2"/>
      <c r="N31" s="2"/>
      <c r="O31" s="3"/>
    </row>
    <row r="32" spans="1:15" x14ac:dyDescent="0.2">
      <c r="A32" s="8" t="s">
        <v>174</v>
      </c>
      <c r="B32" s="7" t="s">
        <v>175</v>
      </c>
      <c r="C32" s="7" t="s">
        <v>174</v>
      </c>
      <c r="D32" s="7" t="s">
        <v>273</v>
      </c>
      <c r="E32" s="3" t="s">
        <v>35</v>
      </c>
      <c r="F32" s="3">
        <v>35902</v>
      </c>
      <c r="G32" s="2"/>
      <c r="H32" s="2"/>
      <c r="I32" s="2"/>
      <c r="J32" s="2"/>
      <c r="K32" s="2"/>
      <c r="L32" s="2"/>
      <c r="M32" s="2"/>
      <c r="N32" s="2"/>
      <c r="O32" s="3"/>
    </row>
    <row r="33" spans="1:15" x14ac:dyDescent="0.2">
      <c r="A33" s="8" t="s">
        <v>174</v>
      </c>
      <c r="B33" s="7" t="s">
        <v>175</v>
      </c>
      <c r="C33" s="7" t="s">
        <v>174</v>
      </c>
      <c r="D33" s="7" t="s">
        <v>273</v>
      </c>
      <c r="E33" s="3" t="s">
        <v>26</v>
      </c>
      <c r="F33" s="3">
        <v>33189</v>
      </c>
      <c r="G33" s="3"/>
      <c r="H33" s="3"/>
      <c r="I33" s="3"/>
      <c r="J33" s="3"/>
      <c r="K33" s="3"/>
      <c r="L33" s="3"/>
      <c r="M33" s="3"/>
      <c r="N33" s="3"/>
      <c r="O33" s="3"/>
    </row>
    <row r="34" spans="1:15" ht="16" x14ac:dyDescent="0.2">
      <c r="A34" s="8" t="s">
        <v>174</v>
      </c>
      <c r="B34" s="7" t="s">
        <v>175</v>
      </c>
      <c r="C34" s="7" t="s">
        <v>174</v>
      </c>
      <c r="D34" s="7" t="s">
        <v>273</v>
      </c>
      <c r="E34" s="3" t="s">
        <v>21</v>
      </c>
      <c r="F34" s="3">
        <v>30861</v>
      </c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">
      <c r="A35" s="8" t="s">
        <v>174</v>
      </c>
      <c r="B35" s="7" t="s">
        <v>175</v>
      </c>
      <c r="C35" s="7" t="s">
        <v>174</v>
      </c>
      <c r="D35" s="7" t="s">
        <v>273</v>
      </c>
      <c r="E35" s="3" t="s">
        <v>25</v>
      </c>
      <c r="F35" s="3">
        <v>29888</v>
      </c>
      <c r="G35" s="3"/>
      <c r="H35" s="3"/>
      <c r="I35" s="3"/>
      <c r="J35" s="3"/>
      <c r="K35" s="3"/>
      <c r="N35" s="3"/>
      <c r="O35" s="3"/>
    </row>
    <row r="36" spans="1:15" x14ac:dyDescent="0.2">
      <c r="A36" s="8" t="s">
        <v>174</v>
      </c>
      <c r="B36" s="7" t="s">
        <v>175</v>
      </c>
      <c r="C36" s="7" t="s">
        <v>174</v>
      </c>
      <c r="D36" s="7" t="s">
        <v>273</v>
      </c>
      <c r="E36" s="3" t="s">
        <v>51</v>
      </c>
      <c r="F36" s="3">
        <v>28847</v>
      </c>
      <c r="G36" s="3"/>
      <c r="H36" s="3"/>
      <c r="I36" s="3"/>
      <c r="J36" s="3"/>
      <c r="K36" s="3"/>
      <c r="N36" s="3"/>
      <c r="O36" s="3"/>
    </row>
    <row r="37" spans="1:15" x14ac:dyDescent="0.2">
      <c r="A37" s="8" t="s">
        <v>174</v>
      </c>
      <c r="B37" s="7" t="s">
        <v>175</v>
      </c>
      <c r="C37" s="7" t="s">
        <v>174</v>
      </c>
      <c r="D37" s="7" t="s">
        <v>273</v>
      </c>
      <c r="E37" s="3" t="s">
        <v>24</v>
      </c>
      <c r="F37" s="3">
        <v>27597</v>
      </c>
      <c r="G37" s="3"/>
      <c r="H37" s="3"/>
      <c r="I37" s="3"/>
      <c r="J37" s="7"/>
      <c r="K37" s="7"/>
      <c r="N37" s="3"/>
      <c r="O37" s="3"/>
    </row>
    <row r="38" spans="1:15" x14ac:dyDescent="0.2">
      <c r="A38" s="20" t="s">
        <v>161</v>
      </c>
      <c r="B38" s="21" t="s">
        <v>162</v>
      </c>
      <c r="C38" s="21" t="s">
        <v>161</v>
      </c>
      <c r="D38" s="7" t="s">
        <v>272</v>
      </c>
      <c r="E38" s="3" t="s">
        <v>169</v>
      </c>
      <c r="F38" s="3">
        <v>26368</v>
      </c>
      <c r="G38" s="3"/>
      <c r="H38" s="3"/>
      <c r="I38" s="3"/>
      <c r="J38" s="7"/>
      <c r="K38" s="7"/>
      <c r="L38" s="3"/>
      <c r="N38" s="3"/>
      <c r="O38" s="3"/>
    </row>
    <row r="39" spans="1:15" x14ac:dyDescent="0.2">
      <c r="A39" s="8" t="s">
        <v>174</v>
      </c>
      <c r="B39" s="7" t="s">
        <v>175</v>
      </c>
      <c r="C39" s="7" t="s">
        <v>174</v>
      </c>
      <c r="D39" s="7" t="s">
        <v>273</v>
      </c>
      <c r="E39" s="3" t="s">
        <v>32</v>
      </c>
      <c r="F39" s="3">
        <v>24429</v>
      </c>
      <c r="G39" s="3"/>
      <c r="H39" s="3"/>
      <c r="I39" s="3"/>
      <c r="J39" s="3"/>
      <c r="K39" s="3"/>
      <c r="L39" s="3"/>
      <c r="N39" s="3"/>
      <c r="O39" s="3"/>
    </row>
    <row r="40" spans="1:15" x14ac:dyDescent="0.2">
      <c r="A40" s="8" t="s">
        <v>174</v>
      </c>
      <c r="B40" s="7" t="s">
        <v>175</v>
      </c>
      <c r="C40" s="7" t="s">
        <v>174</v>
      </c>
      <c r="D40" s="7" t="s">
        <v>273</v>
      </c>
      <c r="E40" s="3" t="s">
        <v>34</v>
      </c>
      <c r="F40" s="3">
        <v>23072</v>
      </c>
      <c r="G40" s="3"/>
      <c r="H40" s="3"/>
      <c r="I40" s="3"/>
      <c r="J40" s="7"/>
      <c r="K40" s="7"/>
      <c r="L40" s="3"/>
      <c r="N40" s="3"/>
      <c r="O40" s="3"/>
    </row>
    <row r="41" spans="1:15" x14ac:dyDescent="0.2">
      <c r="A41" s="8" t="s">
        <v>174</v>
      </c>
      <c r="B41" s="7" t="s">
        <v>175</v>
      </c>
      <c r="C41" s="7" t="s">
        <v>174</v>
      </c>
      <c r="D41" s="7" t="s">
        <v>273</v>
      </c>
      <c r="E41" s="3" t="s">
        <v>17</v>
      </c>
      <c r="F41" s="3">
        <v>21597</v>
      </c>
      <c r="G41" s="3"/>
      <c r="H41" s="3"/>
      <c r="I41" s="3"/>
      <c r="J41" s="7"/>
      <c r="K41" s="7"/>
      <c r="L41" s="3"/>
      <c r="N41" s="3"/>
      <c r="O41" s="3"/>
    </row>
    <row r="42" spans="1:15" x14ac:dyDescent="0.2">
      <c r="A42" s="20" t="s">
        <v>161</v>
      </c>
      <c r="B42" s="21" t="s">
        <v>162</v>
      </c>
      <c r="C42" s="21" t="s">
        <v>161</v>
      </c>
      <c r="D42" s="7" t="s">
        <v>272</v>
      </c>
      <c r="E42" s="3" t="s">
        <v>126</v>
      </c>
      <c r="F42" s="3">
        <v>20204</v>
      </c>
      <c r="G42" s="3"/>
      <c r="H42" s="3"/>
      <c r="I42" s="3"/>
      <c r="J42" s="3"/>
      <c r="K42" s="3"/>
      <c r="L42" s="3"/>
      <c r="N42" s="3"/>
      <c r="O42" s="3"/>
    </row>
    <row r="43" spans="1:15" x14ac:dyDescent="0.2">
      <c r="A43" s="8" t="s">
        <v>174</v>
      </c>
      <c r="B43" s="7" t="s">
        <v>175</v>
      </c>
      <c r="C43" s="7" t="s">
        <v>174</v>
      </c>
      <c r="D43" s="7" t="s">
        <v>273</v>
      </c>
      <c r="E43" s="3" t="s">
        <v>44</v>
      </c>
      <c r="F43" s="3">
        <v>19961</v>
      </c>
      <c r="G43" s="3"/>
      <c r="H43" s="3"/>
      <c r="I43" s="3"/>
      <c r="J43" s="7"/>
      <c r="K43" s="7"/>
      <c r="L43" s="3"/>
      <c r="N43" s="3"/>
      <c r="O43" s="3"/>
    </row>
    <row r="44" spans="1:15" x14ac:dyDescent="0.2">
      <c r="A44" s="8" t="s">
        <v>174</v>
      </c>
      <c r="B44" s="7" t="s">
        <v>175</v>
      </c>
      <c r="C44" s="7" t="s">
        <v>174</v>
      </c>
      <c r="D44" s="7" t="s">
        <v>273</v>
      </c>
      <c r="E44" s="3" t="s">
        <v>33</v>
      </c>
      <c r="F44" s="3">
        <v>18890</v>
      </c>
      <c r="G44" s="3"/>
      <c r="H44" s="3"/>
      <c r="I44" s="3"/>
      <c r="J44" s="7"/>
      <c r="K44" s="7"/>
      <c r="L44" s="3"/>
      <c r="N44" s="3"/>
      <c r="O44" s="3"/>
    </row>
    <row r="45" spans="1:15" x14ac:dyDescent="0.2">
      <c r="A45" s="20" t="s">
        <v>161</v>
      </c>
      <c r="B45" s="21" t="s">
        <v>162</v>
      </c>
      <c r="C45" s="21" t="s">
        <v>161</v>
      </c>
      <c r="D45" s="7" t="s">
        <v>272</v>
      </c>
      <c r="E45" s="3" t="s">
        <v>168</v>
      </c>
      <c r="F45" s="3">
        <v>17659</v>
      </c>
      <c r="G45" s="3"/>
      <c r="H45" s="3"/>
      <c r="I45" s="3"/>
      <c r="J45" s="7"/>
      <c r="K45" s="7"/>
      <c r="L45" s="3"/>
      <c r="N45" s="3"/>
      <c r="O45" s="3"/>
    </row>
    <row r="46" spans="1:15" x14ac:dyDescent="0.2">
      <c r="A46" s="8" t="s">
        <v>174</v>
      </c>
      <c r="B46" s="7" t="s">
        <v>175</v>
      </c>
      <c r="C46" s="7" t="s">
        <v>174</v>
      </c>
      <c r="D46" s="7" t="s">
        <v>273</v>
      </c>
      <c r="E46" s="3" t="s">
        <v>67</v>
      </c>
      <c r="F46" s="3">
        <v>17221</v>
      </c>
      <c r="G46" s="3"/>
      <c r="H46" s="3"/>
      <c r="I46" s="3"/>
      <c r="J46" s="7"/>
      <c r="K46" s="7"/>
      <c r="L46" s="3"/>
      <c r="N46" s="3"/>
      <c r="O46" s="3"/>
    </row>
    <row r="47" spans="1:15" x14ac:dyDescent="0.2">
      <c r="A47" s="8" t="s">
        <v>174</v>
      </c>
      <c r="B47" s="7" t="s">
        <v>175</v>
      </c>
      <c r="C47" s="7" t="s">
        <v>174</v>
      </c>
      <c r="D47" s="7" t="s">
        <v>273</v>
      </c>
      <c r="E47" s="3" t="s">
        <v>69</v>
      </c>
      <c r="F47" s="3">
        <v>16520</v>
      </c>
      <c r="G47" s="3"/>
      <c r="H47" s="3"/>
      <c r="I47" s="3"/>
      <c r="J47" s="7"/>
      <c r="K47" s="7"/>
      <c r="L47" s="3"/>
      <c r="N47" s="3"/>
      <c r="O47" s="3"/>
    </row>
    <row r="48" spans="1:15" x14ac:dyDescent="0.2">
      <c r="A48" s="8" t="s">
        <v>174</v>
      </c>
      <c r="B48" s="7" t="s">
        <v>175</v>
      </c>
      <c r="C48" s="7" t="s">
        <v>174</v>
      </c>
      <c r="D48" s="7" t="s">
        <v>273</v>
      </c>
      <c r="E48" s="3" t="s">
        <v>27</v>
      </c>
      <c r="F48" s="3">
        <v>15014</v>
      </c>
      <c r="G48" s="3"/>
      <c r="H48" s="3"/>
      <c r="I48" s="3"/>
      <c r="J48" s="7"/>
      <c r="K48" s="7"/>
      <c r="L48" s="3"/>
      <c r="N48" s="3"/>
      <c r="O48" s="3"/>
    </row>
    <row r="49" spans="1:15" x14ac:dyDescent="0.2">
      <c r="A49" s="8" t="s">
        <v>174</v>
      </c>
      <c r="B49" s="7" t="s">
        <v>175</v>
      </c>
      <c r="C49" s="7" t="s">
        <v>174</v>
      </c>
      <c r="D49" s="7" t="s">
        <v>273</v>
      </c>
      <c r="E49" s="3" t="s">
        <v>53</v>
      </c>
      <c r="F49" s="3">
        <v>14243</v>
      </c>
      <c r="G49" s="3"/>
      <c r="H49" s="3"/>
      <c r="I49" s="3"/>
      <c r="J49" s="7"/>
      <c r="K49" s="7"/>
      <c r="L49" s="3"/>
      <c r="N49" s="3"/>
      <c r="O49" s="3"/>
    </row>
    <row r="50" spans="1:15" x14ac:dyDescent="0.2">
      <c r="A50" s="8" t="s">
        <v>174</v>
      </c>
      <c r="B50" s="7" t="s">
        <v>175</v>
      </c>
      <c r="C50" s="7" t="s">
        <v>174</v>
      </c>
      <c r="D50" s="7" t="s">
        <v>273</v>
      </c>
      <c r="E50" s="3" t="s">
        <v>54</v>
      </c>
      <c r="F50" s="3">
        <v>13275</v>
      </c>
      <c r="G50" s="3"/>
      <c r="H50" s="3"/>
      <c r="I50" s="3"/>
      <c r="J50" s="7"/>
      <c r="K50" s="7"/>
      <c r="L50" s="3"/>
      <c r="N50" s="3"/>
      <c r="O50" s="3"/>
    </row>
    <row r="51" spans="1:15" x14ac:dyDescent="0.2">
      <c r="A51" s="8" t="s">
        <v>174</v>
      </c>
      <c r="B51" s="7" t="s">
        <v>175</v>
      </c>
      <c r="C51" s="7" t="s">
        <v>174</v>
      </c>
      <c r="D51" s="7" t="s">
        <v>273</v>
      </c>
      <c r="E51" s="3" t="s">
        <v>70</v>
      </c>
      <c r="F51" s="3">
        <v>12321</v>
      </c>
      <c r="G51" s="3"/>
      <c r="H51" s="3"/>
      <c r="I51" s="3"/>
      <c r="J51" s="7"/>
      <c r="K51" s="7"/>
      <c r="L51" s="3"/>
      <c r="N51" s="3"/>
      <c r="O51" s="3"/>
    </row>
    <row r="52" spans="1:15" x14ac:dyDescent="0.2">
      <c r="A52" s="20" t="s">
        <v>161</v>
      </c>
      <c r="B52" s="21" t="s">
        <v>162</v>
      </c>
      <c r="C52" s="21" t="s">
        <v>161</v>
      </c>
      <c r="D52" s="7" t="s">
        <v>272</v>
      </c>
      <c r="E52" s="3" t="s">
        <v>129</v>
      </c>
      <c r="F52" s="3">
        <v>12052</v>
      </c>
      <c r="G52" s="3"/>
      <c r="H52" s="3"/>
      <c r="I52" s="3"/>
      <c r="J52" s="7"/>
      <c r="K52" s="7"/>
      <c r="L52" s="3"/>
      <c r="N52" s="3"/>
      <c r="O52" s="3"/>
    </row>
    <row r="53" spans="1:15" x14ac:dyDescent="0.2">
      <c r="A53" s="8" t="s">
        <v>174</v>
      </c>
      <c r="B53" s="7" t="s">
        <v>175</v>
      </c>
      <c r="C53" s="7" t="s">
        <v>174</v>
      </c>
      <c r="D53" s="7" t="s">
        <v>273</v>
      </c>
      <c r="E53" s="3" t="s">
        <v>74</v>
      </c>
      <c r="F53" s="3">
        <v>11526</v>
      </c>
      <c r="G53" s="3"/>
      <c r="H53" s="3"/>
      <c r="I53" s="3"/>
      <c r="J53" s="7"/>
      <c r="K53" s="7"/>
      <c r="L53" s="3"/>
      <c r="N53" s="3"/>
      <c r="O53" s="3"/>
    </row>
    <row r="54" spans="1:15" x14ac:dyDescent="0.2">
      <c r="A54" s="8" t="s">
        <v>174</v>
      </c>
      <c r="B54" s="7" t="s">
        <v>175</v>
      </c>
      <c r="C54" s="7" t="s">
        <v>174</v>
      </c>
      <c r="D54" s="7" t="s">
        <v>273</v>
      </c>
      <c r="E54" s="3" t="s">
        <v>40</v>
      </c>
      <c r="F54" s="3">
        <v>10767</v>
      </c>
      <c r="G54" s="3"/>
      <c r="H54" s="3"/>
      <c r="I54" s="3"/>
      <c r="J54" s="7"/>
      <c r="K54" s="7"/>
      <c r="L54" s="3"/>
      <c r="N54" s="3"/>
      <c r="O54" s="3"/>
    </row>
    <row r="55" spans="1:15" x14ac:dyDescent="0.2">
      <c r="A55" s="8" t="s">
        <v>174</v>
      </c>
      <c r="B55" s="7" t="s">
        <v>175</v>
      </c>
      <c r="C55" s="7" t="s">
        <v>174</v>
      </c>
      <c r="D55" s="7" t="s">
        <v>273</v>
      </c>
      <c r="E55" s="3" t="s">
        <v>30</v>
      </c>
      <c r="F55" s="3">
        <v>10327</v>
      </c>
      <c r="G55" s="3"/>
      <c r="H55" s="3"/>
      <c r="I55" s="3"/>
      <c r="J55" s="7"/>
      <c r="K55" s="7"/>
      <c r="L55" s="3"/>
      <c r="N55" s="3"/>
      <c r="O55" s="3"/>
    </row>
    <row r="56" spans="1:15" x14ac:dyDescent="0.2">
      <c r="A56" s="8" t="s">
        <v>174</v>
      </c>
      <c r="B56" s="7" t="s">
        <v>175</v>
      </c>
      <c r="C56" s="7" t="s">
        <v>174</v>
      </c>
      <c r="D56" s="7" t="s">
        <v>273</v>
      </c>
      <c r="E56" s="3" t="s">
        <v>72</v>
      </c>
      <c r="F56" s="3">
        <v>9466</v>
      </c>
      <c r="G56" s="3"/>
      <c r="H56" s="3"/>
      <c r="I56" s="3"/>
      <c r="J56" s="7"/>
      <c r="K56" s="7"/>
      <c r="L56" s="3"/>
      <c r="M56" s="3"/>
      <c r="N56" s="3"/>
      <c r="O56" s="3"/>
    </row>
    <row r="57" spans="1:15" x14ac:dyDescent="0.2">
      <c r="A57" s="20" t="s">
        <v>161</v>
      </c>
      <c r="B57" s="21" t="s">
        <v>162</v>
      </c>
      <c r="C57" s="21" t="s">
        <v>161</v>
      </c>
      <c r="D57" s="7" t="s">
        <v>272</v>
      </c>
      <c r="E57" s="3" t="s">
        <v>127</v>
      </c>
      <c r="F57" s="3">
        <v>9046</v>
      </c>
      <c r="G57" s="3"/>
      <c r="H57" s="3"/>
      <c r="I57" s="3"/>
      <c r="J57" s="7"/>
      <c r="K57" s="7"/>
      <c r="L57" s="3"/>
      <c r="M57" s="3"/>
      <c r="N57" s="3"/>
      <c r="O57" s="3"/>
    </row>
    <row r="58" spans="1:15" x14ac:dyDescent="0.2">
      <c r="A58" s="8" t="s">
        <v>174</v>
      </c>
      <c r="B58" s="7" t="s">
        <v>175</v>
      </c>
      <c r="C58" s="7" t="s">
        <v>174</v>
      </c>
      <c r="D58" s="7" t="s">
        <v>273</v>
      </c>
      <c r="E58" s="3" t="s">
        <v>65</v>
      </c>
      <c r="F58" s="3">
        <v>8886</v>
      </c>
      <c r="G58" s="3"/>
      <c r="H58" s="3"/>
      <c r="I58" s="3"/>
      <c r="J58" s="7"/>
      <c r="K58" s="7"/>
      <c r="L58" s="3"/>
      <c r="N58" s="3"/>
      <c r="O58" s="3"/>
    </row>
    <row r="59" spans="1:15" x14ac:dyDescent="0.2">
      <c r="A59" s="8" t="s">
        <v>174</v>
      </c>
      <c r="B59" s="7" t="s">
        <v>175</v>
      </c>
      <c r="C59" s="7" t="s">
        <v>174</v>
      </c>
      <c r="D59" s="7" t="s">
        <v>273</v>
      </c>
      <c r="E59" s="3" t="s">
        <v>43</v>
      </c>
      <c r="F59" s="3">
        <v>8169</v>
      </c>
      <c r="G59" s="3"/>
      <c r="H59" s="3"/>
      <c r="I59" s="3"/>
      <c r="J59" s="7"/>
      <c r="K59" s="7"/>
      <c r="L59" s="3"/>
      <c r="N59" s="3"/>
      <c r="O59" s="3"/>
    </row>
    <row r="60" spans="1:15" x14ac:dyDescent="0.2">
      <c r="A60" s="8" t="s">
        <v>174</v>
      </c>
      <c r="B60" s="7" t="s">
        <v>175</v>
      </c>
      <c r="C60" s="7" t="s">
        <v>174</v>
      </c>
      <c r="D60" s="7" t="s">
        <v>273</v>
      </c>
      <c r="E60" s="3" t="s">
        <v>45</v>
      </c>
      <c r="F60" s="3">
        <v>7726</v>
      </c>
      <c r="G60" s="3"/>
      <c r="H60" s="3"/>
      <c r="I60" s="3"/>
      <c r="J60" s="7"/>
      <c r="K60" s="7"/>
      <c r="L60" s="3"/>
      <c r="N60" s="3"/>
      <c r="O60" s="3"/>
    </row>
    <row r="61" spans="1:15" x14ac:dyDescent="0.2">
      <c r="A61" s="8" t="s">
        <v>174</v>
      </c>
      <c r="B61" s="7" t="s">
        <v>175</v>
      </c>
      <c r="C61" s="7" t="s">
        <v>174</v>
      </c>
      <c r="D61" s="7" t="s">
        <v>273</v>
      </c>
      <c r="E61" s="3" t="s">
        <v>52</v>
      </c>
      <c r="F61" s="3">
        <v>7377</v>
      </c>
      <c r="G61" s="3"/>
      <c r="H61" s="3"/>
      <c r="I61" s="3"/>
      <c r="J61" s="7"/>
      <c r="K61" s="7"/>
      <c r="L61" s="3"/>
      <c r="N61" s="3"/>
      <c r="O61" s="3"/>
    </row>
    <row r="62" spans="1:15" x14ac:dyDescent="0.2">
      <c r="A62" s="8" t="s">
        <v>174</v>
      </c>
      <c r="B62" s="7" t="s">
        <v>175</v>
      </c>
      <c r="C62" s="7" t="s">
        <v>174</v>
      </c>
      <c r="D62" s="7" t="s">
        <v>273</v>
      </c>
      <c r="E62" s="3" t="s">
        <v>73</v>
      </c>
      <c r="F62" s="3">
        <v>7169</v>
      </c>
      <c r="G62" s="3"/>
      <c r="H62" s="3"/>
      <c r="I62" s="3"/>
      <c r="J62" s="7"/>
      <c r="K62" s="7"/>
      <c r="L62" s="3"/>
      <c r="N62" s="3"/>
      <c r="O62" s="3"/>
    </row>
    <row r="63" spans="1:15" x14ac:dyDescent="0.2">
      <c r="A63" s="8" t="s">
        <v>174</v>
      </c>
      <c r="B63" s="7" t="s">
        <v>175</v>
      </c>
      <c r="C63" s="7" t="s">
        <v>174</v>
      </c>
      <c r="D63" s="7" t="s">
        <v>273</v>
      </c>
      <c r="E63" s="3" t="s">
        <v>60</v>
      </c>
      <c r="F63" s="3">
        <v>7149</v>
      </c>
      <c r="G63" s="3"/>
      <c r="H63" s="3"/>
      <c r="I63" s="3"/>
      <c r="J63" s="7"/>
      <c r="K63" s="7"/>
      <c r="L63" s="3"/>
      <c r="N63" s="3"/>
      <c r="O63" s="3"/>
    </row>
    <row r="64" spans="1:15" x14ac:dyDescent="0.2">
      <c r="A64" s="20" t="s">
        <v>161</v>
      </c>
      <c r="B64" s="21" t="s">
        <v>162</v>
      </c>
      <c r="C64" s="21" t="s">
        <v>161</v>
      </c>
      <c r="D64" s="7" t="s">
        <v>272</v>
      </c>
      <c r="E64" s="3" t="s">
        <v>128</v>
      </c>
      <c r="F64" s="3">
        <v>7087</v>
      </c>
      <c r="G64" s="3"/>
      <c r="H64" s="3"/>
      <c r="I64" s="3"/>
      <c r="J64" s="7"/>
      <c r="K64" s="7"/>
      <c r="L64" s="3"/>
      <c r="N64" s="3"/>
      <c r="O64" s="3"/>
    </row>
    <row r="65" spans="1:15" x14ac:dyDescent="0.2">
      <c r="A65" s="8" t="s">
        <v>174</v>
      </c>
      <c r="B65" s="7" t="s">
        <v>175</v>
      </c>
      <c r="C65" s="7" t="s">
        <v>174</v>
      </c>
      <c r="D65" s="7" t="s">
        <v>273</v>
      </c>
      <c r="E65" s="3" t="s">
        <v>39</v>
      </c>
      <c r="F65" s="3">
        <v>6902</v>
      </c>
      <c r="G65" s="3"/>
      <c r="H65" s="3"/>
      <c r="I65" s="3"/>
      <c r="J65" s="7"/>
      <c r="K65" s="7"/>
      <c r="L65" s="3"/>
      <c r="N65" s="3"/>
      <c r="O65" s="3"/>
    </row>
    <row r="66" spans="1:15" x14ac:dyDescent="0.2">
      <c r="A66" s="8" t="s">
        <v>174</v>
      </c>
      <c r="B66" s="7" t="s">
        <v>175</v>
      </c>
      <c r="C66" s="7" t="s">
        <v>174</v>
      </c>
      <c r="D66" s="7" t="s">
        <v>273</v>
      </c>
      <c r="E66" s="3" t="s">
        <v>63</v>
      </c>
      <c r="F66" s="3">
        <v>6783</v>
      </c>
      <c r="G66" s="3"/>
      <c r="H66" s="3"/>
      <c r="I66" s="3"/>
      <c r="J66" s="7"/>
      <c r="K66" s="7"/>
      <c r="L66" s="3"/>
      <c r="N66" s="3"/>
      <c r="O66" s="3"/>
    </row>
    <row r="67" spans="1:15" x14ac:dyDescent="0.2">
      <c r="A67" s="8" t="s">
        <v>174</v>
      </c>
      <c r="B67" s="7" t="s">
        <v>175</v>
      </c>
      <c r="C67" s="7" t="s">
        <v>174</v>
      </c>
      <c r="D67" s="7" t="s">
        <v>273</v>
      </c>
      <c r="E67" s="3" t="s">
        <v>41</v>
      </c>
      <c r="F67" s="3">
        <v>6560</v>
      </c>
      <c r="G67" s="3"/>
      <c r="H67" s="3"/>
      <c r="I67" s="3"/>
      <c r="J67" s="7"/>
      <c r="K67" s="7"/>
      <c r="L67" s="3"/>
      <c r="N67" s="3"/>
      <c r="O67" s="3"/>
    </row>
    <row r="68" spans="1:15" x14ac:dyDescent="0.2">
      <c r="A68" s="8" t="s">
        <v>174</v>
      </c>
      <c r="B68" s="7" t="s">
        <v>175</v>
      </c>
      <c r="C68" s="7" t="s">
        <v>174</v>
      </c>
      <c r="D68" s="7" t="s">
        <v>273</v>
      </c>
      <c r="E68" s="3" t="s">
        <v>37</v>
      </c>
      <c r="F68" s="3">
        <v>5633</v>
      </c>
      <c r="G68" s="3"/>
      <c r="H68" s="3"/>
      <c r="I68" s="3"/>
      <c r="J68" s="7"/>
      <c r="K68" s="7"/>
      <c r="L68" s="3"/>
      <c r="N68" s="3"/>
      <c r="O68" s="3"/>
    </row>
    <row r="69" spans="1:15" x14ac:dyDescent="0.2">
      <c r="A69" s="8" t="s">
        <v>174</v>
      </c>
      <c r="B69" s="7" t="s">
        <v>175</v>
      </c>
      <c r="C69" s="7" t="s">
        <v>174</v>
      </c>
      <c r="D69" s="7" t="s">
        <v>273</v>
      </c>
      <c r="E69" s="3" t="s">
        <v>62</v>
      </c>
      <c r="F69" s="3">
        <v>5416</v>
      </c>
      <c r="G69" s="3"/>
      <c r="H69" s="3"/>
      <c r="I69" s="3"/>
      <c r="J69" s="7"/>
      <c r="K69" s="7"/>
      <c r="L69" s="3"/>
      <c r="N69" s="3"/>
      <c r="O69" s="3"/>
    </row>
    <row r="70" spans="1:15" x14ac:dyDescent="0.2">
      <c r="A70" s="20" t="s">
        <v>161</v>
      </c>
      <c r="B70" s="21" t="s">
        <v>162</v>
      </c>
      <c r="C70" s="21" t="s">
        <v>161</v>
      </c>
      <c r="D70" s="7" t="s">
        <v>272</v>
      </c>
      <c r="E70" s="3" t="s">
        <v>171</v>
      </c>
      <c r="F70" s="3">
        <v>5221</v>
      </c>
      <c r="G70" s="3"/>
      <c r="H70" s="3"/>
      <c r="I70" s="3"/>
      <c r="J70" s="7"/>
      <c r="K70" s="7"/>
      <c r="L70" s="3"/>
      <c r="N70" s="3"/>
      <c r="O70" s="3"/>
    </row>
    <row r="71" spans="1:15" x14ac:dyDescent="0.2">
      <c r="A71" s="8" t="s">
        <v>174</v>
      </c>
      <c r="B71" s="7" t="s">
        <v>175</v>
      </c>
      <c r="C71" s="7" t="s">
        <v>174</v>
      </c>
      <c r="D71" s="7" t="s">
        <v>273</v>
      </c>
      <c r="E71" s="3" t="s">
        <v>56</v>
      </c>
      <c r="F71" s="3">
        <v>5209</v>
      </c>
      <c r="G71" s="3"/>
      <c r="H71" s="3"/>
      <c r="I71" s="3"/>
      <c r="J71" s="7"/>
      <c r="K71" s="7"/>
      <c r="L71" s="3"/>
      <c r="N71" s="3"/>
      <c r="O71" s="3"/>
    </row>
    <row r="72" spans="1:15" x14ac:dyDescent="0.2">
      <c r="A72" s="8" t="s">
        <v>174</v>
      </c>
      <c r="B72" s="7" t="s">
        <v>175</v>
      </c>
      <c r="C72" s="7" t="s">
        <v>174</v>
      </c>
      <c r="D72" s="7" t="s">
        <v>273</v>
      </c>
      <c r="E72" s="3" t="s">
        <v>66</v>
      </c>
      <c r="F72" s="3">
        <v>5092</v>
      </c>
      <c r="G72" s="3"/>
      <c r="H72" s="3"/>
      <c r="I72" s="3"/>
      <c r="J72" s="7"/>
      <c r="K72" s="7"/>
      <c r="L72" s="3"/>
      <c r="N72" s="3"/>
      <c r="O72" s="3"/>
    </row>
    <row r="73" spans="1:15" x14ac:dyDescent="0.2">
      <c r="A73" s="20" t="s">
        <v>161</v>
      </c>
      <c r="B73" s="21" t="s">
        <v>162</v>
      </c>
      <c r="C73" s="21" t="s">
        <v>161</v>
      </c>
      <c r="D73" s="7" t="s">
        <v>272</v>
      </c>
      <c r="E73" s="3" t="s">
        <v>130</v>
      </c>
      <c r="F73" s="3">
        <v>4414</v>
      </c>
      <c r="G73" s="3"/>
      <c r="H73" s="3"/>
      <c r="I73" s="3"/>
      <c r="J73" s="7"/>
      <c r="K73" s="7"/>
      <c r="L73" s="3"/>
      <c r="N73" s="3"/>
      <c r="O73" s="3"/>
    </row>
    <row r="74" spans="1:15" x14ac:dyDescent="0.2">
      <c r="A74" s="8" t="s">
        <v>174</v>
      </c>
      <c r="B74" s="7" t="s">
        <v>175</v>
      </c>
      <c r="C74" s="7" t="s">
        <v>174</v>
      </c>
      <c r="D74" s="7" t="s">
        <v>273</v>
      </c>
      <c r="E74" s="3" t="s">
        <v>42</v>
      </c>
      <c r="F74" s="3">
        <v>4170</v>
      </c>
      <c r="G74" s="3"/>
      <c r="H74" s="3"/>
      <c r="I74" s="3"/>
      <c r="J74" s="7"/>
      <c r="K74" s="7"/>
      <c r="L74" s="3"/>
      <c r="N74" s="3"/>
      <c r="O74" s="3"/>
    </row>
    <row r="75" spans="1:15" x14ac:dyDescent="0.2">
      <c r="A75" s="8" t="s">
        <v>174</v>
      </c>
      <c r="B75" s="7" t="s">
        <v>175</v>
      </c>
      <c r="C75" s="7" t="s">
        <v>174</v>
      </c>
      <c r="D75" s="7" t="s">
        <v>273</v>
      </c>
      <c r="E75" s="3" t="s">
        <v>50</v>
      </c>
      <c r="F75" s="3">
        <v>4042</v>
      </c>
      <c r="G75" s="3"/>
      <c r="H75" s="3"/>
      <c r="I75" s="3"/>
      <c r="J75" s="7"/>
      <c r="K75" s="7"/>
      <c r="L75" s="3"/>
      <c r="N75" s="3"/>
      <c r="O75" s="3"/>
    </row>
    <row r="76" spans="1:15" x14ac:dyDescent="0.2">
      <c r="A76" s="8" t="s">
        <v>174</v>
      </c>
      <c r="B76" s="7" t="s">
        <v>175</v>
      </c>
      <c r="C76" s="7" t="s">
        <v>174</v>
      </c>
      <c r="D76" s="7" t="s">
        <v>273</v>
      </c>
      <c r="E76" s="3" t="s">
        <v>58</v>
      </c>
      <c r="F76" s="3">
        <v>3891</v>
      </c>
      <c r="G76" s="3"/>
      <c r="H76" s="3"/>
      <c r="I76" s="3"/>
      <c r="J76" s="7"/>
      <c r="K76" s="7"/>
      <c r="L76" s="3"/>
      <c r="N76" s="3"/>
      <c r="O76" s="3"/>
    </row>
    <row r="77" spans="1:15" x14ac:dyDescent="0.2">
      <c r="A77" s="8" t="s">
        <v>174</v>
      </c>
      <c r="B77" s="7" t="s">
        <v>175</v>
      </c>
      <c r="C77" s="7" t="s">
        <v>174</v>
      </c>
      <c r="D77" s="7" t="s">
        <v>273</v>
      </c>
      <c r="E77" s="3" t="s">
        <v>48</v>
      </c>
      <c r="F77" s="3">
        <v>3799</v>
      </c>
      <c r="G77" s="3"/>
      <c r="H77" s="3"/>
      <c r="I77" s="3"/>
      <c r="J77" s="7"/>
      <c r="K77" s="7"/>
      <c r="L77" s="3"/>
      <c r="N77" s="3"/>
      <c r="O77" s="3"/>
    </row>
    <row r="78" spans="1:15" x14ac:dyDescent="0.2">
      <c r="A78" s="8" t="s">
        <v>174</v>
      </c>
      <c r="B78" s="7" t="s">
        <v>175</v>
      </c>
      <c r="C78" s="7" t="s">
        <v>174</v>
      </c>
      <c r="D78" s="7" t="s">
        <v>273</v>
      </c>
      <c r="E78" s="3" t="s">
        <v>68</v>
      </c>
      <c r="F78" s="3">
        <v>3691</v>
      </c>
      <c r="G78" s="3"/>
      <c r="H78" s="3"/>
      <c r="I78" s="3"/>
      <c r="J78" s="7"/>
      <c r="K78" s="7"/>
      <c r="L78" s="3"/>
      <c r="N78" s="3"/>
      <c r="O78" s="3"/>
    </row>
    <row r="79" spans="1:15" x14ac:dyDescent="0.2">
      <c r="A79" s="8" t="s">
        <v>174</v>
      </c>
      <c r="B79" s="7" t="s">
        <v>175</v>
      </c>
      <c r="C79" s="7" t="s">
        <v>174</v>
      </c>
      <c r="D79" s="7" t="s">
        <v>273</v>
      </c>
      <c r="E79" s="3" t="s">
        <v>59</v>
      </c>
      <c r="F79" s="3">
        <v>3315</v>
      </c>
      <c r="G79" s="3"/>
      <c r="H79" s="3"/>
      <c r="I79" s="3"/>
      <c r="J79" s="7"/>
      <c r="K79" s="7"/>
      <c r="L79" s="3"/>
      <c r="N79" s="3"/>
      <c r="O79" s="3"/>
    </row>
    <row r="80" spans="1:15" x14ac:dyDescent="0.2">
      <c r="A80" s="20" t="s">
        <v>161</v>
      </c>
      <c r="B80" s="21" t="s">
        <v>162</v>
      </c>
      <c r="C80" s="21" t="s">
        <v>161</v>
      </c>
      <c r="D80" s="7" t="s">
        <v>272</v>
      </c>
      <c r="E80" s="3" t="s">
        <v>172</v>
      </c>
      <c r="F80" s="3">
        <v>3308</v>
      </c>
      <c r="G80" s="3"/>
      <c r="H80" s="3"/>
      <c r="I80" s="3"/>
      <c r="J80" s="7"/>
      <c r="K80" s="7"/>
      <c r="L80" s="3"/>
      <c r="N80" s="3"/>
      <c r="O80" s="3"/>
    </row>
    <row r="81" spans="1:15" x14ac:dyDescent="0.2">
      <c r="A81" s="20" t="s">
        <v>161</v>
      </c>
      <c r="B81" s="21" t="s">
        <v>162</v>
      </c>
      <c r="C81" s="21" t="s">
        <v>161</v>
      </c>
      <c r="D81" s="7" t="s">
        <v>272</v>
      </c>
      <c r="E81" s="3" t="s">
        <v>173</v>
      </c>
      <c r="F81" s="3">
        <v>2915</v>
      </c>
      <c r="G81" s="3"/>
      <c r="H81" s="3"/>
      <c r="I81" s="3"/>
      <c r="J81" s="7"/>
      <c r="K81" s="7"/>
      <c r="L81" s="3"/>
      <c r="M81" s="3"/>
      <c r="N81" s="3"/>
      <c r="O81" s="3"/>
    </row>
    <row r="82" spans="1:15" x14ac:dyDescent="0.2">
      <c r="A82" s="8" t="s">
        <v>174</v>
      </c>
      <c r="B82" s="7" t="s">
        <v>175</v>
      </c>
      <c r="C82" s="7" t="s">
        <v>174</v>
      </c>
      <c r="D82" s="7" t="s">
        <v>273</v>
      </c>
      <c r="E82" s="3" t="s">
        <v>57</v>
      </c>
      <c r="F82" s="3">
        <v>2806</v>
      </c>
      <c r="G82" s="3"/>
      <c r="H82" s="3"/>
      <c r="I82" s="3"/>
      <c r="J82" s="7"/>
      <c r="K82" s="7"/>
      <c r="L82" s="3"/>
      <c r="M82" s="3"/>
      <c r="N82" s="3"/>
      <c r="O82" s="3"/>
    </row>
    <row r="83" spans="1:15" x14ac:dyDescent="0.2">
      <c r="A83" s="8" t="s">
        <v>174</v>
      </c>
      <c r="B83" s="7" t="s">
        <v>175</v>
      </c>
      <c r="C83" s="7" t="s">
        <v>174</v>
      </c>
      <c r="D83" s="7" t="s">
        <v>273</v>
      </c>
      <c r="E83" s="3" t="s">
        <v>77</v>
      </c>
      <c r="F83" s="3">
        <v>2418</v>
      </c>
      <c r="G83" s="3"/>
      <c r="H83" s="7"/>
      <c r="I83" s="7"/>
      <c r="J83" s="7"/>
      <c r="K83" s="7"/>
      <c r="L83" s="3"/>
      <c r="M83" s="3"/>
      <c r="N83" s="7"/>
      <c r="O83" s="3"/>
    </row>
    <row r="84" spans="1:15" x14ac:dyDescent="0.2">
      <c r="A84" s="8" t="s">
        <v>174</v>
      </c>
      <c r="B84" s="7" t="s">
        <v>175</v>
      </c>
      <c r="C84" s="7" t="s">
        <v>174</v>
      </c>
      <c r="D84" s="7" t="s">
        <v>273</v>
      </c>
      <c r="E84" s="3" t="s">
        <v>29</v>
      </c>
      <c r="F84" s="3">
        <v>2181</v>
      </c>
      <c r="G84" s="3"/>
      <c r="H84" s="3"/>
      <c r="I84" s="3"/>
      <c r="J84" s="7"/>
      <c r="K84" s="7"/>
      <c r="L84" s="3"/>
      <c r="M84" s="3"/>
      <c r="N84" s="3"/>
      <c r="O84" s="3"/>
    </row>
    <row r="85" spans="1:15" x14ac:dyDescent="0.2">
      <c r="A85" s="8" t="s">
        <v>174</v>
      </c>
      <c r="B85" s="7" t="s">
        <v>175</v>
      </c>
      <c r="C85" s="7" t="s">
        <v>174</v>
      </c>
      <c r="D85" s="7" t="s">
        <v>273</v>
      </c>
      <c r="E85" s="3" t="s">
        <v>64</v>
      </c>
      <c r="F85" s="3">
        <v>2060</v>
      </c>
      <c r="G85" s="3"/>
      <c r="H85" s="3"/>
      <c r="I85" s="3"/>
      <c r="J85" s="7"/>
      <c r="K85" s="7"/>
      <c r="L85" s="3"/>
      <c r="N85" s="3"/>
      <c r="O85" s="3"/>
    </row>
    <row r="86" spans="1:15" x14ac:dyDescent="0.2">
      <c r="A86" s="8" t="s">
        <v>174</v>
      </c>
      <c r="B86" s="7" t="s">
        <v>175</v>
      </c>
      <c r="C86" s="7" t="s">
        <v>174</v>
      </c>
      <c r="D86" s="7" t="s">
        <v>273</v>
      </c>
      <c r="E86" s="3" t="s">
        <v>78</v>
      </c>
      <c r="F86" s="3">
        <v>1889</v>
      </c>
      <c r="G86" s="3"/>
      <c r="H86" s="3"/>
      <c r="I86" s="3"/>
      <c r="J86" s="7"/>
      <c r="K86" s="7"/>
      <c r="L86" s="3"/>
      <c r="N86" s="3"/>
      <c r="O86" s="3"/>
    </row>
    <row r="87" spans="1:15" x14ac:dyDescent="0.2">
      <c r="A87" s="8" t="s">
        <v>174</v>
      </c>
      <c r="B87" s="7" t="s">
        <v>175</v>
      </c>
      <c r="C87" s="7" t="s">
        <v>174</v>
      </c>
      <c r="D87" s="7" t="s">
        <v>273</v>
      </c>
      <c r="E87" s="3" t="s">
        <v>75</v>
      </c>
      <c r="F87" s="3">
        <v>1602</v>
      </c>
      <c r="G87" s="3"/>
      <c r="H87" s="3"/>
      <c r="I87" s="3"/>
      <c r="J87" s="7"/>
      <c r="K87" s="7"/>
      <c r="L87" s="3"/>
      <c r="N87" s="3"/>
      <c r="O87" s="3"/>
    </row>
    <row r="88" spans="1:15" x14ac:dyDescent="0.2">
      <c r="A88" s="8" t="s">
        <v>174</v>
      </c>
      <c r="B88" s="7" t="s">
        <v>175</v>
      </c>
      <c r="C88" s="7" t="s">
        <v>174</v>
      </c>
      <c r="D88" s="7" t="s">
        <v>273</v>
      </c>
      <c r="E88" s="3" t="s">
        <v>55</v>
      </c>
      <c r="F88" s="3">
        <v>1406</v>
      </c>
      <c r="G88" s="3"/>
      <c r="H88" s="3"/>
      <c r="I88" s="3"/>
      <c r="J88" s="7"/>
      <c r="K88" s="7"/>
      <c r="L88" s="3"/>
      <c r="N88" s="3"/>
      <c r="O88" s="3"/>
    </row>
    <row r="89" spans="1:15" x14ac:dyDescent="0.2">
      <c r="A89" s="8" t="s">
        <v>174</v>
      </c>
      <c r="B89" s="7" t="s">
        <v>175</v>
      </c>
      <c r="C89" s="7" t="s">
        <v>174</v>
      </c>
      <c r="D89" s="7" t="s">
        <v>273</v>
      </c>
      <c r="E89" s="3" t="s">
        <v>61</v>
      </c>
      <c r="F89" s="3">
        <v>1190</v>
      </c>
      <c r="G89" s="3"/>
      <c r="H89" s="7"/>
      <c r="I89" s="7"/>
      <c r="J89" s="7"/>
      <c r="K89" s="7"/>
      <c r="L89" s="3"/>
      <c r="N89" s="7"/>
      <c r="O89" s="7"/>
    </row>
    <row r="90" spans="1:15" x14ac:dyDescent="0.2">
      <c r="A90" s="8" t="s">
        <v>174</v>
      </c>
      <c r="B90" s="7" t="s">
        <v>175</v>
      </c>
      <c r="C90" s="7" t="s">
        <v>174</v>
      </c>
      <c r="D90" s="7" t="s">
        <v>273</v>
      </c>
      <c r="E90" s="3" t="s">
        <v>46</v>
      </c>
      <c r="F90" s="3">
        <v>1088</v>
      </c>
      <c r="G90" s="3"/>
      <c r="H90" s="7"/>
      <c r="I90" s="7"/>
      <c r="J90" s="7"/>
      <c r="K90" s="7"/>
      <c r="L90" s="3"/>
      <c r="N90" s="7"/>
      <c r="O90" s="7"/>
    </row>
    <row r="91" spans="1:15" x14ac:dyDescent="0.2">
      <c r="A91" s="8" t="s">
        <v>174</v>
      </c>
      <c r="B91" s="7" t="s">
        <v>175</v>
      </c>
      <c r="C91" s="7" t="s">
        <v>174</v>
      </c>
      <c r="D91" s="7" t="s">
        <v>273</v>
      </c>
      <c r="E91" s="3" t="s">
        <v>47</v>
      </c>
      <c r="F91" s="3">
        <v>1000</v>
      </c>
      <c r="G91" s="3"/>
      <c r="H91" s="3"/>
      <c r="I91" s="3"/>
      <c r="J91" s="7"/>
      <c r="K91" s="7"/>
      <c r="L91" s="3"/>
      <c r="N91" s="3"/>
      <c r="O91" s="7"/>
    </row>
    <row r="92" spans="1:15" x14ac:dyDescent="0.2">
      <c r="A92" s="8" t="s">
        <v>174</v>
      </c>
      <c r="B92" s="7" t="s">
        <v>175</v>
      </c>
      <c r="C92" s="7" t="s">
        <v>174</v>
      </c>
      <c r="D92" s="7" t="s">
        <v>273</v>
      </c>
      <c r="E92" s="3" t="s">
        <v>76</v>
      </c>
      <c r="F92" s="3">
        <v>841</v>
      </c>
      <c r="G92" s="3"/>
      <c r="H92" s="7"/>
      <c r="I92" s="7"/>
      <c r="J92" s="7"/>
      <c r="K92" s="7"/>
      <c r="L92" s="3"/>
      <c r="N92" s="7"/>
      <c r="O92" s="7"/>
    </row>
    <row r="93" spans="1:15" x14ac:dyDescent="0.2">
      <c r="A93" s="8" t="s">
        <v>174</v>
      </c>
      <c r="B93" s="7" t="s">
        <v>175</v>
      </c>
      <c r="C93" s="7" t="s">
        <v>174</v>
      </c>
      <c r="D93" s="7" t="s">
        <v>273</v>
      </c>
      <c r="E93" s="3" t="s">
        <v>71</v>
      </c>
      <c r="F93" s="3">
        <v>768</v>
      </c>
      <c r="G93" s="3"/>
      <c r="H93" s="3"/>
      <c r="I93" s="3"/>
      <c r="J93" s="7"/>
      <c r="K93" s="7"/>
      <c r="L93" s="3"/>
      <c r="N93" s="3"/>
      <c r="O93" s="7"/>
    </row>
    <row r="94" spans="1:15" x14ac:dyDescent="0.2">
      <c r="A94" s="20" t="s">
        <v>161</v>
      </c>
      <c r="B94" s="21" t="s">
        <v>162</v>
      </c>
      <c r="C94" s="21" t="s">
        <v>161</v>
      </c>
      <c r="D94" s="7" t="s">
        <v>272</v>
      </c>
      <c r="E94" s="3" t="s">
        <v>134</v>
      </c>
      <c r="F94" s="3">
        <v>10</v>
      </c>
      <c r="G94" s="3"/>
      <c r="H94" s="3"/>
      <c r="I94" s="3"/>
      <c r="J94" s="7"/>
      <c r="K94" s="7"/>
      <c r="L94" s="3"/>
      <c r="N94" s="3"/>
      <c r="O94" s="7"/>
    </row>
    <row r="95" spans="1:15" x14ac:dyDescent="0.2">
      <c r="E95" s="3" t="s">
        <v>277</v>
      </c>
      <c r="F95">
        <f>SUM(F6:F94)</f>
        <v>2474528</v>
      </c>
      <c r="G95" s="3"/>
      <c r="H95" s="3"/>
      <c r="I95" s="3"/>
      <c r="J95" s="7"/>
      <c r="K95" s="7"/>
      <c r="L95" s="3"/>
      <c r="M95" s="3"/>
      <c r="N95" s="3"/>
      <c r="O95" s="7"/>
    </row>
    <row r="96" spans="1:15" ht="16" x14ac:dyDescent="0.2">
      <c r="F96" s="3"/>
      <c r="G96" s="3"/>
      <c r="H96" s="3"/>
      <c r="I96" s="3"/>
      <c r="J96" s="7"/>
      <c r="K96" s="7"/>
      <c r="L96" s="3"/>
      <c r="M96" s="3"/>
      <c r="N96" s="3"/>
      <c r="O96" s="7"/>
    </row>
    <row r="97" spans="7:15" ht="16" x14ac:dyDescent="0.2">
      <c r="G97" s="3"/>
      <c r="H97" s="3"/>
      <c r="I97" s="3"/>
      <c r="J97" s="7"/>
      <c r="K97" s="7"/>
      <c r="L97" s="3"/>
      <c r="M97" s="3"/>
      <c r="N97" s="3"/>
      <c r="O97" s="7"/>
    </row>
    <row r="98" spans="7:15" ht="16" x14ac:dyDescent="0.2">
      <c r="G98" s="3"/>
      <c r="H98" s="3"/>
      <c r="I98" s="3"/>
      <c r="J98" s="7"/>
      <c r="K98" s="7"/>
      <c r="L98" s="3"/>
      <c r="N98" s="3"/>
      <c r="O98" s="7"/>
    </row>
    <row r="99" spans="7:15" ht="16" x14ac:dyDescent="0.2">
      <c r="G99" s="3"/>
      <c r="H99" s="7"/>
      <c r="I99" s="7"/>
      <c r="J99" s="7"/>
      <c r="K99" s="7"/>
      <c r="L99" s="3"/>
      <c r="N99" s="7"/>
      <c r="O99" s="7"/>
    </row>
    <row r="100" spans="7:15" ht="16" x14ac:dyDescent="0.2">
      <c r="G100" s="3"/>
      <c r="H100" s="3"/>
      <c r="I100" s="3"/>
      <c r="J100" s="7"/>
      <c r="K100" s="7"/>
      <c r="L100" s="3"/>
      <c r="N100" s="3"/>
      <c r="O100" s="7"/>
    </row>
    <row r="101" spans="7:15" ht="16" x14ac:dyDescent="0.2">
      <c r="G101" s="3"/>
      <c r="H101" s="7"/>
      <c r="I101" s="7"/>
      <c r="J101" s="7"/>
      <c r="K101" s="7"/>
      <c r="L101" s="3"/>
      <c r="N101" s="7"/>
      <c r="O101" s="7"/>
    </row>
    <row r="102" spans="7:15" ht="16" x14ac:dyDescent="0.2">
      <c r="G102" s="3"/>
      <c r="H102" s="3"/>
      <c r="I102" s="3"/>
      <c r="J102" s="7"/>
      <c r="K102" s="7"/>
      <c r="L102" s="3"/>
      <c r="N102" s="3"/>
      <c r="O102" s="7"/>
    </row>
    <row r="103" spans="7:15" ht="16" x14ac:dyDescent="0.2">
      <c r="G103" s="23"/>
      <c r="H103" s="7"/>
      <c r="I103" s="7"/>
      <c r="J103" s="7"/>
      <c r="K103" s="7"/>
    </row>
    <row r="104" spans="7:15" ht="16" x14ac:dyDescent="0.2">
      <c r="J104" s="7"/>
      <c r="K104" s="7"/>
    </row>
    <row r="105" spans="7:15" ht="16" x14ac:dyDescent="0.2">
      <c r="I105" s="3"/>
      <c r="J105" s="7"/>
      <c r="K105" s="7"/>
    </row>
    <row r="106" spans="7:15" x14ac:dyDescent="0.2">
      <c r="J106" s="7"/>
      <c r="K106" s="7"/>
    </row>
    <row r="107" spans="7:15" x14ac:dyDescent="0.2">
      <c r="J107" s="7"/>
      <c r="K107" s="7"/>
    </row>
    <row r="108" spans="7:15" x14ac:dyDescent="0.2">
      <c r="J108" s="7"/>
      <c r="K108" s="7"/>
    </row>
    <row r="109" spans="7:15" x14ac:dyDescent="0.2">
      <c r="J109" s="7"/>
      <c r="K109" s="7"/>
    </row>
    <row r="110" spans="7:15" x14ac:dyDescent="0.2">
      <c r="J110" s="7"/>
      <c r="K110" s="7"/>
    </row>
    <row r="111" spans="7:15" x14ac:dyDescent="0.2">
      <c r="J111" s="7"/>
      <c r="K111" s="7"/>
    </row>
    <row r="112" spans="7:15" x14ac:dyDescent="0.2">
      <c r="J112" s="7"/>
      <c r="K112" s="7"/>
    </row>
    <row r="113" spans="10:11" x14ac:dyDescent="0.2">
      <c r="J113" s="7"/>
      <c r="K113" s="7"/>
    </row>
    <row r="114" spans="10:11" x14ac:dyDescent="0.2">
      <c r="J114" s="7"/>
      <c r="K114" s="7"/>
    </row>
  </sheetData>
  <autoFilter ref="A5:F94" xr:uid="{6EEEE4F7-55BF-5644-8BF8-ED0B82B40D5C}">
    <sortState xmlns:xlrd2="http://schemas.microsoft.com/office/spreadsheetml/2017/richdata2" ref="A6:F94">
      <sortCondition descending="1" ref="F5:F9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ECE9-470D-624B-8297-A5D4EE4D62FB}">
  <dimension ref="A1:M27"/>
  <sheetViews>
    <sheetView workbookViewId="0">
      <selection activeCell="G2" sqref="G2"/>
    </sheetView>
  </sheetViews>
  <sheetFormatPr baseColWidth="10" defaultRowHeight="15" x14ac:dyDescent="0.2"/>
  <cols>
    <col min="1" max="1" width="23.33203125" customWidth="1"/>
    <col min="2" max="2" width="35.5" customWidth="1"/>
    <col min="3" max="3" width="52.5" customWidth="1"/>
    <col min="4" max="4" width="21.33203125" customWidth="1"/>
    <col min="5" max="5" width="17.83203125" customWidth="1"/>
    <col min="6" max="6" width="21.33203125" customWidth="1"/>
    <col min="7" max="7" width="19.5" customWidth="1"/>
    <col min="8" max="8" width="21.33203125" customWidth="1"/>
    <col min="9" max="9" width="21.6640625" customWidth="1"/>
  </cols>
  <sheetData>
    <row r="1" spans="1:13" x14ac:dyDescent="0.2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 t="s">
        <v>176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</row>
    <row r="4" spans="1:13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  <c r="G5" s="6"/>
      <c r="H5" s="6"/>
      <c r="I5" s="6"/>
      <c r="J5" s="6"/>
      <c r="K5" s="6"/>
      <c r="L5" s="6"/>
      <c r="M5" s="6"/>
    </row>
    <row r="6" spans="1:13" x14ac:dyDescent="0.2">
      <c r="A6" s="7" t="s">
        <v>184</v>
      </c>
      <c r="B6" s="7" t="s">
        <v>185</v>
      </c>
      <c r="C6" s="7" t="s">
        <v>274</v>
      </c>
      <c r="D6" s="3" t="s">
        <v>84</v>
      </c>
      <c r="E6" s="3">
        <v>359405</v>
      </c>
      <c r="F6" s="3"/>
      <c r="G6" s="3"/>
      <c r="H6" s="3"/>
      <c r="I6" s="3"/>
      <c r="J6" s="3"/>
    </row>
    <row r="7" spans="1:13" x14ac:dyDescent="0.2">
      <c r="A7" s="7" t="s">
        <v>184</v>
      </c>
      <c r="B7" s="7" t="s">
        <v>185</v>
      </c>
      <c r="C7" s="7" t="s">
        <v>274</v>
      </c>
      <c r="D7" s="3" t="s">
        <v>87</v>
      </c>
      <c r="E7" s="3">
        <v>334825</v>
      </c>
      <c r="F7" s="3"/>
      <c r="G7" s="3"/>
      <c r="H7" s="3"/>
      <c r="I7" s="3"/>
      <c r="J7" s="3"/>
    </row>
    <row r="8" spans="1:13" x14ac:dyDescent="0.2">
      <c r="A8" s="7" t="s">
        <v>184</v>
      </c>
      <c r="B8" s="7" t="s">
        <v>185</v>
      </c>
      <c r="C8" s="7" t="s">
        <v>274</v>
      </c>
      <c r="D8" s="7" t="s">
        <v>86</v>
      </c>
      <c r="E8" s="7">
        <v>320953</v>
      </c>
      <c r="F8" s="7"/>
      <c r="G8" s="3"/>
      <c r="H8" s="3"/>
      <c r="I8" s="7"/>
      <c r="J8" s="3"/>
    </row>
    <row r="9" spans="1:13" x14ac:dyDescent="0.2">
      <c r="A9" s="7" t="s">
        <v>184</v>
      </c>
      <c r="B9" s="7" t="s">
        <v>185</v>
      </c>
      <c r="C9" s="7" t="s">
        <v>274</v>
      </c>
      <c r="D9" s="7" t="s">
        <v>177</v>
      </c>
      <c r="E9" s="7">
        <v>279874</v>
      </c>
      <c r="F9" s="7"/>
      <c r="G9" s="3"/>
      <c r="H9" s="3"/>
      <c r="I9" s="7"/>
      <c r="J9" s="3"/>
    </row>
    <row r="10" spans="1:13" x14ac:dyDescent="0.2">
      <c r="A10" s="7" t="s">
        <v>184</v>
      </c>
      <c r="B10" s="7" t="s">
        <v>185</v>
      </c>
      <c r="C10" s="7" t="s">
        <v>274</v>
      </c>
      <c r="D10" s="7" t="s">
        <v>90</v>
      </c>
      <c r="E10" s="7">
        <v>240174</v>
      </c>
      <c r="F10" s="7"/>
      <c r="G10" s="3"/>
      <c r="H10" s="3"/>
      <c r="I10" s="7"/>
      <c r="J10" s="3"/>
    </row>
    <row r="11" spans="1:13" x14ac:dyDescent="0.2">
      <c r="A11" s="7" t="s">
        <v>184</v>
      </c>
      <c r="B11" s="7" t="s">
        <v>185</v>
      </c>
      <c r="C11" s="7" t="s">
        <v>274</v>
      </c>
      <c r="D11" s="7" t="s">
        <v>97</v>
      </c>
      <c r="E11" s="7">
        <v>222478</v>
      </c>
      <c r="F11" s="7"/>
      <c r="G11" s="3"/>
      <c r="H11" s="3"/>
      <c r="I11" s="7"/>
      <c r="J11" s="3"/>
    </row>
    <row r="12" spans="1:13" x14ac:dyDescent="0.2">
      <c r="A12" s="7" t="s">
        <v>184</v>
      </c>
      <c r="B12" s="7" t="s">
        <v>185</v>
      </c>
      <c r="C12" s="7" t="s">
        <v>274</v>
      </c>
      <c r="D12" s="7" t="s">
        <v>178</v>
      </c>
      <c r="E12" s="7">
        <v>183289</v>
      </c>
      <c r="F12" s="7"/>
      <c r="G12" s="3"/>
      <c r="H12" s="3"/>
      <c r="I12" s="7"/>
      <c r="J12" s="3"/>
    </row>
    <row r="13" spans="1:13" x14ac:dyDescent="0.2">
      <c r="A13" s="7" t="s">
        <v>184</v>
      </c>
      <c r="B13" s="7" t="s">
        <v>185</v>
      </c>
      <c r="C13" s="7" t="s">
        <v>274</v>
      </c>
      <c r="D13" s="7" t="s">
        <v>179</v>
      </c>
      <c r="E13" s="7">
        <v>167369</v>
      </c>
      <c r="F13" s="7"/>
      <c r="G13" s="3"/>
      <c r="H13" s="3"/>
      <c r="I13" s="7"/>
      <c r="J13" s="3"/>
    </row>
    <row r="14" spans="1:13" x14ac:dyDescent="0.2">
      <c r="A14" s="7" t="s">
        <v>184</v>
      </c>
      <c r="B14" s="7" t="s">
        <v>185</v>
      </c>
      <c r="C14" s="7" t="s">
        <v>274</v>
      </c>
      <c r="D14" s="7" t="s">
        <v>180</v>
      </c>
      <c r="E14" s="7">
        <v>107730</v>
      </c>
      <c r="F14" s="7"/>
      <c r="G14" s="3"/>
      <c r="H14" s="3"/>
      <c r="I14" s="7"/>
      <c r="J14" s="3"/>
    </row>
    <row r="15" spans="1:13" x14ac:dyDescent="0.2">
      <c r="A15" s="7" t="s">
        <v>184</v>
      </c>
      <c r="B15" s="7" t="s">
        <v>185</v>
      </c>
      <c r="C15" s="7" t="s">
        <v>274</v>
      </c>
      <c r="D15" s="3" t="s">
        <v>181</v>
      </c>
      <c r="E15" s="3">
        <v>99658</v>
      </c>
      <c r="F15" s="3"/>
      <c r="G15" s="3"/>
      <c r="H15" s="3"/>
      <c r="I15" s="3"/>
      <c r="J15" s="3"/>
    </row>
    <row r="16" spans="1:13" x14ac:dyDescent="0.2">
      <c r="A16" s="7" t="s">
        <v>184</v>
      </c>
      <c r="B16" s="7" t="s">
        <v>185</v>
      </c>
      <c r="C16" s="7" t="s">
        <v>274</v>
      </c>
      <c r="D16" s="3" t="s">
        <v>182</v>
      </c>
      <c r="E16" s="3">
        <v>71329</v>
      </c>
      <c r="F16" s="3"/>
      <c r="G16" s="3"/>
      <c r="H16" s="3"/>
      <c r="I16" s="3"/>
      <c r="J16" s="3"/>
    </row>
    <row r="17" spans="1:10" x14ac:dyDescent="0.2">
      <c r="A17" s="7" t="s">
        <v>184</v>
      </c>
      <c r="B17" s="7" t="s">
        <v>185</v>
      </c>
      <c r="C17" s="7" t="s">
        <v>274</v>
      </c>
      <c r="D17" s="3" t="s">
        <v>183</v>
      </c>
      <c r="E17" s="3">
        <v>58596</v>
      </c>
      <c r="F17" s="3"/>
      <c r="G17" s="3"/>
      <c r="H17" s="3"/>
      <c r="I17" s="3"/>
      <c r="J17" s="3"/>
    </row>
    <row r="18" spans="1:10" x14ac:dyDescent="0.2">
      <c r="A18" s="7" t="s">
        <v>184</v>
      </c>
      <c r="B18" s="7" t="s">
        <v>185</v>
      </c>
      <c r="C18" s="7" t="s">
        <v>274</v>
      </c>
      <c r="D18" s="3" t="s">
        <v>100</v>
      </c>
      <c r="E18" s="3">
        <v>28848</v>
      </c>
      <c r="F18" s="3"/>
      <c r="G18" s="3"/>
      <c r="H18" s="3"/>
      <c r="I18" s="3"/>
      <c r="J18" s="3"/>
    </row>
    <row r="19" spans="1:10" x14ac:dyDescent="0.2">
      <c r="A19" s="9" t="s">
        <v>80</v>
      </c>
      <c r="E19" s="9">
        <f>SUM(E6:E18)</f>
        <v>2474528</v>
      </c>
      <c r="F19" s="23"/>
      <c r="G19" s="3"/>
      <c r="H19" s="3"/>
      <c r="I19" s="24"/>
      <c r="J19" s="3"/>
    </row>
    <row r="20" spans="1:10" x14ac:dyDescent="0.2">
      <c r="G20" s="3"/>
      <c r="H20" s="3"/>
      <c r="I20" s="3"/>
    </row>
    <row r="21" spans="1:10" x14ac:dyDescent="0.2">
      <c r="G21" s="3"/>
      <c r="H21" s="3"/>
      <c r="I21" s="3"/>
    </row>
    <row r="22" spans="1:10" x14ac:dyDescent="0.2">
      <c r="G22" s="3"/>
      <c r="H22" s="3"/>
      <c r="I22" s="3"/>
    </row>
    <row r="23" spans="1:10" x14ac:dyDescent="0.2">
      <c r="G23" s="3"/>
    </row>
    <row r="24" spans="1:10" x14ac:dyDescent="0.2">
      <c r="G24" s="3"/>
    </row>
    <row r="25" spans="1:10" x14ac:dyDescent="0.2">
      <c r="G25" s="3"/>
    </row>
    <row r="26" spans="1:10" x14ac:dyDescent="0.2">
      <c r="G26" s="3"/>
    </row>
    <row r="27" spans="1:10" x14ac:dyDescent="0.2">
      <c r="G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3AE0-53E9-D248-87BF-354B2253DB35}">
  <dimension ref="A1:L41"/>
  <sheetViews>
    <sheetView topLeftCell="A8" workbookViewId="0">
      <selection activeCell="J21" sqref="J21"/>
    </sheetView>
  </sheetViews>
  <sheetFormatPr baseColWidth="10" defaultRowHeight="15" x14ac:dyDescent="0.2"/>
  <cols>
    <col min="1" max="1" width="20.5" customWidth="1"/>
    <col min="2" max="2" width="32.83203125" customWidth="1"/>
    <col min="3" max="3" width="47.6640625" customWidth="1"/>
    <col min="4" max="4" width="18" customWidth="1"/>
    <col min="5" max="5" width="20.83203125" customWidth="1"/>
    <col min="6" max="6" width="13.1640625" customWidth="1"/>
    <col min="9" max="9" width="11.5" customWidth="1"/>
    <col min="10" max="11" width="11.83203125" customWidth="1"/>
  </cols>
  <sheetData>
    <row r="1" spans="1:12" x14ac:dyDescent="0.2">
      <c r="A1" s="1" t="s">
        <v>260</v>
      </c>
      <c r="B1" s="1"/>
      <c r="C1" s="1"/>
      <c r="D1" s="1"/>
      <c r="E1" s="1"/>
    </row>
    <row r="2" spans="1:12" x14ac:dyDescent="0.2">
      <c r="A2" s="1" t="s">
        <v>0</v>
      </c>
      <c r="B2" s="1"/>
      <c r="C2" s="1"/>
      <c r="D2" s="1"/>
      <c r="F2" s="11"/>
    </row>
    <row r="3" spans="1:12" x14ac:dyDescent="0.2">
      <c r="A3" s="1" t="s">
        <v>186</v>
      </c>
      <c r="B3" s="1"/>
      <c r="C3" s="1"/>
      <c r="D3" s="1"/>
      <c r="E3" s="1"/>
      <c r="F3" s="11"/>
    </row>
    <row r="4" spans="1:12" x14ac:dyDescent="0.2">
      <c r="A4" s="1" t="s">
        <v>103</v>
      </c>
      <c r="B4" s="1"/>
      <c r="C4" s="1"/>
      <c r="D4" s="1"/>
      <c r="E4" s="1"/>
    </row>
    <row r="5" spans="1:12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</row>
    <row r="6" spans="1:12" x14ac:dyDescent="0.2">
      <c r="A6" s="7" t="s">
        <v>187</v>
      </c>
      <c r="B6" s="7" t="s">
        <v>188</v>
      </c>
      <c r="C6" s="7" t="s">
        <v>189</v>
      </c>
      <c r="D6" s="15">
        <v>45992</v>
      </c>
      <c r="E6" s="18">
        <v>55562</v>
      </c>
      <c r="F6" s="17">
        <v>1121.79</v>
      </c>
    </row>
    <row r="7" spans="1:12" x14ac:dyDescent="0.2">
      <c r="A7" s="7" t="s">
        <v>187</v>
      </c>
      <c r="B7" s="7" t="s">
        <v>188</v>
      </c>
      <c r="C7" s="7" t="s">
        <v>190</v>
      </c>
      <c r="D7" s="15">
        <v>45993</v>
      </c>
      <c r="E7" s="18">
        <v>55557</v>
      </c>
      <c r="F7" s="17">
        <v>1121.69</v>
      </c>
    </row>
    <row r="8" spans="1:12" x14ac:dyDescent="0.2">
      <c r="A8" s="7" t="s">
        <v>187</v>
      </c>
      <c r="B8" s="7" t="s">
        <v>188</v>
      </c>
      <c r="C8" s="7" t="s">
        <v>191</v>
      </c>
      <c r="D8" s="15">
        <v>45994</v>
      </c>
      <c r="E8" s="18">
        <v>55579</v>
      </c>
      <c r="F8" s="17">
        <v>1122.1300000000001</v>
      </c>
    </row>
    <row r="9" spans="1:12" x14ac:dyDescent="0.2">
      <c r="A9" s="7" t="s">
        <v>187</v>
      </c>
      <c r="B9" s="7" t="s">
        <v>188</v>
      </c>
      <c r="C9" s="7" t="s">
        <v>192</v>
      </c>
      <c r="D9" s="15">
        <v>45995</v>
      </c>
      <c r="E9" s="18">
        <v>99133</v>
      </c>
      <c r="F9" s="17">
        <v>2001.48</v>
      </c>
    </row>
    <row r="10" spans="1:12" x14ac:dyDescent="0.2">
      <c r="A10" s="7" t="s">
        <v>187</v>
      </c>
      <c r="B10" s="7" t="s">
        <v>188</v>
      </c>
      <c r="C10" s="7" t="s">
        <v>193</v>
      </c>
      <c r="D10" s="15">
        <v>45996</v>
      </c>
      <c r="E10" s="18">
        <v>99141</v>
      </c>
      <c r="F10" s="17">
        <v>2001.64</v>
      </c>
    </row>
    <row r="11" spans="1:12" x14ac:dyDescent="0.2">
      <c r="A11" s="7" t="s">
        <v>187</v>
      </c>
      <c r="B11" s="7" t="s">
        <v>188</v>
      </c>
      <c r="C11" s="7" t="s">
        <v>194</v>
      </c>
      <c r="D11" s="15">
        <v>45997</v>
      </c>
      <c r="E11" s="18">
        <v>99136</v>
      </c>
      <c r="F11" s="17">
        <v>2001.54</v>
      </c>
      <c r="L11" s="18"/>
    </row>
    <row r="12" spans="1:12" x14ac:dyDescent="0.2">
      <c r="A12" s="7" t="s">
        <v>187</v>
      </c>
      <c r="B12" s="7" t="s">
        <v>188</v>
      </c>
      <c r="C12" s="7" t="s">
        <v>195</v>
      </c>
      <c r="D12" s="15">
        <v>45998</v>
      </c>
      <c r="E12" s="18">
        <v>99139</v>
      </c>
      <c r="F12" s="17">
        <v>2001.6</v>
      </c>
      <c r="L12" s="18"/>
    </row>
    <row r="13" spans="1:12" x14ac:dyDescent="0.2">
      <c r="A13" s="7" t="s">
        <v>187</v>
      </c>
      <c r="B13" s="7" t="s">
        <v>188</v>
      </c>
      <c r="C13" s="7" t="s">
        <v>210</v>
      </c>
      <c r="D13" s="15">
        <v>45999</v>
      </c>
      <c r="E13" s="18">
        <v>55985</v>
      </c>
      <c r="F13" s="17">
        <v>1130.46</v>
      </c>
      <c r="I13" s="17"/>
      <c r="J13" s="17"/>
      <c r="L13" s="18"/>
    </row>
    <row r="14" spans="1:12" x14ac:dyDescent="0.2">
      <c r="A14" s="7" t="s">
        <v>187</v>
      </c>
      <c r="B14" s="7" t="s">
        <v>188</v>
      </c>
      <c r="C14" s="7" t="s">
        <v>211</v>
      </c>
      <c r="D14" s="15">
        <v>46000</v>
      </c>
      <c r="E14" s="18">
        <v>55972</v>
      </c>
      <c r="F14" s="17">
        <v>1130.2</v>
      </c>
      <c r="I14" s="17"/>
      <c r="J14" s="17"/>
    </row>
    <row r="15" spans="1:12" x14ac:dyDescent="0.2">
      <c r="A15" s="7" t="s">
        <v>187</v>
      </c>
      <c r="B15" s="7" t="s">
        <v>188</v>
      </c>
      <c r="C15" s="7" t="s">
        <v>212</v>
      </c>
      <c r="D15" s="15">
        <v>46001</v>
      </c>
      <c r="E15" s="18">
        <v>56024</v>
      </c>
      <c r="F15" s="17">
        <v>1131.24</v>
      </c>
      <c r="I15" s="17"/>
      <c r="J15" s="17"/>
    </row>
    <row r="16" spans="1:12" x14ac:dyDescent="0.2">
      <c r="A16" s="7" t="s">
        <v>187</v>
      </c>
      <c r="B16" s="7" t="s">
        <v>188</v>
      </c>
      <c r="C16" s="7" t="s">
        <v>213</v>
      </c>
      <c r="D16" s="15">
        <v>46002</v>
      </c>
      <c r="E16" s="18">
        <v>98218</v>
      </c>
      <c r="F16" s="17">
        <v>1983.23</v>
      </c>
      <c r="I16" s="17"/>
      <c r="J16" s="17"/>
    </row>
    <row r="17" spans="1:12" x14ac:dyDescent="0.2">
      <c r="A17" s="7" t="s">
        <v>187</v>
      </c>
      <c r="B17" s="7" t="s">
        <v>188</v>
      </c>
      <c r="C17" s="7" t="s">
        <v>214</v>
      </c>
      <c r="D17" s="15">
        <v>46003</v>
      </c>
      <c r="E17" s="18">
        <v>98200</v>
      </c>
      <c r="F17" s="17">
        <v>1982.87</v>
      </c>
      <c r="I17" s="17"/>
      <c r="J17" s="17"/>
      <c r="L17" s="18"/>
    </row>
    <row r="18" spans="1:12" x14ac:dyDescent="0.2">
      <c r="A18" s="7" t="s">
        <v>187</v>
      </c>
      <c r="B18" s="7" t="s">
        <v>188</v>
      </c>
      <c r="C18" s="7" t="s">
        <v>215</v>
      </c>
      <c r="D18" s="15">
        <v>46004</v>
      </c>
      <c r="E18" s="18">
        <v>98213</v>
      </c>
      <c r="F18" s="17">
        <v>1983.13</v>
      </c>
      <c r="I18" s="18"/>
      <c r="J18" s="18"/>
      <c r="L18" s="18"/>
    </row>
    <row r="19" spans="1:12" x14ac:dyDescent="0.2">
      <c r="A19" s="7" t="s">
        <v>187</v>
      </c>
      <c r="B19" s="7" t="s">
        <v>188</v>
      </c>
      <c r="C19" s="7" t="s">
        <v>216</v>
      </c>
      <c r="D19" s="15">
        <v>46005</v>
      </c>
      <c r="E19" s="18">
        <v>98211</v>
      </c>
      <c r="F19" s="17">
        <v>1983.09</v>
      </c>
      <c r="I19" s="18"/>
      <c r="J19" s="18"/>
      <c r="L19" s="18"/>
    </row>
    <row r="20" spans="1:12" x14ac:dyDescent="0.2">
      <c r="A20" s="7" t="s">
        <v>187</v>
      </c>
      <c r="B20" s="7" t="s">
        <v>188</v>
      </c>
      <c r="C20" s="7" t="s">
        <v>231</v>
      </c>
      <c r="D20" s="15">
        <v>46006</v>
      </c>
      <c r="E20" s="18">
        <v>56132</v>
      </c>
      <c r="F20" s="17">
        <v>1133.51</v>
      </c>
      <c r="I20" s="15"/>
      <c r="J20" s="17"/>
      <c r="K20" s="17"/>
      <c r="L20" s="18"/>
    </row>
    <row r="21" spans="1:12" x14ac:dyDescent="0.2">
      <c r="A21" s="7" t="s">
        <v>187</v>
      </c>
      <c r="B21" s="7" t="s">
        <v>188</v>
      </c>
      <c r="C21" s="7" t="s">
        <v>232</v>
      </c>
      <c r="D21" s="15">
        <v>46007</v>
      </c>
      <c r="E21" s="18">
        <v>56014</v>
      </c>
      <c r="F21" s="17">
        <v>1131.1300000000001</v>
      </c>
      <c r="I21" s="15"/>
      <c r="J21" s="17"/>
      <c r="K21" s="17"/>
    </row>
    <row r="22" spans="1:12" x14ac:dyDescent="0.2">
      <c r="A22" s="7" t="s">
        <v>187</v>
      </c>
      <c r="B22" s="7" t="s">
        <v>188</v>
      </c>
      <c r="C22" s="7" t="s">
        <v>233</v>
      </c>
      <c r="D22" s="15">
        <v>46008</v>
      </c>
      <c r="E22" s="18">
        <v>56035</v>
      </c>
      <c r="F22" s="17">
        <v>1131.55</v>
      </c>
      <c r="I22" s="18"/>
      <c r="J22" s="17"/>
      <c r="K22" s="17"/>
    </row>
    <row r="23" spans="1:12" x14ac:dyDescent="0.2">
      <c r="A23" s="7" t="s">
        <v>187</v>
      </c>
      <c r="B23" s="7" t="s">
        <v>188</v>
      </c>
      <c r="C23" s="7" t="s">
        <v>234</v>
      </c>
      <c r="D23" s="15">
        <v>46009</v>
      </c>
      <c r="E23" s="18">
        <v>97969</v>
      </c>
      <c r="F23" s="17">
        <v>1978.35</v>
      </c>
      <c r="I23" s="18"/>
      <c r="J23" s="17"/>
      <c r="K23" s="17"/>
    </row>
    <row r="24" spans="1:12" x14ac:dyDescent="0.2">
      <c r="A24" s="7" t="s">
        <v>187</v>
      </c>
      <c r="B24" s="7" t="s">
        <v>188</v>
      </c>
      <c r="C24" s="7" t="s">
        <v>235</v>
      </c>
      <c r="D24" s="15">
        <v>46010</v>
      </c>
      <c r="E24" s="18">
        <v>97943</v>
      </c>
      <c r="F24" s="17">
        <v>1977.83</v>
      </c>
      <c r="I24" s="18"/>
      <c r="J24" s="17"/>
      <c r="K24" s="18"/>
      <c r="L24" s="17"/>
    </row>
    <row r="25" spans="1:12" x14ac:dyDescent="0.2">
      <c r="A25" s="7" t="s">
        <v>187</v>
      </c>
      <c r="B25" s="7" t="s">
        <v>188</v>
      </c>
      <c r="C25" s="7" t="s">
        <v>236</v>
      </c>
      <c r="D25" s="15">
        <v>46011</v>
      </c>
      <c r="E25" s="18">
        <v>97954</v>
      </c>
      <c r="F25" s="17">
        <v>1978.05</v>
      </c>
      <c r="I25" s="15"/>
      <c r="J25" s="17"/>
      <c r="K25" s="18"/>
      <c r="L25" s="17"/>
    </row>
    <row r="26" spans="1:12" x14ac:dyDescent="0.2">
      <c r="A26" s="7" t="s">
        <v>187</v>
      </c>
      <c r="B26" s="7" t="s">
        <v>188</v>
      </c>
      <c r="C26" s="7" t="s">
        <v>237</v>
      </c>
      <c r="D26" s="15">
        <v>46012</v>
      </c>
      <c r="E26" s="18">
        <v>97962</v>
      </c>
      <c r="F26" s="17">
        <v>1978.21</v>
      </c>
      <c r="I26" s="15"/>
      <c r="J26" s="17"/>
      <c r="K26" s="18"/>
      <c r="L26" s="17"/>
    </row>
    <row r="27" spans="1:12" x14ac:dyDescent="0.2">
      <c r="A27" s="7" t="s">
        <v>187</v>
      </c>
      <c r="B27" s="7" t="s">
        <v>188</v>
      </c>
      <c r="C27" s="7" t="s">
        <v>254</v>
      </c>
      <c r="D27" s="15">
        <v>46013</v>
      </c>
      <c r="E27" s="18">
        <v>50459</v>
      </c>
      <c r="F27" s="17">
        <v>1018.77</v>
      </c>
      <c r="I27" s="15"/>
      <c r="J27" s="17"/>
      <c r="K27" s="18"/>
      <c r="L27" s="17"/>
    </row>
    <row r="28" spans="1:12" x14ac:dyDescent="0.2">
      <c r="A28" s="7" t="s">
        <v>187</v>
      </c>
      <c r="B28" s="7" t="s">
        <v>188</v>
      </c>
      <c r="C28" s="7" t="s">
        <v>255</v>
      </c>
      <c r="D28" s="15">
        <v>46014</v>
      </c>
      <c r="E28" s="18">
        <v>50456</v>
      </c>
      <c r="F28" s="17">
        <v>1018.7</v>
      </c>
      <c r="I28" s="15"/>
      <c r="J28" s="17"/>
      <c r="K28" s="18"/>
      <c r="L28" s="17"/>
    </row>
    <row r="29" spans="1:12" x14ac:dyDescent="0.2">
      <c r="A29" s="7" t="s">
        <v>187</v>
      </c>
      <c r="B29" s="7" t="s">
        <v>188</v>
      </c>
      <c r="C29" s="7" t="s">
        <v>256</v>
      </c>
      <c r="D29" s="15">
        <v>46015</v>
      </c>
      <c r="E29" s="18">
        <v>50437</v>
      </c>
      <c r="F29" s="17">
        <v>1018.32</v>
      </c>
      <c r="I29" s="15"/>
      <c r="J29" s="17"/>
      <c r="K29" s="18"/>
      <c r="L29" s="17"/>
    </row>
    <row r="30" spans="1:12" x14ac:dyDescent="0.2">
      <c r="A30" s="7" t="s">
        <v>187</v>
      </c>
      <c r="B30" s="7" t="s">
        <v>188</v>
      </c>
      <c r="C30" s="7" t="s">
        <v>257</v>
      </c>
      <c r="D30" s="15">
        <v>46016</v>
      </c>
      <c r="E30" s="18">
        <v>102305</v>
      </c>
      <c r="F30" s="17">
        <v>2065.5300000000002</v>
      </c>
      <c r="I30" s="15"/>
      <c r="J30" s="17"/>
      <c r="K30" s="18"/>
      <c r="L30" s="17"/>
    </row>
    <row r="31" spans="1:12" x14ac:dyDescent="0.2">
      <c r="A31" s="7" t="s">
        <v>187</v>
      </c>
      <c r="B31" s="7" t="s">
        <v>188</v>
      </c>
      <c r="C31" s="7" t="s">
        <v>258</v>
      </c>
      <c r="D31" s="15">
        <v>46017</v>
      </c>
      <c r="E31" s="18">
        <v>102301</v>
      </c>
      <c r="F31" s="17">
        <v>2065.4499999999998</v>
      </c>
      <c r="I31" s="15"/>
      <c r="J31" s="17"/>
      <c r="K31" s="17"/>
      <c r="L31" s="16"/>
    </row>
    <row r="32" spans="1:12" x14ac:dyDescent="0.2">
      <c r="A32" s="7" t="s">
        <v>187</v>
      </c>
      <c r="B32" s="7" t="s">
        <v>188</v>
      </c>
      <c r="C32" s="7" t="s">
        <v>259</v>
      </c>
      <c r="D32" s="15">
        <v>46018</v>
      </c>
      <c r="E32" s="18">
        <v>102306</v>
      </c>
      <c r="F32" s="17">
        <v>2065.5500000000002</v>
      </c>
      <c r="I32" s="15"/>
      <c r="J32" s="17"/>
      <c r="K32" s="17"/>
    </row>
    <row r="33" spans="1:12" x14ac:dyDescent="0.2">
      <c r="A33" s="7" t="s">
        <v>187</v>
      </c>
      <c r="B33" s="7" t="s">
        <v>188</v>
      </c>
      <c r="C33" s="7" t="s">
        <v>252</v>
      </c>
      <c r="D33" s="15">
        <v>46019</v>
      </c>
      <c r="E33" s="18">
        <v>102302</v>
      </c>
      <c r="F33" s="17">
        <v>2065.4699999999998</v>
      </c>
      <c r="I33" s="15"/>
      <c r="J33" s="18"/>
      <c r="K33" s="17"/>
      <c r="L33" s="17"/>
    </row>
    <row r="34" spans="1:12" x14ac:dyDescent="0.2">
      <c r="A34" s="7" t="s">
        <v>187</v>
      </c>
      <c r="B34" s="7" t="s">
        <v>188</v>
      </c>
      <c r="C34" s="7" t="s">
        <v>253</v>
      </c>
      <c r="D34" s="15">
        <v>46020</v>
      </c>
      <c r="E34" s="18">
        <v>76631</v>
      </c>
      <c r="F34" s="17">
        <v>1608.14</v>
      </c>
      <c r="I34" s="15"/>
      <c r="J34" s="18"/>
      <c r="K34" s="17"/>
      <c r="L34" s="17"/>
    </row>
    <row r="35" spans="1:12" x14ac:dyDescent="0.2">
      <c r="A35" s="7" t="s">
        <v>187</v>
      </c>
      <c r="B35" s="7" t="s">
        <v>188</v>
      </c>
      <c r="C35" s="7" t="s">
        <v>275</v>
      </c>
      <c r="D35" s="15">
        <v>46021</v>
      </c>
      <c r="E35" s="18">
        <v>76623</v>
      </c>
      <c r="F35" s="17">
        <v>1607.98</v>
      </c>
      <c r="I35" s="15"/>
      <c r="J35" s="18"/>
      <c r="K35" s="17"/>
      <c r="L35" s="17"/>
    </row>
    <row r="36" spans="1:12" x14ac:dyDescent="0.2">
      <c r="A36" s="7" t="s">
        <v>187</v>
      </c>
      <c r="B36" s="7" t="s">
        <v>188</v>
      </c>
      <c r="C36" s="7" t="s">
        <v>276</v>
      </c>
      <c r="D36" s="15">
        <v>46022</v>
      </c>
      <c r="E36" s="18">
        <v>76629</v>
      </c>
      <c r="F36" s="17">
        <v>1608.1</v>
      </c>
      <c r="I36" s="15"/>
      <c r="J36" s="17"/>
      <c r="K36" s="17"/>
      <c r="L36" s="16"/>
    </row>
    <row r="37" spans="1:12" x14ac:dyDescent="0.2">
      <c r="A37" s="9" t="s">
        <v>80</v>
      </c>
      <c r="E37" s="22">
        <f>SUM(E6:E36)</f>
        <v>2474528</v>
      </c>
      <c r="F37" s="19">
        <f>SUM(F6:F36)</f>
        <v>50146.729999999996</v>
      </c>
      <c r="I37" s="16"/>
      <c r="J37" s="17"/>
      <c r="K37" s="17"/>
    </row>
    <row r="38" spans="1:12" x14ac:dyDescent="0.2">
      <c r="J38" s="18"/>
      <c r="K38" s="18"/>
    </row>
    <row r="39" spans="1:12" x14ac:dyDescent="0.2">
      <c r="J39" s="18"/>
    </row>
    <row r="40" spans="1:12" x14ac:dyDescent="0.2">
      <c r="J40" s="18"/>
    </row>
    <row r="41" spans="1:12" x14ac:dyDescent="0.2">
      <c r="J41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BB82-6131-784D-9554-8238952F142F}">
  <dimension ref="A1:Q88"/>
  <sheetViews>
    <sheetView topLeftCell="A53" workbookViewId="0">
      <selection activeCell="F86" sqref="F86"/>
    </sheetView>
  </sheetViews>
  <sheetFormatPr baseColWidth="10" defaultRowHeight="15" x14ac:dyDescent="0.2"/>
  <cols>
    <col min="2" max="2" width="19.5" customWidth="1"/>
    <col min="4" max="4" width="34.5" customWidth="1"/>
    <col min="5" max="5" width="58.6640625" customWidth="1"/>
    <col min="6" max="6" width="16.83203125" customWidth="1"/>
    <col min="7" max="7" width="17.1640625" customWidth="1"/>
    <col min="8" max="8" width="18.83203125" customWidth="1"/>
    <col min="9" max="9" width="17" customWidth="1"/>
    <col min="10" max="10" width="19.83203125" customWidth="1"/>
  </cols>
  <sheetData>
    <row r="1" spans="1:17" x14ac:dyDescent="0.2">
      <c r="A1" s="1" t="s">
        <v>260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spans="1:17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4"/>
      <c r="Q2" s="1"/>
    </row>
    <row r="3" spans="1:17" x14ac:dyDescent="0.2">
      <c r="A3" s="1" t="s">
        <v>1</v>
      </c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</row>
    <row r="4" spans="1:17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2"/>
      <c r="O4" s="3"/>
      <c r="P4" s="5"/>
      <c r="Q4" s="1"/>
    </row>
    <row r="5" spans="1:17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  <c r="L5" s="6"/>
      <c r="M5" s="6"/>
      <c r="N5" s="6"/>
      <c r="O5" s="6"/>
      <c r="P5" s="6"/>
      <c r="Q5" s="1"/>
    </row>
    <row r="6" spans="1:17" x14ac:dyDescent="0.2">
      <c r="A6" s="8">
        <v>7207</v>
      </c>
      <c r="B6" s="7" t="s">
        <v>79</v>
      </c>
      <c r="C6" s="7">
        <v>7207</v>
      </c>
      <c r="D6" s="7" t="s">
        <v>261</v>
      </c>
      <c r="E6" s="3" t="s">
        <v>9</v>
      </c>
      <c r="F6" s="3">
        <v>61096</v>
      </c>
      <c r="G6" s="3"/>
      <c r="H6" s="3"/>
      <c r="I6" s="3"/>
      <c r="J6" s="3"/>
      <c r="K6" s="3"/>
      <c r="M6" s="3"/>
    </row>
    <row r="7" spans="1:17" x14ac:dyDescent="0.2">
      <c r="A7" s="8">
        <v>7207</v>
      </c>
      <c r="B7" s="7" t="s">
        <v>79</v>
      </c>
      <c r="C7" s="7">
        <v>7207</v>
      </c>
      <c r="D7" s="7" t="s">
        <v>261</v>
      </c>
      <c r="E7" s="3" t="s">
        <v>10</v>
      </c>
      <c r="F7" s="3">
        <v>55402</v>
      </c>
      <c r="G7" s="3"/>
      <c r="H7" s="3"/>
      <c r="I7" s="3"/>
      <c r="J7" s="3"/>
      <c r="K7" s="3"/>
      <c r="M7" s="3"/>
    </row>
    <row r="8" spans="1:17" x14ac:dyDescent="0.2">
      <c r="A8" s="8">
        <v>7207</v>
      </c>
      <c r="B8" s="7" t="s">
        <v>79</v>
      </c>
      <c r="C8" s="7">
        <v>7207</v>
      </c>
      <c r="D8" s="7" t="s">
        <v>261</v>
      </c>
      <c r="E8" s="3" t="s">
        <v>13</v>
      </c>
      <c r="F8" s="3">
        <v>50907</v>
      </c>
      <c r="G8" s="3"/>
      <c r="H8" s="3"/>
      <c r="I8" s="3"/>
      <c r="J8" s="3"/>
      <c r="K8" s="3"/>
      <c r="M8" s="3"/>
    </row>
    <row r="9" spans="1:17" x14ac:dyDescent="0.2">
      <c r="A9" s="8">
        <v>7207</v>
      </c>
      <c r="B9" s="7" t="s">
        <v>79</v>
      </c>
      <c r="C9" s="7">
        <v>7207</v>
      </c>
      <c r="D9" s="7" t="s">
        <v>261</v>
      </c>
      <c r="E9" s="3" t="s">
        <v>12</v>
      </c>
      <c r="F9" s="3">
        <v>46603</v>
      </c>
      <c r="G9" s="3"/>
      <c r="H9" s="3"/>
      <c r="I9" s="3"/>
      <c r="J9" s="3"/>
      <c r="K9" s="3"/>
      <c r="M9" s="3"/>
    </row>
    <row r="10" spans="1:17" x14ac:dyDescent="0.2">
      <c r="A10" s="8">
        <v>7207</v>
      </c>
      <c r="B10" s="7" t="s">
        <v>79</v>
      </c>
      <c r="C10" s="7">
        <v>7207</v>
      </c>
      <c r="D10" s="7" t="s">
        <v>261</v>
      </c>
      <c r="E10" s="3" t="s">
        <v>11</v>
      </c>
      <c r="F10" s="3">
        <v>41294</v>
      </c>
      <c r="G10" s="3"/>
      <c r="H10" s="3"/>
      <c r="I10" s="3"/>
      <c r="J10" s="3"/>
      <c r="K10" s="3"/>
      <c r="M10" s="3"/>
    </row>
    <row r="11" spans="1:17" x14ac:dyDescent="0.2">
      <c r="A11" s="8">
        <v>7207</v>
      </c>
      <c r="B11" s="7" t="s">
        <v>79</v>
      </c>
      <c r="C11" s="7">
        <v>7207</v>
      </c>
      <c r="D11" s="7" t="s">
        <v>261</v>
      </c>
      <c r="E11" s="3" t="s">
        <v>16</v>
      </c>
      <c r="F11" s="3">
        <v>34700</v>
      </c>
      <c r="G11" s="3"/>
      <c r="H11" s="3"/>
      <c r="I11" s="3"/>
      <c r="J11" s="3"/>
      <c r="K11" s="7"/>
      <c r="M11" s="3"/>
    </row>
    <row r="12" spans="1:17" x14ac:dyDescent="0.2">
      <c r="A12" s="8">
        <v>7207</v>
      </c>
      <c r="B12" s="7" t="s">
        <v>79</v>
      </c>
      <c r="C12" s="7">
        <v>7207</v>
      </c>
      <c r="D12" s="7" t="s">
        <v>261</v>
      </c>
      <c r="E12" s="3" t="s">
        <v>21</v>
      </c>
      <c r="F12" s="3">
        <v>29523</v>
      </c>
      <c r="G12" s="3"/>
      <c r="H12" s="3"/>
      <c r="I12" s="3"/>
      <c r="J12" s="3"/>
      <c r="K12" s="3"/>
      <c r="M12" s="3"/>
    </row>
    <row r="13" spans="1:17" x14ac:dyDescent="0.2">
      <c r="A13" s="8">
        <v>7207</v>
      </c>
      <c r="B13" s="7" t="s">
        <v>79</v>
      </c>
      <c r="C13" s="7">
        <v>7207</v>
      </c>
      <c r="D13" s="7" t="s">
        <v>261</v>
      </c>
      <c r="E13" s="3" t="s">
        <v>19</v>
      </c>
      <c r="F13" s="3">
        <v>28492</v>
      </c>
      <c r="G13" s="3"/>
      <c r="H13" s="3"/>
      <c r="I13" s="3"/>
      <c r="J13" s="3"/>
      <c r="K13" s="3"/>
      <c r="M13" s="3"/>
    </row>
    <row r="14" spans="1:17" x14ac:dyDescent="0.2">
      <c r="A14" s="8">
        <v>7207</v>
      </c>
      <c r="B14" s="7" t="s">
        <v>79</v>
      </c>
      <c r="C14" s="7">
        <v>7207</v>
      </c>
      <c r="D14" s="7" t="s">
        <v>261</v>
      </c>
      <c r="E14" s="3" t="s">
        <v>18</v>
      </c>
      <c r="F14" s="3">
        <v>24014</v>
      </c>
      <c r="G14" s="3"/>
      <c r="H14" s="3"/>
      <c r="I14" s="3"/>
      <c r="J14" s="3"/>
      <c r="K14" s="3"/>
      <c r="M14" s="3"/>
    </row>
    <row r="15" spans="1:17" x14ac:dyDescent="0.2">
      <c r="A15" s="8">
        <v>7207</v>
      </c>
      <c r="B15" s="7" t="s">
        <v>79</v>
      </c>
      <c r="C15" s="7">
        <v>7207</v>
      </c>
      <c r="D15" s="7" t="s">
        <v>261</v>
      </c>
      <c r="E15" s="3" t="s">
        <v>14</v>
      </c>
      <c r="F15" s="3">
        <v>22916</v>
      </c>
      <c r="G15" s="3"/>
      <c r="H15" s="3"/>
      <c r="I15" s="3"/>
      <c r="J15" s="3"/>
      <c r="K15" s="3"/>
      <c r="M15" s="3"/>
    </row>
    <row r="16" spans="1:17" x14ac:dyDescent="0.2">
      <c r="A16" s="8">
        <v>7207</v>
      </c>
      <c r="B16" s="7" t="s">
        <v>79</v>
      </c>
      <c r="C16" s="7">
        <v>7207</v>
      </c>
      <c r="D16" s="7" t="s">
        <v>261</v>
      </c>
      <c r="E16" s="3" t="s">
        <v>15</v>
      </c>
      <c r="F16" s="3">
        <v>20485</v>
      </c>
      <c r="G16" s="3"/>
      <c r="H16" s="3"/>
      <c r="I16" s="3"/>
      <c r="J16" s="3"/>
      <c r="K16" s="3"/>
      <c r="M16" s="3"/>
    </row>
    <row r="17" spans="1:13" x14ac:dyDescent="0.2">
      <c r="A17" s="8">
        <v>7207</v>
      </c>
      <c r="B17" s="7" t="s">
        <v>79</v>
      </c>
      <c r="C17" s="7">
        <v>7207</v>
      </c>
      <c r="D17" s="7" t="s">
        <v>261</v>
      </c>
      <c r="E17" s="3" t="s">
        <v>20</v>
      </c>
      <c r="F17" s="3">
        <v>18476</v>
      </c>
      <c r="G17" s="3"/>
      <c r="H17" s="3"/>
      <c r="I17" s="3"/>
      <c r="J17" s="3"/>
      <c r="K17" s="3"/>
      <c r="M17" s="3"/>
    </row>
    <row r="18" spans="1:13" x14ac:dyDescent="0.2">
      <c r="A18" s="8">
        <v>7207</v>
      </c>
      <c r="B18" s="7" t="s">
        <v>79</v>
      </c>
      <c r="C18" s="7">
        <v>7207</v>
      </c>
      <c r="D18" s="7" t="s">
        <v>261</v>
      </c>
      <c r="E18" s="3" t="s">
        <v>17</v>
      </c>
      <c r="F18" s="3">
        <v>17800</v>
      </c>
      <c r="G18" s="3"/>
      <c r="H18" s="3"/>
      <c r="I18" s="3"/>
      <c r="J18" s="3"/>
      <c r="K18" s="7"/>
      <c r="M18" s="3"/>
    </row>
    <row r="19" spans="1:13" x14ac:dyDescent="0.2">
      <c r="A19" s="8">
        <v>7207</v>
      </c>
      <c r="B19" s="7" t="s">
        <v>79</v>
      </c>
      <c r="C19" s="7">
        <v>7207</v>
      </c>
      <c r="D19" s="7" t="s">
        <v>261</v>
      </c>
      <c r="E19" s="3" t="s">
        <v>22</v>
      </c>
      <c r="F19" s="3">
        <v>16811</v>
      </c>
      <c r="G19" s="3"/>
      <c r="H19" s="3"/>
      <c r="I19" s="3"/>
      <c r="J19" s="3"/>
      <c r="K19" s="3"/>
      <c r="M19" s="3"/>
    </row>
    <row r="20" spans="1:13" x14ac:dyDescent="0.2">
      <c r="A20" s="8">
        <v>7207</v>
      </c>
      <c r="B20" s="7" t="s">
        <v>79</v>
      </c>
      <c r="C20" s="7">
        <v>7207</v>
      </c>
      <c r="D20" s="7" t="s">
        <v>261</v>
      </c>
      <c r="E20" s="3" t="s">
        <v>23</v>
      </c>
      <c r="F20" s="3">
        <v>16422</v>
      </c>
      <c r="G20" s="3"/>
      <c r="H20" s="3"/>
      <c r="I20" s="3"/>
      <c r="J20" s="3"/>
      <c r="K20" s="3"/>
      <c r="M20" s="3"/>
    </row>
    <row r="21" spans="1:13" x14ac:dyDescent="0.2">
      <c r="A21" s="8">
        <v>7207</v>
      </c>
      <c r="B21" s="7" t="s">
        <v>79</v>
      </c>
      <c r="C21" s="7">
        <v>7207</v>
      </c>
      <c r="D21" s="7" t="s">
        <v>261</v>
      </c>
      <c r="E21" s="3" t="s">
        <v>27</v>
      </c>
      <c r="F21" s="3">
        <v>15765</v>
      </c>
      <c r="G21" s="3"/>
      <c r="H21" s="3"/>
      <c r="I21" s="3"/>
      <c r="J21" s="3"/>
      <c r="K21" s="3"/>
      <c r="M21" s="3"/>
    </row>
    <row r="22" spans="1:13" x14ac:dyDescent="0.2">
      <c r="A22" s="8">
        <v>7207</v>
      </c>
      <c r="B22" s="7" t="s">
        <v>79</v>
      </c>
      <c r="C22" s="7">
        <v>7207</v>
      </c>
      <c r="D22" s="7" t="s">
        <v>261</v>
      </c>
      <c r="E22" s="3" t="s">
        <v>29</v>
      </c>
      <c r="F22" s="3">
        <v>14594</v>
      </c>
      <c r="G22" s="3"/>
      <c r="H22" s="3"/>
      <c r="I22" s="3"/>
      <c r="J22" s="3"/>
      <c r="K22" s="3"/>
      <c r="M22" s="3"/>
    </row>
    <row r="23" spans="1:13" x14ac:dyDescent="0.2">
      <c r="A23" s="8">
        <v>7207</v>
      </c>
      <c r="B23" s="7" t="s">
        <v>79</v>
      </c>
      <c r="C23" s="7">
        <v>7207</v>
      </c>
      <c r="D23" s="7" t="s">
        <v>261</v>
      </c>
      <c r="E23" s="3" t="s">
        <v>25</v>
      </c>
      <c r="F23" s="3">
        <v>14550</v>
      </c>
      <c r="G23" s="3"/>
      <c r="H23" s="3"/>
      <c r="I23" s="3"/>
      <c r="J23" s="3"/>
      <c r="K23" s="3"/>
      <c r="M23" s="3"/>
    </row>
    <row r="24" spans="1:13" x14ac:dyDescent="0.2">
      <c r="A24" s="8">
        <v>7207</v>
      </c>
      <c r="B24" s="7" t="s">
        <v>79</v>
      </c>
      <c r="C24" s="7">
        <v>7207</v>
      </c>
      <c r="D24" s="7" t="s">
        <v>261</v>
      </c>
      <c r="E24" s="3" t="s">
        <v>30</v>
      </c>
      <c r="F24" s="3">
        <v>13548</v>
      </c>
      <c r="G24" s="3"/>
      <c r="H24" s="3"/>
      <c r="I24" s="3"/>
      <c r="J24" s="3"/>
      <c r="K24" s="3"/>
      <c r="M24" s="3"/>
    </row>
    <row r="25" spans="1:13" x14ac:dyDescent="0.2">
      <c r="A25" s="8">
        <v>7207</v>
      </c>
      <c r="B25" s="7" t="s">
        <v>79</v>
      </c>
      <c r="C25" s="7">
        <v>7207</v>
      </c>
      <c r="D25" s="7" t="s">
        <v>261</v>
      </c>
      <c r="E25" s="3" t="s">
        <v>26</v>
      </c>
      <c r="F25" s="3">
        <v>13377</v>
      </c>
      <c r="G25" s="3"/>
      <c r="H25" s="3"/>
      <c r="I25" s="3"/>
      <c r="J25" s="3"/>
      <c r="K25" s="3"/>
      <c r="M25" s="3"/>
    </row>
    <row r="26" spans="1:13" x14ac:dyDescent="0.2">
      <c r="A26" s="8">
        <v>7207</v>
      </c>
      <c r="B26" s="7" t="s">
        <v>79</v>
      </c>
      <c r="C26" s="7">
        <v>7207</v>
      </c>
      <c r="D26" s="7" t="s">
        <v>261</v>
      </c>
      <c r="E26" s="3" t="s">
        <v>31</v>
      </c>
      <c r="F26" s="3">
        <v>13313</v>
      </c>
      <c r="G26" s="3"/>
      <c r="H26" s="3"/>
      <c r="I26" s="3"/>
      <c r="J26" s="3"/>
      <c r="K26" s="3"/>
      <c r="M26" s="3"/>
    </row>
    <row r="27" spans="1:13" x14ac:dyDescent="0.2">
      <c r="A27" s="8">
        <v>7207</v>
      </c>
      <c r="B27" s="7" t="s">
        <v>79</v>
      </c>
      <c r="C27" s="7">
        <v>7207</v>
      </c>
      <c r="D27" s="7" t="s">
        <v>261</v>
      </c>
      <c r="E27" s="3" t="s">
        <v>24</v>
      </c>
      <c r="F27" s="3">
        <v>12171</v>
      </c>
      <c r="G27" s="3"/>
      <c r="H27" s="3"/>
      <c r="I27" s="3"/>
      <c r="J27" s="3"/>
      <c r="K27" s="3"/>
      <c r="M27" s="3"/>
    </row>
    <row r="28" spans="1:13" x14ac:dyDescent="0.2">
      <c r="A28" s="8">
        <v>7207</v>
      </c>
      <c r="B28" s="7" t="s">
        <v>79</v>
      </c>
      <c r="C28" s="7">
        <v>7207</v>
      </c>
      <c r="D28" s="7" t="s">
        <v>261</v>
      </c>
      <c r="E28" s="3" t="s">
        <v>28</v>
      </c>
      <c r="F28" s="3">
        <v>11381</v>
      </c>
      <c r="G28" s="3"/>
      <c r="H28" s="3"/>
      <c r="I28" s="3"/>
      <c r="J28" s="3"/>
      <c r="K28" s="3"/>
      <c r="M28" s="3"/>
    </row>
    <row r="29" spans="1:13" x14ac:dyDescent="0.2">
      <c r="A29" s="8">
        <v>7207</v>
      </c>
      <c r="B29" s="7" t="s">
        <v>79</v>
      </c>
      <c r="C29" s="7">
        <v>7207</v>
      </c>
      <c r="D29" s="7" t="s">
        <v>261</v>
      </c>
      <c r="E29" s="3" t="s">
        <v>32</v>
      </c>
      <c r="F29" s="3">
        <v>10370</v>
      </c>
      <c r="G29" s="3"/>
      <c r="H29" s="3"/>
      <c r="I29" s="3"/>
      <c r="J29" s="3"/>
      <c r="K29" s="3"/>
      <c r="M29" s="3"/>
    </row>
    <row r="30" spans="1:13" x14ac:dyDescent="0.2">
      <c r="A30" s="8">
        <v>7207</v>
      </c>
      <c r="B30" s="7" t="s">
        <v>79</v>
      </c>
      <c r="C30" s="7">
        <v>7207</v>
      </c>
      <c r="D30" s="7" t="s">
        <v>261</v>
      </c>
      <c r="E30" s="3" t="s">
        <v>36</v>
      </c>
      <c r="F30" s="3">
        <v>10007</v>
      </c>
      <c r="G30" s="3"/>
      <c r="H30" s="3"/>
      <c r="I30" s="3"/>
      <c r="J30" s="3"/>
      <c r="K30" s="3"/>
      <c r="M30" s="3"/>
    </row>
    <row r="31" spans="1:13" x14ac:dyDescent="0.2">
      <c r="A31" s="8">
        <v>7207</v>
      </c>
      <c r="B31" s="7" t="s">
        <v>79</v>
      </c>
      <c r="C31" s="7">
        <v>7207</v>
      </c>
      <c r="D31" s="7" t="s">
        <v>261</v>
      </c>
      <c r="E31" s="3" t="s">
        <v>34</v>
      </c>
      <c r="F31" s="3">
        <v>8865</v>
      </c>
      <c r="G31" s="3"/>
      <c r="H31" s="3"/>
      <c r="I31" s="3"/>
      <c r="J31" s="3"/>
      <c r="K31" s="3"/>
      <c r="M31" s="3"/>
    </row>
    <row r="32" spans="1:13" x14ac:dyDescent="0.2">
      <c r="A32" s="8">
        <v>7207</v>
      </c>
      <c r="B32" s="7" t="s">
        <v>79</v>
      </c>
      <c r="C32" s="7">
        <v>7207</v>
      </c>
      <c r="D32" s="7" t="s">
        <v>261</v>
      </c>
      <c r="E32" s="3" t="s">
        <v>35</v>
      </c>
      <c r="F32" s="3">
        <v>8612</v>
      </c>
      <c r="G32" s="3"/>
      <c r="H32" s="3"/>
      <c r="I32" s="3"/>
      <c r="J32" s="3"/>
      <c r="K32" s="3"/>
      <c r="M32" s="3"/>
    </row>
    <row r="33" spans="1:13" x14ac:dyDescent="0.2">
      <c r="A33" s="8">
        <v>7207</v>
      </c>
      <c r="B33" s="7" t="s">
        <v>79</v>
      </c>
      <c r="C33" s="7">
        <v>7207</v>
      </c>
      <c r="D33" s="7" t="s">
        <v>261</v>
      </c>
      <c r="E33" s="3" t="s">
        <v>33</v>
      </c>
      <c r="F33" s="3">
        <v>8393</v>
      </c>
      <c r="G33" s="3"/>
      <c r="H33" s="3"/>
      <c r="I33" s="3"/>
      <c r="J33" s="3"/>
      <c r="K33" s="3"/>
      <c r="M33" s="3"/>
    </row>
    <row r="34" spans="1:13" x14ac:dyDescent="0.2">
      <c r="A34" s="8">
        <v>7207</v>
      </c>
      <c r="B34" s="7" t="s">
        <v>79</v>
      </c>
      <c r="C34" s="7">
        <v>7207</v>
      </c>
      <c r="D34" s="7" t="s">
        <v>261</v>
      </c>
      <c r="E34" s="3" t="s">
        <v>37</v>
      </c>
      <c r="F34" s="3">
        <v>8115</v>
      </c>
      <c r="G34" s="3"/>
      <c r="H34" s="3"/>
      <c r="I34" s="3"/>
      <c r="J34" s="3"/>
      <c r="K34" s="3"/>
      <c r="M34" s="3"/>
    </row>
    <row r="35" spans="1:13" x14ac:dyDescent="0.2">
      <c r="A35" s="8">
        <v>7207</v>
      </c>
      <c r="B35" s="7" t="s">
        <v>79</v>
      </c>
      <c r="C35" s="7">
        <v>7207</v>
      </c>
      <c r="D35" s="7" t="s">
        <v>261</v>
      </c>
      <c r="E35" s="3" t="s">
        <v>41</v>
      </c>
      <c r="F35" s="3">
        <v>7530</v>
      </c>
      <c r="G35" s="3"/>
      <c r="H35" s="3"/>
      <c r="I35" s="3"/>
      <c r="J35" s="3"/>
      <c r="K35" s="3"/>
      <c r="M35" s="3"/>
    </row>
    <row r="36" spans="1:13" x14ac:dyDescent="0.2">
      <c r="A36" s="8">
        <v>7207</v>
      </c>
      <c r="B36" s="7" t="s">
        <v>79</v>
      </c>
      <c r="C36" s="7">
        <v>7207</v>
      </c>
      <c r="D36" s="7" t="s">
        <v>261</v>
      </c>
      <c r="E36" s="3" t="s">
        <v>39</v>
      </c>
      <c r="F36" s="3">
        <v>6854</v>
      </c>
      <c r="G36" s="3"/>
      <c r="H36" s="3"/>
      <c r="I36" s="3"/>
      <c r="J36" s="3"/>
      <c r="K36" s="3"/>
      <c r="M36" s="3"/>
    </row>
    <row r="37" spans="1:13" x14ac:dyDescent="0.2">
      <c r="A37" s="8">
        <v>7207</v>
      </c>
      <c r="B37" s="7" t="s">
        <v>79</v>
      </c>
      <c r="C37" s="7">
        <v>7207</v>
      </c>
      <c r="D37" s="7" t="s">
        <v>261</v>
      </c>
      <c r="E37" s="3" t="s">
        <v>40</v>
      </c>
      <c r="F37" s="3">
        <v>6501</v>
      </c>
      <c r="G37" s="3"/>
      <c r="H37" s="3"/>
      <c r="I37" s="3"/>
      <c r="J37" s="3"/>
      <c r="K37" s="3"/>
      <c r="M37" s="3"/>
    </row>
    <row r="38" spans="1:13" x14ac:dyDescent="0.2">
      <c r="A38" s="8">
        <v>7207</v>
      </c>
      <c r="B38" s="7" t="s">
        <v>79</v>
      </c>
      <c r="C38" s="7">
        <v>7207</v>
      </c>
      <c r="D38" s="7" t="s">
        <v>261</v>
      </c>
      <c r="E38" s="3" t="s">
        <v>38</v>
      </c>
      <c r="F38" s="3">
        <v>6282</v>
      </c>
      <c r="G38" s="3"/>
      <c r="H38" s="3"/>
      <c r="I38" s="3"/>
      <c r="J38" s="3"/>
      <c r="K38" s="7"/>
      <c r="M38" s="3"/>
    </row>
    <row r="39" spans="1:13" x14ac:dyDescent="0.2">
      <c r="A39" s="8">
        <v>7207</v>
      </c>
      <c r="B39" s="7" t="s">
        <v>79</v>
      </c>
      <c r="C39" s="7">
        <v>7207</v>
      </c>
      <c r="D39" s="7" t="s">
        <v>261</v>
      </c>
      <c r="E39" s="3" t="s">
        <v>42</v>
      </c>
      <c r="F39" s="3">
        <v>6162</v>
      </c>
      <c r="G39" s="3"/>
      <c r="H39" s="3"/>
      <c r="I39" s="3"/>
      <c r="J39" s="3"/>
      <c r="K39" s="7"/>
      <c r="M39" s="3"/>
    </row>
    <row r="40" spans="1:13" x14ac:dyDescent="0.2">
      <c r="A40" s="8">
        <v>7207</v>
      </c>
      <c r="B40" s="7" t="s">
        <v>79</v>
      </c>
      <c r="C40" s="7">
        <v>7207</v>
      </c>
      <c r="D40" s="7" t="s">
        <v>261</v>
      </c>
      <c r="E40" s="3" t="s">
        <v>43</v>
      </c>
      <c r="F40" s="3">
        <v>6054</v>
      </c>
      <c r="G40" s="3"/>
      <c r="H40" s="3"/>
      <c r="I40" s="3"/>
      <c r="J40" s="3"/>
      <c r="K40" s="7"/>
      <c r="M40" s="3"/>
    </row>
    <row r="41" spans="1:13" x14ac:dyDescent="0.2">
      <c r="A41" s="8">
        <v>7207</v>
      </c>
      <c r="B41" s="7" t="s">
        <v>79</v>
      </c>
      <c r="C41" s="7">
        <v>7207</v>
      </c>
      <c r="D41" s="7" t="s">
        <v>261</v>
      </c>
      <c r="E41" s="3" t="s">
        <v>44</v>
      </c>
      <c r="F41" s="3">
        <v>5850</v>
      </c>
      <c r="G41" s="3"/>
      <c r="H41" s="3"/>
      <c r="I41" s="3"/>
      <c r="J41" s="3"/>
      <c r="K41" s="7"/>
      <c r="M41" s="3"/>
    </row>
    <row r="42" spans="1:13" x14ac:dyDescent="0.2">
      <c r="A42" s="8">
        <v>7207</v>
      </c>
      <c r="B42" s="7" t="s">
        <v>79</v>
      </c>
      <c r="C42" s="7">
        <v>7207</v>
      </c>
      <c r="D42" s="7" t="s">
        <v>261</v>
      </c>
      <c r="E42" s="3" t="s">
        <v>45</v>
      </c>
      <c r="F42" s="3">
        <v>5730</v>
      </c>
      <c r="G42" s="3"/>
      <c r="H42" s="3"/>
      <c r="I42" s="3"/>
      <c r="J42" s="3"/>
      <c r="K42" s="3"/>
      <c r="M42" s="3"/>
    </row>
    <row r="43" spans="1:13" x14ac:dyDescent="0.2">
      <c r="A43" s="8">
        <v>7207</v>
      </c>
      <c r="B43" s="7" t="s">
        <v>79</v>
      </c>
      <c r="C43" s="7">
        <v>7207</v>
      </c>
      <c r="D43" s="7" t="s">
        <v>261</v>
      </c>
      <c r="E43" s="3" t="s">
        <v>48</v>
      </c>
      <c r="F43" s="3">
        <v>5423</v>
      </c>
      <c r="G43" s="3"/>
      <c r="H43" s="3"/>
      <c r="I43" s="3"/>
      <c r="J43" s="3"/>
      <c r="K43" s="3"/>
      <c r="M43" s="3"/>
    </row>
    <row r="44" spans="1:13" x14ac:dyDescent="0.2">
      <c r="A44" s="8">
        <v>7207</v>
      </c>
      <c r="B44" s="7" t="s">
        <v>79</v>
      </c>
      <c r="C44" s="7">
        <v>7207</v>
      </c>
      <c r="D44" s="7" t="s">
        <v>261</v>
      </c>
      <c r="E44" s="3" t="s">
        <v>46</v>
      </c>
      <c r="F44" s="3">
        <v>5201</v>
      </c>
      <c r="G44" s="3"/>
      <c r="H44" s="3"/>
      <c r="I44" s="3"/>
      <c r="J44" s="3"/>
      <c r="K44" s="3"/>
      <c r="M44" s="3"/>
    </row>
    <row r="45" spans="1:13" x14ac:dyDescent="0.2">
      <c r="A45" s="8">
        <v>7207</v>
      </c>
      <c r="B45" s="7" t="s">
        <v>79</v>
      </c>
      <c r="C45" s="7">
        <v>7207</v>
      </c>
      <c r="D45" s="7" t="s">
        <v>261</v>
      </c>
      <c r="E45" s="3" t="s">
        <v>49</v>
      </c>
      <c r="F45" s="3">
        <v>4764</v>
      </c>
      <c r="G45" s="3"/>
      <c r="H45" s="3"/>
      <c r="I45" s="3"/>
      <c r="J45" s="3"/>
      <c r="K45" s="7"/>
      <c r="M45" s="3"/>
    </row>
    <row r="46" spans="1:13" x14ac:dyDescent="0.2">
      <c r="A46" s="8">
        <v>7207</v>
      </c>
      <c r="B46" s="7" t="s">
        <v>79</v>
      </c>
      <c r="C46" s="7">
        <v>7207</v>
      </c>
      <c r="D46" s="7" t="s">
        <v>261</v>
      </c>
      <c r="E46" s="3" t="s">
        <v>53</v>
      </c>
      <c r="F46" s="3">
        <v>4474</v>
      </c>
      <c r="G46" s="3"/>
      <c r="H46" s="3"/>
      <c r="I46" s="3"/>
      <c r="J46" s="3"/>
      <c r="K46" s="3"/>
      <c r="M46" s="3"/>
    </row>
    <row r="47" spans="1:13" x14ac:dyDescent="0.2">
      <c r="A47" s="8">
        <v>7207</v>
      </c>
      <c r="B47" s="7" t="s">
        <v>79</v>
      </c>
      <c r="C47" s="7">
        <v>7207</v>
      </c>
      <c r="D47" s="7" t="s">
        <v>261</v>
      </c>
      <c r="E47" s="3" t="s">
        <v>47</v>
      </c>
      <c r="F47" s="3">
        <v>4454</v>
      </c>
      <c r="G47" s="3"/>
      <c r="H47" s="3"/>
      <c r="I47" s="3"/>
      <c r="J47" s="3"/>
      <c r="K47" s="3"/>
      <c r="M47" s="3"/>
    </row>
    <row r="48" spans="1:13" x14ac:dyDescent="0.2">
      <c r="A48" s="8">
        <v>7207</v>
      </c>
      <c r="B48" s="7" t="s">
        <v>79</v>
      </c>
      <c r="C48" s="7">
        <v>7207</v>
      </c>
      <c r="D48" s="7" t="s">
        <v>261</v>
      </c>
      <c r="E48" s="3" t="s">
        <v>50</v>
      </c>
      <c r="F48" s="3">
        <v>4208</v>
      </c>
      <c r="G48" s="3"/>
      <c r="H48" s="3"/>
      <c r="I48" s="3"/>
      <c r="J48" s="3"/>
      <c r="K48" s="3"/>
      <c r="M48" s="3"/>
    </row>
    <row r="49" spans="1:13" x14ac:dyDescent="0.2">
      <c r="A49" s="8">
        <v>7207</v>
      </c>
      <c r="B49" s="7" t="s">
        <v>79</v>
      </c>
      <c r="C49" s="7">
        <v>7207</v>
      </c>
      <c r="D49" s="7" t="s">
        <v>261</v>
      </c>
      <c r="E49" s="3" t="s">
        <v>54</v>
      </c>
      <c r="F49" s="3">
        <v>4133</v>
      </c>
      <c r="G49" s="3"/>
      <c r="H49" s="3"/>
      <c r="I49" s="3"/>
      <c r="J49" s="3"/>
      <c r="K49" s="7"/>
      <c r="M49" s="3"/>
    </row>
    <row r="50" spans="1:13" x14ac:dyDescent="0.2">
      <c r="A50" s="8">
        <v>7207</v>
      </c>
      <c r="B50" s="7" t="s">
        <v>79</v>
      </c>
      <c r="C50" s="7">
        <v>7207</v>
      </c>
      <c r="D50" s="7" t="s">
        <v>261</v>
      </c>
      <c r="E50" s="3" t="s">
        <v>51</v>
      </c>
      <c r="F50" s="3">
        <v>3950</v>
      </c>
      <c r="G50" s="3"/>
      <c r="H50" s="3"/>
      <c r="I50" s="3"/>
      <c r="J50" s="3"/>
      <c r="K50" s="3"/>
      <c r="M50" s="3"/>
    </row>
    <row r="51" spans="1:13" x14ac:dyDescent="0.2">
      <c r="A51" s="8">
        <v>7207</v>
      </c>
      <c r="B51" s="7" t="s">
        <v>79</v>
      </c>
      <c r="C51" s="7">
        <v>7207</v>
      </c>
      <c r="D51" s="7" t="s">
        <v>261</v>
      </c>
      <c r="E51" s="3" t="s">
        <v>52</v>
      </c>
      <c r="F51" s="3">
        <v>3854</v>
      </c>
      <c r="G51" s="3"/>
      <c r="H51" s="3"/>
      <c r="I51" s="3"/>
      <c r="J51" s="3"/>
      <c r="K51" s="7"/>
      <c r="M51" s="3"/>
    </row>
    <row r="52" spans="1:13" x14ac:dyDescent="0.2">
      <c r="A52" s="8">
        <v>7207</v>
      </c>
      <c r="B52" s="7" t="s">
        <v>79</v>
      </c>
      <c r="C52" s="7">
        <v>7207</v>
      </c>
      <c r="D52" s="7" t="s">
        <v>261</v>
      </c>
      <c r="E52" s="3" t="s">
        <v>55</v>
      </c>
      <c r="F52" s="3">
        <v>3713</v>
      </c>
      <c r="G52" s="3"/>
      <c r="H52" s="3"/>
      <c r="I52" s="3"/>
      <c r="J52" s="3"/>
      <c r="K52" s="3"/>
      <c r="M52" s="3"/>
    </row>
    <row r="53" spans="1:13" x14ac:dyDescent="0.2">
      <c r="A53" s="8">
        <v>7207</v>
      </c>
      <c r="B53" s="7" t="s">
        <v>79</v>
      </c>
      <c r="C53" s="7">
        <v>7207</v>
      </c>
      <c r="D53" s="7" t="s">
        <v>261</v>
      </c>
      <c r="E53" s="3" t="s">
        <v>56</v>
      </c>
      <c r="F53" s="3">
        <v>3523</v>
      </c>
      <c r="G53" s="3"/>
      <c r="H53" s="3"/>
      <c r="I53" s="3"/>
      <c r="J53" s="3"/>
      <c r="K53" s="7"/>
      <c r="M53" s="3"/>
    </row>
    <row r="54" spans="1:13" x14ac:dyDescent="0.2">
      <c r="A54" s="8">
        <v>7207</v>
      </c>
      <c r="B54" s="7" t="s">
        <v>79</v>
      </c>
      <c r="C54" s="7">
        <v>7207</v>
      </c>
      <c r="D54" s="7" t="s">
        <v>261</v>
      </c>
      <c r="E54" s="3" t="s">
        <v>57</v>
      </c>
      <c r="F54" s="3">
        <v>3310</v>
      </c>
      <c r="G54" s="3"/>
      <c r="H54" s="3"/>
      <c r="I54" s="3"/>
      <c r="J54" s="3"/>
      <c r="K54" s="7"/>
      <c r="M54" s="3"/>
    </row>
    <row r="55" spans="1:13" x14ac:dyDescent="0.2">
      <c r="A55" s="8">
        <v>7207</v>
      </c>
      <c r="B55" s="7" t="s">
        <v>79</v>
      </c>
      <c r="C55" s="7">
        <v>7207</v>
      </c>
      <c r="D55" s="7" t="s">
        <v>261</v>
      </c>
      <c r="E55" s="3" t="s">
        <v>58</v>
      </c>
      <c r="F55" s="3">
        <v>3171</v>
      </c>
      <c r="G55" s="3"/>
      <c r="H55" s="3"/>
      <c r="I55" s="3"/>
      <c r="J55" s="3"/>
      <c r="K55" s="7"/>
      <c r="M55" s="3"/>
    </row>
    <row r="56" spans="1:13" x14ac:dyDescent="0.2">
      <c r="A56" s="8">
        <v>7207</v>
      </c>
      <c r="B56" s="7" t="s">
        <v>79</v>
      </c>
      <c r="C56" s="7">
        <v>7207</v>
      </c>
      <c r="D56" s="7" t="s">
        <v>261</v>
      </c>
      <c r="E56" s="3" t="s">
        <v>59</v>
      </c>
      <c r="F56" s="3">
        <v>2992</v>
      </c>
      <c r="G56" s="3"/>
      <c r="H56" s="3"/>
      <c r="I56" s="3"/>
      <c r="J56" s="3"/>
      <c r="K56" s="3"/>
      <c r="M56" s="3"/>
    </row>
    <row r="57" spans="1:13" x14ac:dyDescent="0.2">
      <c r="A57" s="8">
        <v>7207</v>
      </c>
      <c r="B57" s="7" t="s">
        <v>79</v>
      </c>
      <c r="C57" s="7">
        <v>7207</v>
      </c>
      <c r="D57" s="7" t="s">
        <v>261</v>
      </c>
      <c r="E57" s="3" t="s">
        <v>60</v>
      </c>
      <c r="F57" s="3">
        <v>2923</v>
      </c>
      <c r="G57" s="3"/>
      <c r="H57" s="3"/>
      <c r="I57" s="3"/>
      <c r="J57" s="3"/>
      <c r="K57" s="3"/>
      <c r="M57" s="3"/>
    </row>
    <row r="58" spans="1:13" x14ac:dyDescent="0.2">
      <c r="A58" s="8">
        <v>7207</v>
      </c>
      <c r="B58" s="7" t="s">
        <v>79</v>
      </c>
      <c r="C58" s="7">
        <v>7207</v>
      </c>
      <c r="D58" s="7" t="s">
        <v>261</v>
      </c>
      <c r="E58" s="3" t="s">
        <v>61</v>
      </c>
      <c r="F58" s="3">
        <v>2748</v>
      </c>
      <c r="G58" s="3"/>
      <c r="H58" s="3"/>
      <c r="I58" s="3"/>
      <c r="J58" s="7"/>
      <c r="K58" s="7"/>
      <c r="M58" s="3"/>
    </row>
    <row r="59" spans="1:13" x14ac:dyDescent="0.2">
      <c r="A59" s="8">
        <v>7207</v>
      </c>
      <c r="B59" s="7" t="s">
        <v>79</v>
      </c>
      <c r="C59" s="7">
        <v>7207</v>
      </c>
      <c r="D59" s="7" t="s">
        <v>261</v>
      </c>
      <c r="E59" s="3" t="s">
        <v>62</v>
      </c>
      <c r="F59" s="3">
        <v>2602</v>
      </c>
      <c r="G59" s="3"/>
      <c r="H59" s="3"/>
      <c r="I59" s="3"/>
      <c r="J59" s="3"/>
      <c r="K59" s="3"/>
      <c r="M59" s="3"/>
    </row>
    <row r="60" spans="1:13" x14ac:dyDescent="0.2">
      <c r="A60" s="8">
        <v>7207</v>
      </c>
      <c r="B60" s="7" t="s">
        <v>79</v>
      </c>
      <c r="C60" s="7">
        <v>7207</v>
      </c>
      <c r="D60" s="7" t="s">
        <v>261</v>
      </c>
      <c r="E60" s="3" t="s">
        <v>63</v>
      </c>
      <c r="F60" s="3">
        <v>2564</v>
      </c>
      <c r="G60" s="3"/>
      <c r="H60" s="3"/>
      <c r="I60" s="3"/>
      <c r="J60" s="7"/>
      <c r="K60" s="3"/>
      <c r="M60" s="3"/>
    </row>
    <row r="61" spans="1:13" x14ac:dyDescent="0.2">
      <c r="A61" s="8">
        <v>7207</v>
      </c>
      <c r="B61" s="7" t="s">
        <v>79</v>
      </c>
      <c r="C61" s="7">
        <v>7207</v>
      </c>
      <c r="D61" s="7" t="s">
        <v>261</v>
      </c>
      <c r="E61" s="3" t="s">
        <v>64</v>
      </c>
      <c r="F61" s="3">
        <v>2405</v>
      </c>
      <c r="G61" s="3"/>
      <c r="H61" s="3"/>
      <c r="I61" s="3"/>
      <c r="J61" s="7"/>
      <c r="K61" s="3"/>
      <c r="M61" s="3"/>
    </row>
    <row r="62" spans="1:13" x14ac:dyDescent="0.2">
      <c r="A62" s="8">
        <v>7207</v>
      </c>
      <c r="B62" s="7" t="s">
        <v>79</v>
      </c>
      <c r="C62" s="7">
        <v>7207</v>
      </c>
      <c r="D62" s="7" t="s">
        <v>261</v>
      </c>
      <c r="E62" s="3" t="s">
        <v>65</v>
      </c>
      <c r="F62" s="3">
        <v>2350</v>
      </c>
      <c r="G62" s="3"/>
      <c r="H62" s="3"/>
      <c r="I62" s="3"/>
      <c r="J62" s="7"/>
      <c r="K62" s="7"/>
      <c r="M62" s="3"/>
    </row>
    <row r="63" spans="1:13" x14ac:dyDescent="0.2">
      <c r="A63" s="8">
        <v>7207</v>
      </c>
      <c r="B63" s="7" t="s">
        <v>79</v>
      </c>
      <c r="C63" s="7">
        <v>7207</v>
      </c>
      <c r="D63" s="7" t="s">
        <v>261</v>
      </c>
      <c r="E63" s="3" t="s">
        <v>66</v>
      </c>
      <c r="F63" s="3">
        <v>2183</v>
      </c>
      <c r="G63" s="3"/>
      <c r="H63" s="3"/>
      <c r="I63" s="3"/>
      <c r="J63" s="3"/>
      <c r="K63" s="7"/>
      <c r="M63" s="7"/>
    </row>
    <row r="64" spans="1:13" x14ac:dyDescent="0.2">
      <c r="A64" s="8">
        <v>7207</v>
      </c>
      <c r="B64" s="7" t="s">
        <v>79</v>
      </c>
      <c r="C64" s="7">
        <v>7207</v>
      </c>
      <c r="D64" s="7" t="s">
        <v>261</v>
      </c>
      <c r="E64" s="3" t="s">
        <v>67</v>
      </c>
      <c r="F64" s="3">
        <v>2030</v>
      </c>
      <c r="G64" s="3"/>
      <c r="H64" s="3"/>
      <c r="I64" s="3"/>
      <c r="J64" s="7"/>
      <c r="K64" s="3"/>
      <c r="M64" s="3"/>
    </row>
    <row r="65" spans="1:15" x14ac:dyDescent="0.2">
      <c r="A65" s="8">
        <v>7207</v>
      </c>
      <c r="B65" s="7" t="s">
        <v>79</v>
      </c>
      <c r="C65" s="7">
        <v>7207</v>
      </c>
      <c r="D65" s="7" t="s">
        <v>261</v>
      </c>
      <c r="E65" s="3" t="s">
        <v>68</v>
      </c>
      <c r="F65" s="3">
        <v>1958</v>
      </c>
      <c r="G65" s="3"/>
      <c r="H65" s="3"/>
      <c r="I65" s="3"/>
      <c r="J65" s="3"/>
      <c r="K65" s="3"/>
      <c r="M65" s="7"/>
    </row>
    <row r="66" spans="1:15" x14ac:dyDescent="0.2">
      <c r="A66" s="8">
        <v>7207</v>
      </c>
      <c r="B66" s="7" t="s">
        <v>79</v>
      </c>
      <c r="C66" s="7">
        <v>7207</v>
      </c>
      <c r="D66" s="7" t="s">
        <v>261</v>
      </c>
      <c r="E66" s="3" t="s">
        <v>69</v>
      </c>
      <c r="F66" s="3">
        <v>1853</v>
      </c>
      <c r="G66" s="3"/>
      <c r="H66" s="3"/>
      <c r="I66" s="3"/>
      <c r="J66" s="3"/>
      <c r="K66" s="3"/>
      <c r="M66" s="3"/>
    </row>
    <row r="67" spans="1:15" x14ac:dyDescent="0.2">
      <c r="A67" s="8">
        <v>7207</v>
      </c>
      <c r="B67" s="7" t="s">
        <v>79</v>
      </c>
      <c r="C67" s="7">
        <v>7207</v>
      </c>
      <c r="D67" s="7" t="s">
        <v>261</v>
      </c>
      <c r="E67" s="3" t="s">
        <v>76</v>
      </c>
      <c r="F67" s="3">
        <v>1758</v>
      </c>
      <c r="G67" s="3"/>
      <c r="H67" s="3"/>
      <c r="I67" s="3"/>
      <c r="J67" s="7"/>
      <c r="K67" s="7"/>
      <c r="M67" s="3"/>
    </row>
    <row r="68" spans="1:15" x14ac:dyDescent="0.2">
      <c r="A68" s="8">
        <v>7207</v>
      </c>
      <c r="B68" s="7" t="s">
        <v>79</v>
      </c>
      <c r="C68" s="7">
        <v>7207</v>
      </c>
      <c r="D68" s="7" t="s">
        <v>261</v>
      </c>
      <c r="E68" s="3" t="s">
        <v>78</v>
      </c>
      <c r="F68" s="3">
        <v>1430</v>
      </c>
      <c r="G68" s="3"/>
      <c r="H68" s="3"/>
      <c r="I68" s="3"/>
      <c r="J68" s="7"/>
      <c r="K68" s="3"/>
      <c r="M68" s="3"/>
      <c r="O68" s="7"/>
    </row>
    <row r="69" spans="1:15" x14ac:dyDescent="0.2">
      <c r="A69" s="8">
        <v>7207</v>
      </c>
      <c r="B69" s="7" t="s">
        <v>79</v>
      </c>
      <c r="C69" s="7">
        <v>7207</v>
      </c>
      <c r="D69" s="7" t="s">
        <v>261</v>
      </c>
      <c r="E69" s="3" t="s">
        <v>77</v>
      </c>
      <c r="F69" s="3">
        <v>1429</v>
      </c>
      <c r="G69" s="3"/>
      <c r="H69" s="3"/>
      <c r="I69" s="3"/>
      <c r="J69" s="7"/>
      <c r="K69" s="3"/>
      <c r="M69" s="3"/>
      <c r="O69" s="7"/>
    </row>
    <row r="70" spans="1:15" x14ac:dyDescent="0.2">
      <c r="A70" s="8">
        <v>7207</v>
      </c>
      <c r="B70" s="7" t="s">
        <v>79</v>
      </c>
      <c r="C70" s="7">
        <v>7207</v>
      </c>
      <c r="D70" s="7" t="s">
        <v>261</v>
      </c>
      <c r="E70" s="3" t="s">
        <v>74</v>
      </c>
      <c r="F70" s="3">
        <v>1303</v>
      </c>
      <c r="G70" s="3"/>
      <c r="H70" s="3"/>
      <c r="I70" s="3"/>
      <c r="J70" s="7"/>
      <c r="K70" s="3"/>
      <c r="M70" s="7"/>
      <c r="O70" s="7"/>
    </row>
    <row r="71" spans="1:15" x14ac:dyDescent="0.2">
      <c r="A71" s="8">
        <v>7207</v>
      </c>
      <c r="B71" s="7" t="s">
        <v>79</v>
      </c>
      <c r="C71" s="7">
        <v>7207</v>
      </c>
      <c r="D71" s="7" t="s">
        <v>261</v>
      </c>
      <c r="E71" s="3" t="s">
        <v>75</v>
      </c>
      <c r="F71" s="3">
        <v>1236</v>
      </c>
      <c r="G71" s="3"/>
      <c r="H71" s="3"/>
      <c r="I71" s="3"/>
      <c r="J71" s="7"/>
      <c r="K71" s="3"/>
      <c r="M71" s="7"/>
    </row>
    <row r="72" spans="1:15" x14ac:dyDescent="0.2">
      <c r="A72" s="8">
        <v>7207</v>
      </c>
      <c r="B72" s="7" t="s">
        <v>79</v>
      </c>
      <c r="C72" s="7">
        <v>7207</v>
      </c>
      <c r="D72" s="7" t="s">
        <v>261</v>
      </c>
      <c r="E72" s="3" t="s">
        <v>70</v>
      </c>
      <c r="F72" s="3">
        <v>1205</v>
      </c>
      <c r="G72" s="3"/>
      <c r="H72" s="3"/>
      <c r="I72" s="3"/>
      <c r="J72" s="7"/>
      <c r="K72" s="3"/>
      <c r="M72" s="7"/>
    </row>
    <row r="73" spans="1:15" x14ac:dyDescent="0.2">
      <c r="A73" s="8">
        <v>7207</v>
      </c>
      <c r="B73" s="7" t="s">
        <v>79</v>
      </c>
      <c r="C73" s="7">
        <v>7207</v>
      </c>
      <c r="D73" s="7" t="s">
        <v>261</v>
      </c>
      <c r="E73" s="3" t="s">
        <v>73</v>
      </c>
      <c r="F73" s="3">
        <v>1100</v>
      </c>
      <c r="G73" s="3"/>
      <c r="H73" s="3"/>
      <c r="I73" s="3"/>
      <c r="J73" s="7"/>
      <c r="K73" s="3"/>
      <c r="M73" s="3"/>
    </row>
    <row r="74" spans="1:15" x14ac:dyDescent="0.2">
      <c r="A74" s="8">
        <v>7207</v>
      </c>
      <c r="B74" s="7" t="s">
        <v>79</v>
      </c>
      <c r="C74" s="7">
        <v>7207</v>
      </c>
      <c r="D74" s="7" t="s">
        <v>261</v>
      </c>
      <c r="E74" s="3" t="s">
        <v>72</v>
      </c>
      <c r="F74" s="3">
        <v>1036</v>
      </c>
      <c r="G74" s="3"/>
      <c r="H74" s="3"/>
      <c r="I74" s="3"/>
      <c r="J74" s="7"/>
      <c r="K74" s="3"/>
      <c r="M74" s="3"/>
    </row>
    <row r="75" spans="1:15" x14ac:dyDescent="0.2">
      <c r="A75" s="8">
        <v>7207</v>
      </c>
      <c r="B75" s="7" t="s">
        <v>79</v>
      </c>
      <c r="C75" s="7">
        <v>7207</v>
      </c>
      <c r="D75" s="7" t="s">
        <v>261</v>
      </c>
      <c r="E75" s="3" t="s">
        <v>71</v>
      </c>
      <c r="F75" s="3">
        <v>902</v>
      </c>
      <c r="G75" s="3"/>
      <c r="H75" s="3"/>
      <c r="I75" s="3"/>
      <c r="J75" s="7"/>
      <c r="K75" s="3"/>
      <c r="M75" s="3"/>
    </row>
    <row r="76" spans="1:15" x14ac:dyDescent="0.2">
      <c r="A76" s="9" t="s">
        <v>80</v>
      </c>
      <c r="F76" s="9">
        <f>SUM(F6:F75)</f>
        <v>791150</v>
      </c>
      <c r="G76" s="23"/>
      <c r="H76" s="23"/>
      <c r="I76" s="23"/>
      <c r="J76" s="23"/>
      <c r="K76" s="7"/>
    </row>
    <row r="77" spans="1:15" x14ac:dyDescent="0.2">
      <c r="J77" s="7"/>
      <c r="K77" s="3"/>
    </row>
    <row r="78" spans="1:15" x14ac:dyDescent="0.2">
      <c r="J78" s="7"/>
      <c r="K78" s="3"/>
    </row>
    <row r="79" spans="1:15" x14ac:dyDescent="0.2">
      <c r="J79" s="7"/>
      <c r="K79" s="3"/>
    </row>
    <row r="80" spans="1:15" x14ac:dyDescent="0.2">
      <c r="K80" s="3"/>
    </row>
    <row r="81" spans="11:11" x14ac:dyDescent="0.2">
      <c r="K81" s="3"/>
    </row>
    <row r="82" spans="11:11" x14ac:dyDescent="0.2">
      <c r="K82" s="3"/>
    </row>
    <row r="83" spans="11:11" x14ac:dyDescent="0.2">
      <c r="K83" s="3"/>
    </row>
    <row r="84" spans="11:11" x14ac:dyDescent="0.2">
      <c r="K84" s="3"/>
    </row>
    <row r="85" spans="11:11" x14ac:dyDescent="0.2">
      <c r="K85" s="3"/>
    </row>
    <row r="86" spans="11:11" x14ac:dyDescent="0.2">
      <c r="K86" s="3"/>
    </row>
    <row r="87" spans="11:11" x14ac:dyDescent="0.2">
      <c r="K87" s="3"/>
    </row>
    <row r="88" spans="11:11" x14ac:dyDescent="0.2">
      <c r="K88" s="3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DCA0-AC41-274F-8DD8-EDAF2FAA8886}">
  <dimension ref="A1:O23"/>
  <sheetViews>
    <sheetView workbookViewId="0">
      <selection activeCell="F31" sqref="F31"/>
    </sheetView>
  </sheetViews>
  <sheetFormatPr baseColWidth="10" defaultRowHeight="15" x14ac:dyDescent="0.2"/>
  <cols>
    <col min="1" max="1" width="16.83203125" customWidth="1"/>
    <col min="2" max="2" width="21.6640625" customWidth="1"/>
    <col min="3" max="3" width="37" customWidth="1"/>
    <col min="4" max="8" width="20.33203125" customWidth="1"/>
    <col min="9" max="9" width="23.83203125" customWidth="1"/>
  </cols>
  <sheetData>
    <row r="1" spans="1:15" x14ac:dyDescent="0.2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0</v>
      </c>
      <c r="B2" s="1"/>
      <c r="C2" s="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"/>
    </row>
    <row r="3" spans="1:15" x14ac:dyDescent="0.2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</row>
    <row r="4" spans="1:15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">
      <c r="A6" s="7" t="s">
        <v>101</v>
      </c>
      <c r="B6" s="7" t="s">
        <v>102</v>
      </c>
      <c r="C6" s="7" t="s">
        <v>262</v>
      </c>
      <c r="D6" s="7" t="s">
        <v>84</v>
      </c>
      <c r="E6" s="7">
        <v>104785</v>
      </c>
      <c r="F6" s="7"/>
      <c r="G6" s="3"/>
      <c r="H6" s="3"/>
      <c r="I6" s="3"/>
      <c r="J6" s="3"/>
    </row>
    <row r="7" spans="1:15" x14ac:dyDescent="0.2">
      <c r="A7" s="7" t="s">
        <v>101</v>
      </c>
      <c r="B7" s="7" t="s">
        <v>102</v>
      </c>
      <c r="C7" s="7" t="s">
        <v>262</v>
      </c>
      <c r="D7" s="7" t="s">
        <v>85</v>
      </c>
      <c r="E7" s="7">
        <v>91610</v>
      </c>
      <c r="F7" s="7"/>
      <c r="G7" s="3"/>
      <c r="H7" s="3"/>
      <c r="I7" s="3"/>
      <c r="J7" s="3"/>
      <c r="L7" s="7"/>
    </row>
    <row r="8" spans="1:15" x14ac:dyDescent="0.2">
      <c r="A8" s="7" t="s">
        <v>101</v>
      </c>
      <c r="B8" s="7" t="s">
        <v>102</v>
      </c>
      <c r="C8" s="7" t="s">
        <v>262</v>
      </c>
      <c r="D8" s="7" t="s">
        <v>87</v>
      </c>
      <c r="E8" s="7">
        <v>80990</v>
      </c>
      <c r="F8" s="7"/>
      <c r="G8" s="3"/>
      <c r="H8" s="3"/>
      <c r="I8" s="3"/>
      <c r="J8" s="3"/>
    </row>
    <row r="9" spans="1:15" x14ac:dyDescent="0.2">
      <c r="A9" s="7" t="s">
        <v>101</v>
      </c>
      <c r="B9" s="7" t="s">
        <v>102</v>
      </c>
      <c r="C9" s="7" t="s">
        <v>262</v>
      </c>
      <c r="D9" s="7" t="s">
        <v>86</v>
      </c>
      <c r="E9" s="7">
        <v>71385</v>
      </c>
      <c r="F9" s="7"/>
      <c r="G9" s="3"/>
      <c r="H9" s="3"/>
      <c r="I9" s="3"/>
      <c r="J9" s="3"/>
    </row>
    <row r="10" spans="1:15" x14ac:dyDescent="0.2">
      <c r="A10" s="7" t="s">
        <v>101</v>
      </c>
      <c r="B10" s="7" t="s">
        <v>102</v>
      </c>
      <c r="C10" s="7" t="s">
        <v>262</v>
      </c>
      <c r="D10" s="7" t="s">
        <v>88</v>
      </c>
      <c r="E10" s="7">
        <v>59298</v>
      </c>
      <c r="F10" s="7"/>
      <c r="G10" s="3"/>
      <c r="H10" s="3"/>
      <c r="I10" s="3"/>
      <c r="J10" s="3"/>
    </row>
    <row r="11" spans="1:15" x14ac:dyDescent="0.2">
      <c r="A11" s="7" t="s">
        <v>101</v>
      </c>
      <c r="B11" s="7" t="s">
        <v>102</v>
      </c>
      <c r="C11" s="7" t="s">
        <v>262</v>
      </c>
      <c r="D11" s="7" t="s">
        <v>89</v>
      </c>
      <c r="E11" s="7">
        <v>52250</v>
      </c>
      <c r="F11" s="7"/>
      <c r="G11" s="3"/>
      <c r="H11" s="3"/>
      <c r="I11" s="3"/>
      <c r="J11" s="3"/>
      <c r="L11" s="7"/>
    </row>
    <row r="12" spans="1:15" x14ac:dyDescent="0.2">
      <c r="A12" s="7" t="s">
        <v>101</v>
      </c>
      <c r="B12" s="7" t="s">
        <v>102</v>
      </c>
      <c r="C12" s="7" t="s">
        <v>262</v>
      </c>
      <c r="D12" s="7" t="s">
        <v>91</v>
      </c>
      <c r="E12" s="7">
        <v>46696</v>
      </c>
      <c r="F12" s="7"/>
      <c r="G12" s="3"/>
      <c r="H12" s="3"/>
      <c r="I12" s="3"/>
      <c r="J12" s="3"/>
    </row>
    <row r="13" spans="1:15" x14ac:dyDescent="0.2">
      <c r="A13" s="7" t="s">
        <v>101</v>
      </c>
      <c r="B13" s="7" t="s">
        <v>102</v>
      </c>
      <c r="C13" s="7" t="s">
        <v>262</v>
      </c>
      <c r="D13" s="7" t="s">
        <v>90</v>
      </c>
      <c r="E13" s="7">
        <v>43636</v>
      </c>
      <c r="F13" s="7"/>
      <c r="G13" s="3"/>
      <c r="H13" s="3"/>
      <c r="I13" s="3"/>
      <c r="J13" s="3"/>
    </row>
    <row r="14" spans="1:15" x14ac:dyDescent="0.2">
      <c r="A14" s="7" t="s">
        <v>101</v>
      </c>
      <c r="B14" s="7" t="s">
        <v>102</v>
      </c>
      <c r="C14" s="7" t="s">
        <v>262</v>
      </c>
      <c r="D14" s="3" t="s">
        <v>93</v>
      </c>
      <c r="E14" s="3">
        <v>42257</v>
      </c>
      <c r="F14" s="3"/>
      <c r="G14" s="3"/>
      <c r="H14" s="3"/>
      <c r="I14" s="3"/>
      <c r="J14" s="3"/>
    </row>
    <row r="15" spans="1:15" x14ac:dyDescent="0.2">
      <c r="A15" s="7" t="s">
        <v>101</v>
      </c>
      <c r="B15" s="7" t="s">
        <v>102</v>
      </c>
      <c r="C15" s="7" t="s">
        <v>262</v>
      </c>
      <c r="D15" s="3" t="s">
        <v>92</v>
      </c>
      <c r="E15" s="3">
        <v>39420</v>
      </c>
      <c r="F15" s="3"/>
      <c r="G15" s="3"/>
      <c r="H15" s="3"/>
      <c r="I15" s="3"/>
      <c r="J15" s="3"/>
    </row>
    <row r="16" spans="1:15" x14ac:dyDescent="0.2">
      <c r="A16" s="7" t="s">
        <v>101</v>
      </c>
      <c r="B16" s="7" t="s">
        <v>102</v>
      </c>
      <c r="C16" s="7" t="s">
        <v>262</v>
      </c>
      <c r="D16" s="3" t="s">
        <v>95</v>
      </c>
      <c r="E16" s="3">
        <v>35521</v>
      </c>
      <c r="F16" s="3"/>
      <c r="G16" s="3"/>
      <c r="H16" s="3"/>
      <c r="I16" s="3"/>
      <c r="J16" s="3"/>
    </row>
    <row r="17" spans="1:12" x14ac:dyDescent="0.2">
      <c r="A17" s="7" t="s">
        <v>101</v>
      </c>
      <c r="B17" s="7" t="s">
        <v>102</v>
      </c>
      <c r="C17" s="7" t="s">
        <v>262</v>
      </c>
      <c r="D17" s="3" t="s">
        <v>94</v>
      </c>
      <c r="E17" s="3">
        <v>32525</v>
      </c>
      <c r="F17" s="3"/>
      <c r="G17" s="3"/>
      <c r="H17" s="3"/>
      <c r="I17" s="3"/>
      <c r="J17" s="3"/>
      <c r="L17" s="3"/>
    </row>
    <row r="18" spans="1:12" x14ac:dyDescent="0.2">
      <c r="A18" s="7" t="s">
        <v>101</v>
      </c>
      <c r="B18" s="7" t="s">
        <v>102</v>
      </c>
      <c r="C18" s="7" t="s">
        <v>262</v>
      </c>
      <c r="D18" s="3" t="s">
        <v>97</v>
      </c>
      <c r="E18" s="3">
        <v>28286</v>
      </c>
      <c r="F18" s="3"/>
      <c r="G18" s="3"/>
      <c r="H18" s="3"/>
      <c r="I18" s="3"/>
      <c r="J18" s="3"/>
    </row>
    <row r="19" spans="1:12" x14ac:dyDescent="0.2">
      <c r="A19" s="7" t="s">
        <v>101</v>
      </c>
      <c r="B19" s="7" t="s">
        <v>102</v>
      </c>
      <c r="C19" s="7" t="s">
        <v>262</v>
      </c>
      <c r="D19" s="3" t="s">
        <v>96</v>
      </c>
      <c r="E19" s="3">
        <v>23899</v>
      </c>
      <c r="F19" s="3"/>
      <c r="G19" s="3"/>
      <c r="H19" s="3"/>
      <c r="I19" s="3"/>
      <c r="J19" s="3"/>
    </row>
    <row r="20" spans="1:12" x14ac:dyDescent="0.2">
      <c r="A20" s="7" t="s">
        <v>101</v>
      </c>
      <c r="B20" s="7" t="s">
        <v>102</v>
      </c>
      <c r="C20" s="7" t="s">
        <v>262</v>
      </c>
      <c r="D20" s="3" t="s">
        <v>98</v>
      </c>
      <c r="E20" s="3">
        <v>18291</v>
      </c>
      <c r="F20" s="3"/>
      <c r="G20" s="3"/>
      <c r="H20" s="3"/>
      <c r="I20" s="3"/>
      <c r="J20" s="3"/>
    </row>
    <row r="21" spans="1:12" x14ac:dyDescent="0.2">
      <c r="A21" s="7" t="s">
        <v>101</v>
      </c>
      <c r="B21" s="7" t="s">
        <v>102</v>
      </c>
      <c r="C21" s="7" t="s">
        <v>262</v>
      </c>
      <c r="D21" s="3" t="s">
        <v>99</v>
      </c>
      <c r="E21" s="3">
        <v>12094</v>
      </c>
      <c r="F21" s="3"/>
      <c r="G21" s="3"/>
      <c r="H21" s="3"/>
      <c r="I21" s="3"/>
      <c r="J21" s="3"/>
    </row>
    <row r="22" spans="1:12" x14ac:dyDescent="0.2">
      <c r="A22" s="7" t="s">
        <v>101</v>
      </c>
      <c r="B22" s="7" t="s">
        <v>102</v>
      </c>
      <c r="C22" s="7" t="s">
        <v>262</v>
      </c>
      <c r="D22" s="3" t="s">
        <v>100</v>
      </c>
      <c r="E22" s="3">
        <v>8207</v>
      </c>
      <c r="F22" s="3"/>
      <c r="G22" s="3"/>
      <c r="H22" s="3"/>
      <c r="I22" s="7"/>
      <c r="J22" s="3"/>
    </row>
    <row r="23" spans="1:12" x14ac:dyDescent="0.2">
      <c r="A23" s="9" t="s">
        <v>80</v>
      </c>
      <c r="E23" s="9">
        <f>SUM(E6:E22)</f>
        <v>791150</v>
      </c>
      <c r="F23" s="23"/>
      <c r="G23" s="23"/>
      <c r="H23" s="23"/>
      <c r="I23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E671-1611-5045-8407-E46017A9A917}">
  <dimension ref="A1:O37"/>
  <sheetViews>
    <sheetView topLeftCell="A20" workbookViewId="0">
      <selection activeCell="M20" sqref="M20"/>
    </sheetView>
  </sheetViews>
  <sheetFormatPr baseColWidth="10" defaultRowHeight="15" x14ac:dyDescent="0.2"/>
  <cols>
    <col min="2" max="2" width="20.1640625" customWidth="1"/>
    <col min="3" max="3" width="38" customWidth="1"/>
    <col min="4" max="4" width="14" customWidth="1"/>
    <col min="5" max="5" width="19.6640625" customWidth="1"/>
    <col min="6" max="6" width="12" customWidth="1"/>
    <col min="12" max="12" width="10.5" customWidth="1"/>
  </cols>
  <sheetData>
    <row r="1" spans="1:12" x14ac:dyDescent="0.2">
      <c r="A1" s="1" t="s">
        <v>260</v>
      </c>
      <c r="B1" s="1"/>
      <c r="C1" s="1"/>
      <c r="D1" s="1"/>
      <c r="E1" s="1"/>
    </row>
    <row r="2" spans="1:12" x14ac:dyDescent="0.2">
      <c r="A2" s="1" t="s">
        <v>0</v>
      </c>
      <c r="B2" s="1"/>
      <c r="C2" s="1"/>
      <c r="D2" s="1"/>
      <c r="G2" s="11"/>
    </row>
    <row r="3" spans="1:12" x14ac:dyDescent="0.2">
      <c r="A3" s="1" t="s">
        <v>81</v>
      </c>
      <c r="B3" s="1"/>
      <c r="C3" s="1"/>
      <c r="D3" s="1"/>
      <c r="E3" s="1"/>
      <c r="F3" s="11"/>
    </row>
    <row r="4" spans="1:12" x14ac:dyDescent="0.2">
      <c r="A4" s="1" t="s">
        <v>103</v>
      </c>
      <c r="B4" s="1"/>
      <c r="C4" s="1"/>
      <c r="D4" s="1"/>
      <c r="E4" s="1"/>
    </row>
    <row r="5" spans="1:12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</row>
    <row r="6" spans="1:12" x14ac:dyDescent="0.2">
      <c r="A6" s="7" t="s">
        <v>101</v>
      </c>
      <c r="B6" s="7" t="s">
        <v>102</v>
      </c>
      <c r="C6" s="7" t="s">
        <v>106</v>
      </c>
      <c r="D6" s="15">
        <v>45992</v>
      </c>
      <c r="E6" s="18">
        <v>25518</v>
      </c>
      <c r="F6" s="17">
        <v>515.20000000000005</v>
      </c>
    </row>
    <row r="7" spans="1:12" x14ac:dyDescent="0.2">
      <c r="A7" s="7" t="s">
        <v>101</v>
      </c>
      <c r="B7" s="7" t="s">
        <v>102</v>
      </c>
      <c r="C7" s="7" t="s">
        <v>107</v>
      </c>
      <c r="D7" s="15">
        <v>45993</v>
      </c>
      <c r="E7" s="18">
        <v>25531</v>
      </c>
      <c r="F7" s="17">
        <v>515.47</v>
      </c>
    </row>
    <row r="8" spans="1:12" x14ac:dyDescent="0.2">
      <c r="A8" s="7" t="s">
        <v>101</v>
      </c>
      <c r="B8" s="7" t="s">
        <v>102</v>
      </c>
      <c r="C8" s="7" t="s">
        <v>108</v>
      </c>
      <c r="D8" s="15">
        <v>45994</v>
      </c>
      <c r="E8" s="18">
        <v>25522</v>
      </c>
      <c r="F8" s="17">
        <v>515.29</v>
      </c>
    </row>
    <row r="9" spans="1:12" x14ac:dyDescent="0.2">
      <c r="A9" s="7" t="s">
        <v>101</v>
      </c>
      <c r="B9" s="7" t="s">
        <v>102</v>
      </c>
      <c r="C9" s="7" t="s">
        <v>109</v>
      </c>
      <c r="D9" s="15">
        <v>45995</v>
      </c>
      <c r="E9" s="18">
        <v>25519</v>
      </c>
      <c r="F9" s="17">
        <v>515.22</v>
      </c>
      <c r="K9" s="18"/>
    </row>
    <row r="10" spans="1:12" x14ac:dyDescent="0.2">
      <c r="A10" s="7" t="s">
        <v>101</v>
      </c>
      <c r="B10" s="7" t="s">
        <v>102</v>
      </c>
      <c r="C10" s="7" t="s">
        <v>110</v>
      </c>
      <c r="D10" s="15">
        <v>45996</v>
      </c>
      <c r="E10" s="18">
        <v>25537</v>
      </c>
      <c r="F10" s="17">
        <v>515.59</v>
      </c>
      <c r="K10" s="18"/>
      <c r="L10" s="16"/>
    </row>
    <row r="11" spans="1:12" x14ac:dyDescent="0.2">
      <c r="A11" s="7" t="s">
        <v>101</v>
      </c>
      <c r="B11" s="7" t="s">
        <v>102</v>
      </c>
      <c r="C11" s="7" t="s">
        <v>111</v>
      </c>
      <c r="D11" s="15">
        <v>45997</v>
      </c>
      <c r="E11" s="18">
        <v>25529</v>
      </c>
      <c r="F11" s="17">
        <v>515.42999999999995</v>
      </c>
      <c r="K11" s="18"/>
    </row>
    <row r="12" spans="1:12" x14ac:dyDescent="0.2">
      <c r="A12" s="7" t="s">
        <v>101</v>
      </c>
      <c r="B12" s="7" t="s">
        <v>102</v>
      </c>
      <c r="C12" s="7" t="s">
        <v>112</v>
      </c>
      <c r="D12" s="15">
        <v>45998</v>
      </c>
      <c r="E12" s="18">
        <v>25537</v>
      </c>
      <c r="F12" s="17">
        <v>515.59</v>
      </c>
      <c r="J12" s="18"/>
      <c r="K12" s="18"/>
    </row>
    <row r="13" spans="1:12" x14ac:dyDescent="0.2">
      <c r="A13" s="7" t="s">
        <v>101</v>
      </c>
      <c r="B13" s="7" t="s">
        <v>102</v>
      </c>
      <c r="C13" s="7" t="s">
        <v>196</v>
      </c>
      <c r="D13" s="15">
        <v>45999</v>
      </c>
      <c r="E13" s="18">
        <v>25521</v>
      </c>
      <c r="F13" s="17">
        <v>514.98</v>
      </c>
      <c r="J13" s="17"/>
      <c r="K13" s="18"/>
      <c r="L13" s="17"/>
    </row>
    <row r="14" spans="1:12" x14ac:dyDescent="0.2">
      <c r="A14" s="7" t="s">
        <v>101</v>
      </c>
      <c r="B14" s="7" t="s">
        <v>102</v>
      </c>
      <c r="C14" s="7" t="s">
        <v>197</v>
      </c>
      <c r="D14" s="15">
        <v>46000</v>
      </c>
      <c r="E14" s="18">
        <v>25519</v>
      </c>
      <c r="F14" s="17">
        <v>514.94000000000005</v>
      </c>
      <c r="J14" s="17"/>
      <c r="K14" s="18"/>
      <c r="L14" s="17"/>
    </row>
    <row r="15" spans="1:12" x14ac:dyDescent="0.2">
      <c r="A15" s="7" t="s">
        <v>101</v>
      </c>
      <c r="B15" s="7" t="s">
        <v>102</v>
      </c>
      <c r="C15" s="7" t="s">
        <v>198</v>
      </c>
      <c r="D15" s="15">
        <v>46001</v>
      </c>
      <c r="E15" s="18">
        <v>25511</v>
      </c>
      <c r="F15" s="17">
        <v>514.78</v>
      </c>
      <c r="J15" s="17"/>
      <c r="K15" s="18"/>
      <c r="L15" s="17"/>
    </row>
    <row r="16" spans="1:12" x14ac:dyDescent="0.2">
      <c r="A16" s="7" t="s">
        <v>101</v>
      </c>
      <c r="B16" s="7" t="s">
        <v>102</v>
      </c>
      <c r="C16" s="7" t="s">
        <v>199</v>
      </c>
      <c r="D16" s="15">
        <v>46002</v>
      </c>
      <c r="E16" s="18">
        <v>25513</v>
      </c>
      <c r="F16" s="17">
        <v>514.82000000000005</v>
      </c>
      <c r="J16" s="17"/>
      <c r="K16" s="18"/>
      <c r="L16" s="17"/>
    </row>
    <row r="17" spans="1:15" x14ac:dyDescent="0.2">
      <c r="A17" s="7" t="s">
        <v>101</v>
      </c>
      <c r="B17" s="7" t="s">
        <v>102</v>
      </c>
      <c r="C17" s="7" t="s">
        <v>200</v>
      </c>
      <c r="D17" s="15">
        <v>46003</v>
      </c>
      <c r="E17" s="18">
        <v>25522</v>
      </c>
      <c r="F17" s="17">
        <v>515</v>
      </c>
      <c r="J17" s="17"/>
      <c r="K17" s="18"/>
      <c r="L17" s="17"/>
    </row>
    <row r="18" spans="1:15" x14ac:dyDescent="0.2">
      <c r="A18" s="7" t="s">
        <v>101</v>
      </c>
      <c r="B18" s="7" t="s">
        <v>102</v>
      </c>
      <c r="C18" s="7" t="s">
        <v>201</v>
      </c>
      <c r="D18" s="15">
        <v>46004</v>
      </c>
      <c r="E18" s="18">
        <v>25510</v>
      </c>
      <c r="F18" s="17">
        <v>514.76</v>
      </c>
      <c r="J18" s="17"/>
      <c r="K18" s="18"/>
      <c r="L18" s="17"/>
      <c r="M18" s="17"/>
    </row>
    <row r="19" spans="1:15" x14ac:dyDescent="0.2">
      <c r="A19" s="7" t="s">
        <v>101</v>
      </c>
      <c r="B19" s="7" t="s">
        <v>102</v>
      </c>
      <c r="C19" s="7" t="s">
        <v>202</v>
      </c>
      <c r="D19" s="15">
        <v>46005</v>
      </c>
      <c r="E19" s="18">
        <v>25506</v>
      </c>
      <c r="F19" s="17">
        <v>514.69000000000005</v>
      </c>
      <c r="J19" s="17"/>
      <c r="K19" s="18"/>
      <c r="L19" s="15"/>
      <c r="M19" s="17"/>
      <c r="N19" s="17"/>
    </row>
    <row r="20" spans="1:15" x14ac:dyDescent="0.2">
      <c r="A20" s="7" t="s">
        <v>101</v>
      </c>
      <c r="B20" s="7" t="s">
        <v>102</v>
      </c>
      <c r="C20" s="7" t="s">
        <v>217</v>
      </c>
      <c r="D20" s="15">
        <v>46006</v>
      </c>
      <c r="E20" s="18">
        <v>25513</v>
      </c>
      <c r="F20" s="17">
        <v>515.20000000000005</v>
      </c>
      <c r="J20" s="17"/>
      <c r="K20" s="18"/>
      <c r="L20" s="15"/>
      <c r="M20" s="17"/>
      <c r="N20" s="17"/>
    </row>
    <row r="21" spans="1:15" x14ac:dyDescent="0.2">
      <c r="A21" s="7" t="s">
        <v>101</v>
      </c>
      <c r="B21" s="7" t="s">
        <v>102</v>
      </c>
      <c r="C21" s="7" t="s">
        <v>218</v>
      </c>
      <c r="D21" s="15">
        <v>46007</v>
      </c>
      <c r="E21" s="18">
        <v>25521</v>
      </c>
      <c r="F21" s="17">
        <v>515.36</v>
      </c>
      <c r="J21" s="17"/>
      <c r="K21" s="18"/>
      <c r="L21" s="15"/>
      <c r="M21" s="17"/>
      <c r="N21" s="17"/>
    </row>
    <row r="22" spans="1:15" x14ac:dyDescent="0.2">
      <c r="A22" s="7" t="s">
        <v>101</v>
      </c>
      <c r="B22" s="7" t="s">
        <v>102</v>
      </c>
      <c r="C22" s="7" t="s">
        <v>219</v>
      </c>
      <c r="D22" s="15">
        <v>46008</v>
      </c>
      <c r="E22" s="18">
        <v>25514</v>
      </c>
      <c r="F22" s="17">
        <v>515.23</v>
      </c>
      <c r="J22" s="17"/>
      <c r="K22" s="18"/>
      <c r="L22" s="15"/>
      <c r="M22" s="17"/>
      <c r="N22" s="17"/>
    </row>
    <row r="23" spans="1:15" x14ac:dyDescent="0.2">
      <c r="A23" s="7" t="s">
        <v>101</v>
      </c>
      <c r="B23" s="7" t="s">
        <v>102</v>
      </c>
      <c r="C23" s="7" t="s">
        <v>220</v>
      </c>
      <c r="D23" s="15">
        <v>46009</v>
      </c>
      <c r="E23" s="18">
        <v>25525</v>
      </c>
      <c r="F23" s="17">
        <v>515.44000000000005</v>
      </c>
      <c r="J23" s="17"/>
      <c r="K23" s="18"/>
      <c r="L23" s="15"/>
      <c r="M23" s="18"/>
      <c r="N23" s="17"/>
    </row>
    <row r="24" spans="1:15" x14ac:dyDescent="0.2">
      <c r="A24" s="7" t="s">
        <v>101</v>
      </c>
      <c r="B24" s="7" t="s">
        <v>102</v>
      </c>
      <c r="C24" s="7" t="s">
        <v>221</v>
      </c>
      <c r="D24" s="15">
        <v>46010</v>
      </c>
      <c r="E24" s="18">
        <v>25517</v>
      </c>
      <c r="F24" s="17">
        <v>515.29</v>
      </c>
      <c r="J24" s="17"/>
      <c r="K24" s="18"/>
      <c r="L24" s="15"/>
      <c r="M24" s="18"/>
      <c r="N24" s="17"/>
    </row>
    <row r="25" spans="1:15" x14ac:dyDescent="0.2">
      <c r="A25" s="7" t="s">
        <v>101</v>
      </c>
      <c r="B25" s="7" t="s">
        <v>102</v>
      </c>
      <c r="C25" s="7" t="s">
        <v>222</v>
      </c>
      <c r="D25" s="15">
        <v>46011</v>
      </c>
      <c r="E25" s="18">
        <v>25519</v>
      </c>
      <c r="F25" s="17">
        <v>515.32000000000005</v>
      </c>
      <c r="J25" s="17"/>
      <c r="K25" s="18"/>
      <c r="L25" s="15"/>
      <c r="M25" s="18"/>
      <c r="N25" s="18"/>
    </row>
    <row r="26" spans="1:15" x14ac:dyDescent="0.2">
      <c r="A26" s="7" t="s">
        <v>101</v>
      </c>
      <c r="B26" s="7" t="s">
        <v>102</v>
      </c>
      <c r="C26" s="7" t="s">
        <v>223</v>
      </c>
      <c r="D26" s="15">
        <v>46012</v>
      </c>
      <c r="E26" s="18">
        <v>25520</v>
      </c>
      <c r="F26" s="17">
        <v>515.34</v>
      </c>
      <c r="J26" s="17"/>
      <c r="K26" s="18"/>
      <c r="L26" s="15"/>
      <c r="M26" s="18"/>
      <c r="N26" s="18"/>
    </row>
    <row r="27" spans="1:15" x14ac:dyDescent="0.2">
      <c r="A27" s="7" t="s">
        <v>101</v>
      </c>
      <c r="B27" s="7" t="s">
        <v>102</v>
      </c>
      <c r="C27" s="7" t="s">
        <v>238</v>
      </c>
      <c r="D27" s="15">
        <v>46013</v>
      </c>
      <c r="E27" s="18">
        <v>25522</v>
      </c>
      <c r="F27" s="17">
        <v>515.29</v>
      </c>
      <c r="J27" s="17"/>
      <c r="K27" s="18"/>
      <c r="L27" s="15"/>
      <c r="M27" s="18"/>
      <c r="N27" s="18"/>
    </row>
    <row r="28" spans="1:15" x14ac:dyDescent="0.2">
      <c r="A28" s="7" t="s">
        <v>101</v>
      </c>
      <c r="B28" s="7" t="s">
        <v>102</v>
      </c>
      <c r="C28" s="7" t="s">
        <v>239</v>
      </c>
      <c r="D28" s="15">
        <v>46014</v>
      </c>
      <c r="E28" s="18">
        <v>25519</v>
      </c>
      <c r="F28" s="17">
        <v>515.23</v>
      </c>
      <c r="J28" s="17"/>
      <c r="K28" s="18"/>
      <c r="L28" s="15"/>
      <c r="M28" s="18"/>
      <c r="N28" s="17"/>
    </row>
    <row r="29" spans="1:15" x14ac:dyDescent="0.2">
      <c r="A29" s="7" t="s">
        <v>101</v>
      </c>
      <c r="B29" s="7" t="s">
        <v>102</v>
      </c>
      <c r="C29" s="7" t="s">
        <v>240</v>
      </c>
      <c r="D29" s="15">
        <v>46015</v>
      </c>
      <c r="E29" s="18">
        <v>25512</v>
      </c>
      <c r="F29" s="17">
        <v>515.09</v>
      </c>
      <c r="J29" s="17"/>
      <c r="K29" s="18"/>
      <c r="L29" s="15"/>
      <c r="M29" s="18"/>
      <c r="N29" s="17"/>
    </row>
    <row r="30" spans="1:15" x14ac:dyDescent="0.2">
      <c r="A30" s="7" t="s">
        <v>101</v>
      </c>
      <c r="B30" s="7" t="s">
        <v>102</v>
      </c>
      <c r="C30" s="7" t="s">
        <v>241</v>
      </c>
      <c r="D30" s="15">
        <v>46016</v>
      </c>
      <c r="E30" s="18">
        <v>25520</v>
      </c>
      <c r="F30" s="17">
        <v>515.25</v>
      </c>
      <c r="J30" s="17"/>
      <c r="K30" s="18"/>
      <c r="L30" s="15"/>
      <c r="M30" s="18"/>
      <c r="N30" s="18"/>
      <c r="O30" s="17"/>
    </row>
    <row r="31" spans="1:15" x14ac:dyDescent="0.2">
      <c r="A31" s="7" t="s">
        <v>101</v>
      </c>
      <c r="B31" s="7" t="s">
        <v>102</v>
      </c>
      <c r="C31" s="7" t="s">
        <v>242</v>
      </c>
      <c r="D31" s="15">
        <v>46017</v>
      </c>
      <c r="E31" s="18">
        <v>25516</v>
      </c>
      <c r="F31" s="17">
        <v>515.16999999999996</v>
      </c>
      <c r="J31" s="17"/>
      <c r="K31" s="18"/>
      <c r="L31" s="15"/>
      <c r="M31" s="18"/>
      <c r="N31" s="18"/>
      <c r="O31" s="17"/>
    </row>
    <row r="32" spans="1:15" x14ac:dyDescent="0.2">
      <c r="A32" s="7" t="s">
        <v>101</v>
      </c>
      <c r="B32" s="7" t="s">
        <v>102</v>
      </c>
      <c r="C32" s="7" t="s">
        <v>243</v>
      </c>
      <c r="D32" s="15">
        <v>46018</v>
      </c>
      <c r="E32" s="18">
        <v>25507</v>
      </c>
      <c r="F32" s="17">
        <v>514.99</v>
      </c>
      <c r="J32" s="17"/>
      <c r="K32" s="18"/>
      <c r="L32" s="15"/>
      <c r="M32" s="18"/>
      <c r="N32" s="17"/>
      <c r="O32" s="17"/>
    </row>
    <row r="33" spans="1:15" x14ac:dyDescent="0.2">
      <c r="A33" s="7" t="s">
        <v>101</v>
      </c>
      <c r="B33" s="7" t="s">
        <v>102</v>
      </c>
      <c r="C33" s="7" t="s">
        <v>244</v>
      </c>
      <c r="D33" s="15">
        <v>46019</v>
      </c>
      <c r="E33" s="18">
        <v>25517</v>
      </c>
      <c r="F33" s="17">
        <v>515.19000000000005</v>
      </c>
      <c r="J33" s="17"/>
      <c r="K33" s="18"/>
      <c r="L33" s="15"/>
      <c r="M33" s="18"/>
      <c r="N33" s="17"/>
      <c r="O33" s="16"/>
    </row>
    <row r="34" spans="1:15" x14ac:dyDescent="0.2">
      <c r="A34" s="7" t="s">
        <v>101</v>
      </c>
      <c r="B34" s="7" t="s">
        <v>102</v>
      </c>
      <c r="C34" s="7" t="s">
        <v>263</v>
      </c>
      <c r="D34" s="15">
        <v>46020</v>
      </c>
      <c r="E34" s="18">
        <v>25543</v>
      </c>
      <c r="F34" s="17">
        <v>536.04</v>
      </c>
      <c r="J34" s="17"/>
      <c r="K34" s="18"/>
      <c r="L34" s="15"/>
      <c r="M34" s="18"/>
      <c r="N34" s="17"/>
    </row>
    <row r="35" spans="1:15" x14ac:dyDescent="0.2">
      <c r="A35" s="7" t="s">
        <v>101</v>
      </c>
      <c r="B35" s="7" t="s">
        <v>102</v>
      </c>
      <c r="C35" s="7" t="s">
        <v>264</v>
      </c>
      <c r="D35" s="15">
        <v>46021</v>
      </c>
      <c r="E35" s="18">
        <v>25532</v>
      </c>
      <c r="F35" s="17">
        <v>535.80999999999995</v>
      </c>
      <c r="J35" s="17"/>
      <c r="K35" s="18"/>
      <c r="L35" s="15"/>
      <c r="M35" s="18"/>
      <c r="N35" s="17"/>
    </row>
    <row r="36" spans="1:15" x14ac:dyDescent="0.2">
      <c r="A36" s="7" t="s">
        <v>101</v>
      </c>
      <c r="B36" s="7" t="s">
        <v>102</v>
      </c>
      <c r="C36" s="7" t="s">
        <v>265</v>
      </c>
      <c r="D36" s="15">
        <v>46022</v>
      </c>
      <c r="E36" s="18">
        <v>25538</v>
      </c>
      <c r="F36" s="17">
        <v>535.92999999999995</v>
      </c>
      <c r="J36" s="17"/>
      <c r="K36" s="18"/>
      <c r="L36" s="15"/>
      <c r="M36" s="18"/>
      <c r="N36" s="17"/>
    </row>
    <row r="37" spans="1:15" x14ac:dyDescent="0.2">
      <c r="A37" s="9" t="s">
        <v>80</v>
      </c>
      <c r="E37" s="22">
        <f>SUM(E6:E36)</f>
        <v>791150</v>
      </c>
      <c r="F37" s="19">
        <f>SUM(F6:F36)</f>
        <v>16032.929999999998</v>
      </c>
      <c r="J37" s="16"/>
      <c r="L37" s="16"/>
      <c r="N3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 1-4 Control 12.1-12.31</vt:lpstr>
      <vt:lpstr>Week 1-4 Control GEO 12.1-12.31</vt:lpstr>
      <vt:lpstr>Week 1-4 Cont. Daily 12.1-12.31</vt:lpstr>
      <vt:lpstr>Week 1-4 Treat. 12.1-12.31</vt:lpstr>
      <vt:lpstr>Week 1-4 Treat. GEO 12.1-12.31</vt:lpstr>
      <vt:lpstr>Week 1-4 Treat. DLY 12.1-12.31</vt:lpstr>
      <vt:lpstr>WC Week 1-4 12.1-12.31</vt:lpstr>
      <vt:lpstr>WC Week 1-4 GEO 12.1-12.31</vt:lpstr>
      <vt:lpstr>WC Week 1-4 Daily 12.1-12.31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2025-12-05T14:45:58Z</dcterms:created>
  <dcterms:modified xsi:type="dcterms:W3CDTF">2026-01-08T02:09:30Z</dcterms:modified>
</cp:coreProperties>
</file>