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joshpeltz/Desktop/2025 VENDOR REPORTING/"/>
    </mc:Choice>
  </mc:AlternateContent>
  <xr:revisionPtr revIDLastSave="0" documentId="13_ncr:1_{61019C09-A5C5-3D45-A55E-5E26BE473B22}" xr6:coauthVersionLast="47" xr6:coauthVersionMax="47" xr10:uidLastSave="{00000000-0000-0000-0000-000000000000}"/>
  <bookViews>
    <workbookView xWindow="0" yWindow="500" windowWidth="27700" windowHeight="15960" xr2:uid="{4E1800FA-9B83-DD4B-8480-ACB8B1ADF01F}"/>
  </bookViews>
  <sheets>
    <sheet name="Week 1-2 Control 12.1-12.14" sheetId="4" r:id="rId1"/>
    <sheet name="Week 1-2 Control GEO 12.1-12.14" sheetId="5" r:id="rId2"/>
    <sheet name="Week 1-2 Cont. Daily 12.1-12.14" sheetId="6" r:id="rId3"/>
    <sheet name="Week 1-2 Treat. 12.1-12.14" sheetId="7" r:id="rId4"/>
    <sheet name="Week 1-2 Treat. GEO 12.1-12.14" sheetId="8" r:id="rId5"/>
    <sheet name="Week 1 Treatment DLY 12.1-12.7" sheetId="9" r:id="rId6"/>
    <sheet name="WC Week 1-2 12.1-12.14" sheetId="1" r:id="rId7"/>
    <sheet name="WC Week 1-2 GEO 12.1-12.14" sheetId="2" r:id="rId8"/>
    <sheet name="WC Week 1-2 Daily 12.1-12.14" sheetId="3" r:id="rId9"/>
  </sheets>
  <definedNames>
    <definedName name="_xlnm._FilterDatabase" localSheetId="0" hidden="1">'Week 1-2 Control 12.1-12.14'!$A$5:$F$96</definedName>
    <definedName name="_xlnm._FilterDatabase" localSheetId="3" hidden="1">'Week 1-2 Treat. 12.1-12.14'!$A$5:$F$94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5" i="7" l="1"/>
  <c r="F97" i="4"/>
  <c r="F20" i="9"/>
  <c r="E20" i="9"/>
  <c r="E19" i="8"/>
  <c r="F20" i="6" l="1"/>
  <c r="E20" i="6"/>
  <c r="E19" i="5"/>
  <c r="F20" i="3"/>
  <c r="E20" i="3"/>
  <c r="E23" i="2"/>
  <c r="F76" i="1"/>
</calcChain>
</file>

<file path=xl/sharedStrings.xml><?xml version="1.0" encoding="utf-8"?>
<sst xmlns="http://schemas.openxmlformats.org/spreadsheetml/2006/main" count="1502" uniqueCount="226">
  <si>
    <t>Timezone: America/New_York</t>
  </si>
  <si>
    <t xml:space="preserve">Filters: Order ID IN (7207) </t>
  </si>
  <si>
    <t>Splits: Order ID,Order,Campaign ID,Campaign,Publisher ID,Publisher,Audio Impressions</t>
  </si>
  <si>
    <t>Order ID</t>
  </si>
  <si>
    <t>Order</t>
  </si>
  <si>
    <t>Campaign ID</t>
  </si>
  <si>
    <t>Campaign</t>
  </si>
  <si>
    <t>Publisher</t>
  </si>
  <si>
    <t>Audio Impressions</t>
  </si>
  <si>
    <t>Cold Case Files</t>
  </si>
  <si>
    <t>I Survived</t>
  </si>
  <si>
    <t>The World of Phil Hendrie</t>
  </si>
  <si>
    <t>Varnamtown</t>
  </si>
  <si>
    <t>Bad Bad Thing: The Blackstone Sisters</t>
  </si>
  <si>
    <t>The Consult: Real FBI Profilers</t>
  </si>
  <si>
    <t>Ransom</t>
  </si>
  <si>
    <t>Sex, Lies &amp; Murder</t>
  </si>
  <si>
    <t>The Dan Abrams Podcast (PodcastOne)</t>
  </si>
  <si>
    <t>Nappy Boy Radio with T-Pain</t>
  </si>
  <si>
    <t>Murder Made Me Famous</t>
  </si>
  <si>
    <t>Cheating: When Love Lies</t>
  </si>
  <si>
    <t>Real Crime: The REELZ Files</t>
  </si>
  <si>
    <t>Copycat Killers</t>
  </si>
  <si>
    <t>CIVIL</t>
  </si>
  <si>
    <t>Reasonable Doubt</t>
  </si>
  <si>
    <t>Bret Easton Ellis Podcast</t>
  </si>
  <si>
    <t>CONNECT with Jonathan Mark</t>
  </si>
  <si>
    <t>Let's Do Life with Autumn Calabrese</t>
  </si>
  <si>
    <t>We (Almost) Made It</t>
  </si>
  <si>
    <t>It's Not Only Football: Friday Night Lights and Beyond</t>
  </si>
  <si>
    <t>Wholeheartedly with Kendall and Galey</t>
  </si>
  <si>
    <t>On Brand with Jon and Marisa</t>
  </si>
  <si>
    <t>Lost In Panama</t>
  </si>
  <si>
    <t>Fully Booked by Kirkus Reviews</t>
  </si>
  <si>
    <t>Idiotically Speaking with Chris Kattan</t>
  </si>
  <si>
    <t>Blunt Force Truth</t>
  </si>
  <si>
    <t>Ace On The House</t>
  </si>
  <si>
    <t>expediTIously with Tip "T.I." Harris</t>
  </si>
  <si>
    <t>Dark Hollywood: The Reelz Files</t>
  </si>
  <si>
    <t>Adam Carolla Show Daily Brief</t>
  </si>
  <si>
    <t>The Michael Harrison Interview</t>
  </si>
  <si>
    <t>The Kelly Osbourne and Jeff Beacher Show</t>
  </si>
  <si>
    <t>Mind. Body. No Soul.</t>
  </si>
  <si>
    <t>Salty with Captain Lee</t>
  </si>
  <si>
    <t>The Producer's Guide: Todd Garner &amp; Hollywood's Elite</t>
  </si>
  <si>
    <t>HOT ROD Pod: Where It All Began</t>
  </si>
  <si>
    <t>Talk To Me</t>
  </si>
  <si>
    <t>From Negative to Positive with Pitbull</t>
  </si>
  <si>
    <t>From Zero: A Conversation with Mike Shinoda and Emily Armstrong</t>
  </si>
  <si>
    <t>SUS: Share Ur Scare</t>
  </si>
  <si>
    <t>Geffen Playhouse Unscripted</t>
  </si>
  <si>
    <t>This Is Monsters</t>
  </si>
  <si>
    <t>We Are Not Journalists</t>
  </si>
  <si>
    <t>Who I Am</t>
  </si>
  <si>
    <t>The Jay Jay French Connection: Beyond the Music</t>
  </si>
  <si>
    <t>Invisible Choir</t>
  </si>
  <si>
    <t>Hammered Heroes (And Villains)</t>
  </si>
  <si>
    <t>Living in Adoptionland with Bryan Elliott</t>
  </si>
  <si>
    <t>Knock Knock</t>
  </si>
  <si>
    <t>Zero Stars</t>
  </si>
  <si>
    <t>All of the Above with Norman Lear</t>
  </si>
  <si>
    <t>Chop Shop</t>
  </si>
  <si>
    <t>Let Me Save You 25 Years</t>
  </si>
  <si>
    <t>Adam's Best</t>
  </si>
  <si>
    <t>The Campaign Managers with Kellyanne Conway and David Plouffe</t>
  </si>
  <si>
    <t>Carolla Classics </t>
  </si>
  <si>
    <t>Adam Carolla's Exclusive Interviews</t>
  </si>
  <si>
    <t>Adam Carolla Show Clips</t>
  </si>
  <si>
    <t>Adam Carolla Live</t>
  </si>
  <si>
    <t>Comeback Kids</t>
  </si>
  <si>
    <t>Earth to Ariana</t>
  </si>
  <si>
    <t>Ever After with Jaleel White</t>
  </si>
  <si>
    <t>Be Very Afraid: A Horror Podcast</t>
  </si>
  <si>
    <t>All Dollars. No $ense</t>
  </si>
  <si>
    <t>The Funny Papers with Jersey Jerry</t>
  </si>
  <si>
    <t>Botany &amp; Barrels</t>
  </si>
  <si>
    <t>The Head &amp; The Heart</t>
  </si>
  <si>
    <t>Bounceback with Uncle Tim</t>
  </si>
  <si>
    <t>C-Sessions…with Randall Broad</t>
  </si>
  <si>
    <t>(7207) Betonline 2025</t>
  </si>
  <si>
    <t>TOTAL</t>
  </si>
  <si>
    <t xml:space="preserve">Filters: Order ID IN (7207*) </t>
  </si>
  <si>
    <t>Splits: Order ID,Order,Campaign ID,Geo-Region,Audio Impressions</t>
  </si>
  <si>
    <t>Geo - Region</t>
  </si>
  <si>
    <t>California (ca)</t>
  </si>
  <si>
    <t>Texas (tx)</t>
  </si>
  <si>
    <t>Illinois (il)</t>
  </si>
  <si>
    <t>Florida (fl)</t>
  </si>
  <si>
    <t>New York (ny)</t>
  </si>
  <si>
    <t>Georgia (ga)</t>
  </si>
  <si>
    <t>Washington (wa)</t>
  </si>
  <si>
    <t>Massachusetts (ma)</t>
  </si>
  <si>
    <t>Virginia (va)</t>
  </si>
  <si>
    <t>Ohio (oh)</t>
  </si>
  <si>
    <t>Kentucky (ky)</t>
  </si>
  <si>
    <t>Utah (ut)</t>
  </si>
  <si>
    <t>Colorado (co)</t>
  </si>
  <si>
    <t>North Carolina (nc)</t>
  </si>
  <si>
    <t>Arizona (az)</t>
  </si>
  <si>
    <t>South Carolina (sc)</t>
  </si>
  <si>
    <t>Hawaii (hi)</t>
  </si>
  <si>
    <t>(7207*)</t>
  </si>
  <si>
    <t>(7207*) Betonline 2025</t>
  </si>
  <si>
    <t>Splits: Order ID,Order,Campaign ID,Day,Audio Impressions</t>
  </si>
  <si>
    <t>Day</t>
  </si>
  <si>
    <t>$ By Day</t>
  </si>
  <si>
    <t>(7207*) Betonline 2025-12-01/2025-12-01</t>
  </si>
  <si>
    <t>(7207*) Betonline 2025-12-02/2025-12-02</t>
  </si>
  <si>
    <t>(7207*) Betonline 2025-12-03/2025-12-03</t>
  </si>
  <si>
    <t>(7207*) Betonline 2025-12-04/2025-12-04</t>
  </si>
  <si>
    <t>(7207*) Betonline 2025-12-05/2025-12-05</t>
  </si>
  <si>
    <t>(7207*) Betonline 2025-12-06/2025-12-06</t>
  </si>
  <si>
    <t>(7207*) Betonline 2025-12-07/2025-12-07</t>
  </si>
  <si>
    <t xml:space="preserve">Filters: Order ID IN (7210;7212) </t>
  </si>
  <si>
    <t>Adam Carolla Show</t>
  </si>
  <si>
    <t>"YOUR WELCOME" with Michael Malice</t>
  </si>
  <si>
    <t>The Adam and Dr. Drew Show</t>
  </si>
  <si>
    <t>The Steve Austin Show</t>
  </si>
  <si>
    <t>Notsam Wrestling</t>
  </si>
  <si>
    <t xml:space="preserve">CarCast </t>
  </si>
  <si>
    <t>One MANS Opinion with Jeff Mans</t>
  </si>
  <si>
    <t xml:space="preserve">The Morning After STL </t>
  </si>
  <si>
    <t>Plugged In with Chris Howard</t>
  </si>
  <si>
    <t>Going Racing with Adam Carolla</t>
  </si>
  <si>
    <t>The Michael Irvin Podcast</t>
  </si>
  <si>
    <t>Uncut with Jay Cutler</t>
  </si>
  <si>
    <t>The Big Podcast With Shaq</t>
  </si>
  <si>
    <t xml:space="preserve">No Gruffs Given with Sean Avery </t>
  </si>
  <si>
    <t xml:space="preserve">Big Shot Bob Pod with Robert Horry </t>
  </si>
  <si>
    <t xml:space="preserve">Everyday Greatness: The Ray Lewis Podcast </t>
  </si>
  <si>
    <t>Jim Beaver's Project Action</t>
  </si>
  <si>
    <t>Dr. Hockey</t>
  </si>
  <si>
    <t xml:space="preserve">The Deegans </t>
  </si>
  <si>
    <t>Foley Is Pod</t>
  </si>
  <si>
    <t xml:space="preserve">Hotboxin With Mike Tyson </t>
  </si>
  <si>
    <t>(7210; 7212)</t>
  </si>
  <si>
    <t>(7210;7212) Betonline 2025</t>
  </si>
  <si>
    <t>(7210;7212)</t>
  </si>
  <si>
    <t>(7211);(7213)</t>
  </si>
  <si>
    <t>(7211);(7213) Betonline 2025</t>
  </si>
  <si>
    <t xml:space="preserve">Filters: Order ID IN (7210);(7211);(7212);(7213) </t>
  </si>
  <si>
    <t>Missouri (mo)</t>
  </si>
  <si>
    <t>Wisconsin (wi)</t>
  </si>
  <si>
    <t>District of Columbia (dc)</t>
  </si>
  <si>
    <t>Mississippi (ms)</t>
  </si>
  <si>
    <t>Montana (mt)</t>
  </si>
  <si>
    <t>South Dakota (sd)</t>
  </si>
  <si>
    <t>Alaska (ak)</t>
  </si>
  <si>
    <t>(7210);(7211); (7212);(7213)</t>
  </si>
  <si>
    <t>(7210);(7211);(7212);(7213) Betonline 2025</t>
  </si>
  <si>
    <t xml:space="preserve">Filters: Order ID IN (7210; 7211; 7212; 7213) </t>
  </si>
  <si>
    <t>(7210; 7211;7212;7213)</t>
  </si>
  <si>
    <t>(7210; 7211;7212;7213) Betonline 2025</t>
  </si>
  <si>
    <t>(7210; 7211;7212;7213) Betonline 2025-12-01/2025-12-01</t>
  </si>
  <si>
    <t>(7210; 7211;7212;7213) Betonline 2025-12-03/2025-12-03</t>
  </si>
  <si>
    <t>(7210; 7211;7212;7213) Betonline 2025-12-04/2025-12-04</t>
  </si>
  <si>
    <t>(7210; 7211;7212;7213) Betonline 2025-12-05/2025-12-05</t>
  </si>
  <si>
    <t>(7210; 7211;7212;7213) Betonline 2025-12-06/2025-12-06</t>
  </si>
  <si>
    <t>(7210; 7211;7212;7213) Betonline 2025-12-07/2025-12-07</t>
  </si>
  <si>
    <t>(7210; 7211;7212;7213) Betonline 2025-12-02/2025-12-02</t>
  </si>
  <si>
    <t xml:space="preserve">Filters: Order ID IN (7208;7214) </t>
  </si>
  <si>
    <t>(7208;7214)</t>
  </si>
  <si>
    <t>(7208;7214) Betonline 2025</t>
  </si>
  <si>
    <t xml:space="preserve">Adam Carolla Show </t>
  </si>
  <si>
    <t xml:space="preserve">"YOUR WELCOME" with Michael Malice </t>
  </si>
  <si>
    <t xml:space="preserve">The Adam and Dr. Drew Show </t>
  </si>
  <si>
    <t xml:space="preserve">Notsam Wrestling </t>
  </si>
  <si>
    <t xml:space="preserve">One MANS Opinion with Jeff Mans </t>
  </si>
  <si>
    <t xml:space="preserve">Uncut with Jay Cutler </t>
  </si>
  <si>
    <t xml:space="preserve">The Michael Irvin Podcast </t>
  </si>
  <si>
    <t xml:space="preserve">Unplugged Chris Howard </t>
  </si>
  <si>
    <t xml:space="preserve">Going Racing with Adam Carolla </t>
  </si>
  <si>
    <t xml:space="preserve">Foley Is Pod </t>
  </si>
  <si>
    <t xml:space="preserve">Dr. Hockey </t>
  </si>
  <si>
    <t>(7209;7215)</t>
  </si>
  <si>
    <t>(7209;7215) Betonline 2025</t>
  </si>
  <si>
    <t>Filters: Order ID IN (7208);(7209);(7214);(7215)</t>
  </si>
  <si>
    <t>Minnesota (mn)</t>
  </si>
  <si>
    <t>Alabama (al)</t>
  </si>
  <si>
    <t>Oklahoma (ok)</t>
  </si>
  <si>
    <t>Idaho (id)</t>
  </si>
  <si>
    <t>New Mexico (nm)</t>
  </si>
  <si>
    <t>Delaware (de)</t>
  </si>
  <si>
    <t>North Dakota (nd)</t>
  </si>
  <si>
    <t>(7208);(7209);(7214);(7215)</t>
  </si>
  <si>
    <t>(7208);(7209);(7214);(7215) Betonline 2025</t>
  </si>
  <si>
    <t xml:space="preserve">Filters: Order ID IN (7208;7209;7214;7215) </t>
  </si>
  <si>
    <t>(7208;7209;7214;7215)</t>
  </si>
  <si>
    <t>(7208;7209;7214;7215) Betonline 2025</t>
  </si>
  <si>
    <t>(7208;7209;7214;7215) Betonline 2025-12-01/2025-12-01</t>
  </si>
  <si>
    <t>(7208;7209;7214;7215) Betonline 2025-12-02/2025-12-02</t>
  </si>
  <si>
    <t>(7208;7209;7214;7215) Betonline 2025-12-03/2025-12-03</t>
  </si>
  <si>
    <t>(7208;7209;7214;7215) Betonline 2025-12-04/2025-12-04</t>
  </si>
  <si>
    <t>(7208;7209;7214;7215) Betonline 2025-12-05/2025-12-05</t>
  </si>
  <si>
    <t>(7208;7209;7214;7215) Betonline 2025-12-06/2025-12-06</t>
  </si>
  <si>
    <t>(7208;7209;7214;7215) Betonline 2025-12-07/2025-12-07</t>
  </si>
  <si>
    <t>Interval: 2025-12-01/2025-12-14</t>
  </si>
  <si>
    <t>(7207*) Betonline 2025-12-01/2025-12-14</t>
  </si>
  <si>
    <t>(7207) Betonline 2025-12-01/2025-12-14</t>
  </si>
  <si>
    <t>(7207*) Betonline 2025-12-08/2025-12-08</t>
  </si>
  <si>
    <t>(7207*) Betonline 2025-12-09/2025-12-09</t>
  </si>
  <si>
    <t>(7207*) Betonline 2025-12-10/2025-12-10</t>
  </si>
  <si>
    <t>(7207*) Betonline 2025-12-11/2025-12-11</t>
  </si>
  <si>
    <t>(7207*) Betonline 2025-12-12/2025-12-12</t>
  </si>
  <si>
    <t>(7207*) Betonline 2025-12-13/2025-12-13</t>
  </si>
  <si>
    <t>(7207*) Betonline 2025-12-14/2025-12-14</t>
  </si>
  <si>
    <t>(7210;7212)) Betonline 2025-12-01/2025-12-14</t>
  </si>
  <si>
    <t>(7211);(7213) Betonline 2025-12-01/2025-12-14</t>
  </si>
  <si>
    <t>(7210);(7211);(7212);(7213) Betonline 2025-12-01/2025-12-14</t>
  </si>
  <si>
    <t>(7210; 7211;7212;7213) Betonline 2025-12-08/2025-12-08</t>
  </si>
  <si>
    <t>(7210; 7211;7212;7213) Betonline 2025-12-09/2025-12-09</t>
  </si>
  <si>
    <t>(7210; 7211;7212;7213) Betonline 2025-12-10/2025-12-10</t>
  </si>
  <si>
    <t>(7210; 7211;7212;7213) Betonline 2025-12-11/2025-12-11</t>
  </si>
  <si>
    <t>(7210; 7211;7212;7213) Betonline 2025-12-12/2025-12-12</t>
  </si>
  <si>
    <t>(7210; 7211;7212;7213) Betonline 2025-12-13/2025-12-13</t>
  </si>
  <si>
    <t>(7210; 7211;7212;7213) Betonline 2025-12-14/2025-12-14</t>
  </si>
  <si>
    <t>(7208;7214) Betonline 2025-12-01/2025-12-14</t>
  </si>
  <si>
    <t>(7208);(7209);(7214);(7215) Betonline 2025-12-01/2025-12-14</t>
  </si>
  <si>
    <t>(7208;7209;7214;7215) Betonline 2025-12-08/2025-12-08</t>
  </si>
  <si>
    <t>(7208;7209;7214;7215) Betonline 2025-12-09/2025-12-09</t>
  </si>
  <si>
    <t>(7208;7209;7214;7215) Betonline 2025-12-10/2025-12-10</t>
  </si>
  <si>
    <t>(7208;7209;7214;7215) Betonline 2025-12-11/2025-12-11</t>
  </si>
  <si>
    <t>(7208;7209;7214;7215) Betonline 2025-12-12/2025-12-12</t>
  </si>
  <si>
    <t>(7208;7209;7214;7215) Betonline 2025-12-13/2025-12-13</t>
  </si>
  <si>
    <t>(7208;7209;7214;7215) Betonline 2025-12-14/2025-12-14</t>
  </si>
  <si>
    <t>(7209;7215) Betonline 2025-12-01/2025-12-14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</si>
</sst>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9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0"/>
      <color rgb="FF000000"/>
      <name val="Helvetica Neue"/>
      <family val="2"/>
    </font>
    <font>
      <sz val="12"/>
      <color rgb="FF000000"/>
      <name val="Calibri"/>
      <family val="2"/>
    </font>
    <font>
      <sz val="10"/>
      <color theme="1"/>
      <name val="Helvetica Neue"/>
      <family val="2"/>
    </font>
    <font>
      <b/>
      <sz val="10"/>
      <color theme="1"/>
      <name val="Helvetica Neue"/>
      <family val="2"/>
    </font>
    <font>
      <b/>
      <sz val="11.5"/>
      <color rgb="FF222222"/>
      <name val="Aptos Narrow"/>
      <scheme val="minor"/>
    </font>
    <font>
      <sz val="10"/>
      <color theme="1"/>
      <name val="Helvetica"/>
      <family val="2"/>
    </font>
    <font>
      <b/>
      <sz val="10"/>
      <color rgb="FF000000"/>
      <name val="Helvetica Neue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3" fontId="2" fillId="0" borderId="0" xfId="0" applyNumberFormat="1" applyFont="1"/>
    <xf numFmtId="0" fontId="2" fillId="0" borderId="0" xfId="0" applyFont="1"/>
    <xf numFmtId="3" fontId="1" fillId="0" borderId="0" xfId="0" applyNumberFormat="1" applyFont="1"/>
    <xf numFmtId="0" fontId="3" fillId="0" borderId="0" xfId="0" applyFont="1"/>
    <xf numFmtId="0" fontId="3" fillId="0" borderId="0" xfId="0" applyFont="1" applyAlignment="1">
      <alignment horizontal="right"/>
    </xf>
    <xf numFmtId="0" fontId="4" fillId="0" borderId="0" xfId="0" applyFont="1"/>
    <xf numFmtId="0" fontId="4" fillId="0" borderId="0" xfId="0" applyFont="1" applyAlignment="1">
      <alignment horizontal="left"/>
    </xf>
    <xf numFmtId="0" fontId="5" fillId="2" borderId="0" xfId="0" applyFont="1" applyFill="1"/>
    <xf numFmtId="0" fontId="6" fillId="0" borderId="0" xfId="0" applyFont="1"/>
    <xf numFmtId="3" fontId="0" fillId="0" borderId="0" xfId="0" applyNumberForma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4" fontId="4" fillId="0" borderId="0" xfId="0" applyNumberFormat="1" applyFont="1" applyAlignment="1">
      <alignment horizontal="center" vertical="center"/>
    </xf>
    <xf numFmtId="8" fontId="0" fillId="0" borderId="0" xfId="0" applyNumberFormat="1"/>
    <xf numFmtId="8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8" fontId="5" fillId="2" borderId="0" xfId="0" applyNumberFormat="1" applyFont="1" applyFill="1" applyAlignment="1">
      <alignment horizontal="center"/>
    </xf>
    <xf numFmtId="0" fontId="7" fillId="0" borderId="0" xfId="0" applyFont="1" applyAlignment="1">
      <alignment horizontal="left"/>
    </xf>
    <xf numFmtId="0" fontId="7" fillId="0" borderId="0" xfId="0" applyFont="1"/>
    <xf numFmtId="0" fontId="5" fillId="2" borderId="0" xfId="0" applyFont="1" applyFill="1" applyAlignment="1">
      <alignment horizontal="center"/>
    </xf>
    <xf numFmtId="0" fontId="5" fillId="0" borderId="0" xfId="0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0867C-C923-C744-A622-7742787C37C2}">
  <dimension ref="A1:K97"/>
  <sheetViews>
    <sheetView tabSelected="1" workbookViewId="0">
      <selection activeCell="F101" sqref="F101"/>
    </sheetView>
  </sheetViews>
  <sheetFormatPr baseColWidth="10" defaultRowHeight="15" x14ac:dyDescent="0.2"/>
  <cols>
    <col min="1" max="1" width="13.1640625" customWidth="1"/>
    <col min="2" max="2" width="24.5" customWidth="1"/>
    <col min="3" max="3" width="16.33203125" customWidth="1"/>
    <col min="4" max="4" width="39.1640625" customWidth="1"/>
    <col min="5" max="5" width="59.1640625" customWidth="1"/>
    <col min="6" max="6" width="18.5" customWidth="1"/>
    <col min="7" max="7" width="19" customWidth="1"/>
  </cols>
  <sheetData>
    <row r="1" spans="1:11" x14ac:dyDescent="0.2">
      <c r="A1" s="1" t="s">
        <v>196</v>
      </c>
      <c r="B1" s="1"/>
      <c r="C1" s="1"/>
      <c r="D1" s="1"/>
      <c r="E1" s="3"/>
      <c r="F1" s="3"/>
      <c r="G1" s="3"/>
      <c r="H1" s="3"/>
      <c r="I1" s="3"/>
      <c r="J1" s="3"/>
      <c r="K1" s="3"/>
    </row>
    <row r="2" spans="1:11" x14ac:dyDescent="0.2">
      <c r="A2" s="1" t="s">
        <v>0</v>
      </c>
      <c r="B2" s="1"/>
      <c r="C2" s="1"/>
      <c r="D2" s="1"/>
      <c r="E2" s="2"/>
      <c r="F2" s="2"/>
      <c r="G2" s="2"/>
      <c r="H2" s="2"/>
      <c r="I2" s="2"/>
      <c r="J2" s="2"/>
      <c r="K2" s="2"/>
    </row>
    <row r="3" spans="1:11" x14ac:dyDescent="0.2">
      <c r="A3" s="1" t="s">
        <v>113</v>
      </c>
      <c r="B3" s="1"/>
      <c r="C3" s="1"/>
      <c r="D3" s="1"/>
      <c r="E3" s="2"/>
      <c r="F3" s="2"/>
      <c r="G3" s="2"/>
      <c r="H3" s="2"/>
      <c r="I3" s="2"/>
      <c r="J3" s="2"/>
      <c r="K3" s="2"/>
    </row>
    <row r="4" spans="1:11" x14ac:dyDescent="0.2">
      <c r="A4" s="5" t="s">
        <v>2</v>
      </c>
      <c r="B4" s="5"/>
      <c r="C4" s="5"/>
      <c r="D4" s="5"/>
      <c r="E4" s="3"/>
      <c r="F4" s="3"/>
      <c r="G4" s="3"/>
      <c r="H4" s="3"/>
      <c r="I4" s="3"/>
      <c r="J4" s="3"/>
      <c r="K4" s="3"/>
    </row>
    <row r="5" spans="1:11" x14ac:dyDescent="0.2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6" t="s">
        <v>8</v>
      </c>
      <c r="G5" s="6"/>
      <c r="H5" s="6"/>
      <c r="I5" s="6"/>
      <c r="J5" s="6"/>
      <c r="K5" s="6"/>
    </row>
    <row r="6" spans="1:11" x14ac:dyDescent="0.2">
      <c r="A6" s="8" t="s">
        <v>138</v>
      </c>
      <c r="B6" s="7" t="s">
        <v>139</v>
      </c>
      <c r="C6" s="7" t="s">
        <v>138</v>
      </c>
      <c r="D6" s="7" t="s">
        <v>207</v>
      </c>
      <c r="E6" s="3" t="s">
        <v>9</v>
      </c>
      <c r="F6" s="3">
        <v>53333</v>
      </c>
      <c r="G6" s="3"/>
      <c r="H6" s="3"/>
    </row>
    <row r="7" spans="1:11" x14ac:dyDescent="0.2">
      <c r="A7" s="8" t="s">
        <v>138</v>
      </c>
      <c r="B7" s="7" t="s">
        <v>139</v>
      </c>
      <c r="C7" s="7" t="s">
        <v>138</v>
      </c>
      <c r="D7" s="7" t="s">
        <v>207</v>
      </c>
      <c r="E7" s="3" t="s">
        <v>24</v>
      </c>
      <c r="F7" s="3">
        <v>50828</v>
      </c>
      <c r="G7" s="3"/>
      <c r="H7" s="3"/>
    </row>
    <row r="8" spans="1:11" x14ac:dyDescent="0.2">
      <c r="A8" s="8" t="s">
        <v>138</v>
      </c>
      <c r="B8" s="7" t="s">
        <v>139</v>
      </c>
      <c r="C8" s="7" t="s">
        <v>138</v>
      </c>
      <c r="D8" s="7" t="s">
        <v>207</v>
      </c>
      <c r="E8" s="3" t="s">
        <v>22</v>
      </c>
      <c r="F8" s="3">
        <v>46234</v>
      </c>
      <c r="G8" s="3"/>
      <c r="H8" s="3"/>
    </row>
    <row r="9" spans="1:11" x14ac:dyDescent="0.2">
      <c r="A9" s="8" t="s">
        <v>138</v>
      </c>
      <c r="B9" s="7" t="s">
        <v>139</v>
      </c>
      <c r="C9" s="7" t="s">
        <v>138</v>
      </c>
      <c r="D9" s="7" t="s">
        <v>207</v>
      </c>
      <c r="E9" s="3" t="s">
        <v>13</v>
      </c>
      <c r="F9" s="3">
        <v>43635</v>
      </c>
      <c r="G9" s="3"/>
      <c r="H9" s="3"/>
    </row>
    <row r="10" spans="1:11" x14ac:dyDescent="0.2">
      <c r="A10" s="20" t="s">
        <v>135</v>
      </c>
      <c r="B10" s="21" t="s">
        <v>136</v>
      </c>
      <c r="C10" s="21" t="s">
        <v>137</v>
      </c>
      <c r="D10" s="7" t="s">
        <v>206</v>
      </c>
      <c r="E10" s="3" t="s">
        <v>114</v>
      </c>
      <c r="F10" s="3">
        <v>41734</v>
      </c>
      <c r="G10" s="3"/>
      <c r="H10" s="3"/>
    </row>
    <row r="11" spans="1:11" x14ac:dyDescent="0.2">
      <c r="A11" s="8" t="s">
        <v>138</v>
      </c>
      <c r="B11" s="7" t="s">
        <v>139</v>
      </c>
      <c r="C11" s="7" t="s">
        <v>138</v>
      </c>
      <c r="D11" s="7" t="s">
        <v>207</v>
      </c>
      <c r="E11" s="3" t="s">
        <v>16</v>
      </c>
      <c r="F11" s="3">
        <v>40377</v>
      </c>
      <c r="G11" s="3"/>
      <c r="H11" s="3"/>
    </row>
    <row r="12" spans="1:11" x14ac:dyDescent="0.2">
      <c r="A12" s="20" t="s">
        <v>135</v>
      </c>
      <c r="B12" s="21" t="s">
        <v>136</v>
      </c>
      <c r="C12" s="21" t="s">
        <v>137</v>
      </c>
      <c r="D12" s="7" t="s">
        <v>206</v>
      </c>
      <c r="E12" s="3" t="s">
        <v>115</v>
      </c>
      <c r="F12" s="3">
        <v>39718</v>
      </c>
      <c r="G12" s="3"/>
      <c r="H12" s="3"/>
    </row>
    <row r="13" spans="1:11" x14ac:dyDescent="0.2">
      <c r="A13" s="20" t="s">
        <v>135</v>
      </c>
      <c r="B13" s="21" t="s">
        <v>136</v>
      </c>
      <c r="C13" s="21" t="s">
        <v>137</v>
      </c>
      <c r="D13" s="7" t="s">
        <v>206</v>
      </c>
      <c r="E13" s="3" t="s">
        <v>116</v>
      </c>
      <c r="F13" s="3">
        <v>38116</v>
      </c>
      <c r="G13" s="3"/>
      <c r="H13" s="3"/>
    </row>
    <row r="14" spans="1:11" x14ac:dyDescent="0.2">
      <c r="A14" s="8" t="s">
        <v>138</v>
      </c>
      <c r="B14" s="7" t="s">
        <v>139</v>
      </c>
      <c r="C14" s="7" t="s">
        <v>138</v>
      </c>
      <c r="D14" s="7" t="s">
        <v>207</v>
      </c>
      <c r="E14" s="3" t="s">
        <v>19</v>
      </c>
      <c r="F14" s="3">
        <v>35371</v>
      </c>
      <c r="G14" s="3"/>
      <c r="H14" s="3"/>
    </row>
    <row r="15" spans="1:11" x14ac:dyDescent="0.2">
      <c r="A15" s="8" t="s">
        <v>138</v>
      </c>
      <c r="B15" s="7" t="s">
        <v>139</v>
      </c>
      <c r="C15" s="7" t="s">
        <v>138</v>
      </c>
      <c r="D15" s="7" t="s">
        <v>207</v>
      </c>
      <c r="E15" s="3" t="s">
        <v>11</v>
      </c>
      <c r="F15" s="3">
        <v>33477</v>
      </c>
      <c r="G15" s="3"/>
      <c r="H15" s="3"/>
      <c r="I15" s="3"/>
    </row>
    <row r="16" spans="1:11" x14ac:dyDescent="0.2">
      <c r="A16" s="20" t="s">
        <v>135</v>
      </c>
      <c r="B16" s="21" t="s">
        <v>136</v>
      </c>
      <c r="C16" s="21" t="s">
        <v>137</v>
      </c>
      <c r="D16" s="7" t="s">
        <v>206</v>
      </c>
      <c r="E16" s="3" t="s">
        <v>117</v>
      </c>
      <c r="F16" s="3">
        <v>30751</v>
      </c>
      <c r="G16" s="3"/>
      <c r="H16" s="3"/>
    </row>
    <row r="17" spans="1:10" x14ac:dyDescent="0.2">
      <c r="A17" s="8" t="s">
        <v>138</v>
      </c>
      <c r="B17" s="7" t="s">
        <v>139</v>
      </c>
      <c r="C17" s="7" t="s">
        <v>138</v>
      </c>
      <c r="D17" s="7" t="s">
        <v>207</v>
      </c>
      <c r="E17" s="3" t="s">
        <v>12</v>
      </c>
      <c r="F17" s="3">
        <v>27908</v>
      </c>
      <c r="G17" s="3"/>
      <c r="H17" s="3"/>
    </row>
    <row r="18" spans="1:10" x14ac:dyDescent="0.2">
      <c r="A18" s="20" t="s">
        <v>135</v>
      </c>
      <c r="B18" s="21" t="s">
        <v>136</v>
      </c>
      <c r="C18" s="21" t="s">
        <v>137</v>
      </c>
      <c r="D18" s="7" t="s">
        <v>206</v>
      </c>
      <c r="E18" s="3" t="s">
        <v>118</v>
      </c>
      <c r="F18" s="3">
        <v>27199</v>
      </c>
      <c r="G18" s="3"/>
      <c r="H18" s="3"/>
    </row>
    <row r="19" spans="1:10" x14ac:dyDescent="0.2">
      <c r="A19" s="8" t="s">
        <v>138</v>
      </c>
      <c r="B19" s="7" t="s">
        <v>139</v>
      </c>
      <c r="C19" s="7" t="s">
        <v>138</v>
      </c>
      <c r="D19" s="7" t="s">
        <v>207</v>
      </c>
      <c r="E19" s="3" t="s">
        <v>25</v>
      </c>
      <c r="F19" s="3">
        <v>25590</v>
      </c>
      <c r="G19" s="3"/>
      <c r="H19" s="3"/>
    </row>
    <row r="20" spans="1:10" x14ac:dyDescent="0.2">
      <c r="A20" s="20" t="s">
        <v>135</v>
      </c>
      <c r="B20" s="21" t="s">
        <v>136</v>
      </c>
      <c r="C20" s="21" t="s">
        <v>137</v>
      </c>
      <c r="D20" s="7" t="s">
        <v>206</v>
      </c>
      <c r="E20" s="3" t="s">
        <v>119</v>
      </c>
      <c r="F20" s="3">
        <v>25467</v>
      </c>
      <c r="G20" s="3"/>
      <c r="H20" s="3"/>
    </row>
    <row r="21" spans="1:10" x14ac:dyDescent="0.2">
      <c r="A21" s="20" t="s">
        <v>135</v>
      </c>
      <c r="B21" s="21" t="s">
        <v>136</v>
      </c>
      <c r="C21" s="21" t="s">
        <v>137</v>
      </c>
      <c r="D21" s="7" t="s">
        <v>206</v>
      </c>
      <c r="E21" s="3" t="s">
        <v>121</v>
      </c>
      <c r="F21" s="3">
        <v>23843</v>
      </c>
      <c r="G21" s="3"/>
      <c r="H21" s="3"/>
    </row>
    <row r="22" spans="1:10" x14ac:dyDescent="0.2">
      <c r="A22" s="8" t="s">
        <v>138</v>
      </c>
      <c r="B22" s="7" t="s">
        <v>139</v>
      </c>
      <c r="C22" s="7" t="s">
        <v>138</v>
      </c>
      <c r="D22" s="7" t="s">
        <v>207</v>
      </c>
      <c r="E22" s="3" t="s">
        <v>14</v>
      </c>
      <c r="F22" s="3">
        <v>22731</v>
      </c>
      <c r="G22" s="3"/>
      <c r="H22" s="3"/>
    </row>
    <row r="23" spans="1:10" x14ac:dyDescent="0.2">
      <c r="A23" s="20" t="s">
        <v>135</v>
      </c>
      <c r="B23" s="21" t="s">
        <v>136</v>
      </c>
      <c r="C23" s="21" t="s">
        <v>137</v>
      </c>
      <c r="D23" s="7" t="s">
        <v>206</v>
      </c>
      <c r="E23" s="3" t="s">
        <v>120</v>
      </c>
      <c r="F23" s="3">
        <v>22161</v>
      </c>
      <c r="G23" s="3"/>
      <c r="H23" s="3"/>
      <c r="J23" s="7"/>
    </row>
    <row r="24" spans="1:10" x14ac:dyDescent="0.2">
      <c r="A24" s="8" t="s">
        <v>138</v>
      </c>
      <c r="B24" s="7" t="s">
        <v>139</v>
      </c>
      <c r="C24" s="7" t="s">
        <v>138</v>
      </c>
      <c r="D24" s="7" t="s">
        <v>207</v>
      </c>
      <c r="E24" s="3" t="s">
        <v>36</v>
      </c>
      <c r="F24" s="3">
        <v>20698</v>
      </c>
      <c r="G24" s="7"/>
      <c r="H24" s="7"/>
    </row>
    <row r="25" spans="1:10" x14ac:dyDescent="0.2">
      <c r="A25" s="20" t="s">
        <v>135</v>
      </c>
      <c r="B25" s="21" t="s">
        <v>136</v>
      </c>
      <c r="C25" s="21" t="s">
        <v>137</v>
      </c>
      <c r="D25" s="7" t="s">
        <v>206</v>
      </c>
      <c r="E25" s="3" t="s">
        <v>122</v>
      </c>
      <c r="F25" s="3">
        <v>19670</v>
      </c>
      <c r="G25" s="3"/>
      <c r="H25" s="3"/>
    </row>
    <row r="26" spans="1:10" x14ac:dyDescent="0.2">
      <c r="A26" s="8" t="s">
        <v>138</v>
      </c>
      <c r="B26" s="7" t="s">
        <v>139</v>
      </c>
      <c r="C26" s="7" t="s">
        <v>138</v>
      </c>
      <c r="D26" s="7" t="s">
        <v>207</v>
      </c>
      <c r="E26" s="3" t="s">
        <v>10</v>
      </c>
      <c r="F26" s="3">
        <v>17774</v>
      </c>
      <c r="G26" s="3"/>
      <c r="H26" s="3"/>
    </row>
    <row r="27" spans="1:10" x14ac:dyDescent="0.2">
      <c r="A27" s="8" t="s">
        <v>138</v>
      </c>
      <c r="B27" s="7" t="s">
        <v>139</v>
      </c>
      <c r="C27" s="7" t="s">
        <v>138</v>
      </c>
      <c r="D27" s="7" t="s">
        <v>207</v>
      </c>
      <c r="E27" s="3" t="s">
        <v>38</v>
      </c>
      <c r="F27" s="3">
        <v>17488</v>
      </c>
      <c r="G27" s="3"/>
      <c r="H27" s="3"/>
    </row>
    <row r="28" spans="1:10" x14ac:dyDescent="0.2">
      <c r="A28" s="20" t="s">
        <v>135</v>
      </c>
      <c r="B28" s="21" t="s">
        <v>136</v>
      </c>
      <c r="C28" s="21" t="s">
        <v>137</v>
      </c>
      <c r="D28" s="7" t="s">
        <v>206</v>
      </c>
      <c r="E28" s="3" t="s">
        <v>123</v>
      </c>
      <c r="F28" s="3">
        <v>17460</v>
      </c>
      <c r="G28" s="3"/>
      <c r="H28" s="3"/>
    </row>
    <row r="29" spans="1:10" x14ac:dyDescent="0.2">
      <c r="A29" s="8" t="s">
        <v>138</v>
      </c>
      <c r="B29" s="7" t="s">
        <v>139</v>
      </c>
      <c r="C29" s="7" t="s">
        <v>138</v>
      </c>
      <c r="D29" s="7" t="s">
        <v>207</v>
      </c>
      <c r="E29" s="3" t="s">
        <v>31</v>
      </c>
      <c r="F29" s="3">
        <v>17177</v>
      </c>
      <c r="G29" s="3"/>
      <c r="H29" s="3"/>
    </row>
    <row r="30" spans="1:10" x14ac:dyDescent="0.2">
      <c r="A30" s="20" t="s">
        <v>135</v>
      </c>
      <c r="B30" s="21" t="s">
        <v>136</v>
      </c>
      <c r="C30" s="21" t="s">
        <v>137</v>
      </c>
      <c r="D30" s="7" t="s">
        <v>206</v>
      </c>
      <c r="E30" s="3" t="s">
        <v>124</v>
      </c>
      <c r="F30" s="3">
        <v>16294</v>
      </c>
      <c r="G30" s="3"/>
      <c r="H30" s="3"/>
    </row>
    <row r="31" spans="1:10" x14ac:dyDescent="0.2">
      <c r="A31" s="8" t="s">
        <v>138</v>
      </c>
      <c r="B31" s="7" t="s">
        <v>139</v>
      </c>
      <c r="C31" s="7" t="s">
        <v>138</v>
      </c>
      <c r="D31" s="7" t="s">
        <v>207</v>
      </c>
      <c r="E31" s="3" t="s">
        <v>26</v>
      </c>
      <c r="F31" s="3">
        <v>16015</v>
      </c>
      <c r="G31" s="3"/>
      <c r="H31" s="3"/>
    </row>
    <row r="32" spans="1:10" x14ac:dyDescent="0.2">
      <c r="A32" s="8" t="s">
        <v>138</v>
      </c>
      <c r="B32" s="7" t="s">
        <v>139</v>
      </c>
      <c r="C32" s="7" t="s">
        <v>138</v>
      </c>
      <c r="D32" s="7" t="s">
        <v>207</v>
      </c>
      <c r="E32" s="3" t="s">
        <v>20</v>
      </c>
      <c r="F32" s="3">
        <v>15399</v>
      </c>
      <c r="G32" s="3"/>
      <c r="H32" s="3"/>
    </row>
    <row r="33" spans="1:8" x14ac:dyDescent="0.2">
      <c r="A33" s="8" t="s">
        <v>138</v>
      </c>
      <c r="B33" s="7" t="s">
        <v>139</v>
      </c>
      <c r="C33" s="7" t="s">
        <v>138</v>
      </c>
      <c r="D33" s="7" t="s">
        <v>207</v>
      </c>
      <c r="E33" s="3" t="s">
        <v>49</v>
      </c>
      <c r="F33" s="3">
        <v>14902</v>
      </c>
      <c r="G33" s="3"/>
      <c r="H33" s="3"/>
    </row>
    <row r="34" spans="1:8" x14ac:dyDescent="0.2">
      <c r="A34" s="8" t="s">
        <v>138</v>
      </c>
      <c r="B34" s="7" t="s">
        <v>139</v>
      </c>
      <c r="C34" s="7" t="s">
        <v>138</v>
      </c>
      <c r="D34" s="7" t="s">
        <v>207</v>
      </c>
      <c r="E34" s="3" t="s">
        <v>21</v>
      </c>
      <c r="F34" s="3">
        <v>13992</v>
      </c>
      <c r="G34" s="3"/>
      <c r="H34" s="3"/>
    </row>
    <row r="35" spans="1:8" x14ac:dyDescent="0.2">
      <c r="A35" s="8" t="s">
        <v>138</v>
      </c>
      <c r="B35" s="7" t="s">
        <v>139</v>
      </c>
      <c r="C35" s="7" t="s">
        <v>138</v>
      </c>
      <c r="D35" s="7" t="s">
        <v>207</v>
      </c>
      <c r="E35" s="3" t="s">
        <v>18</v>
      </c>
      <c r="F35" s="3">
        <v>12787</v>
      </c>
      <c r="G35" s="3"/>
      <c r="H35" s="3"/>
    </row>
    <row r="36" spans="1:8" x14ac:dyDescent="0.2">
      <c r="A36" s="20" t="s">
        <v>135</v>
      </c>
      <c r="B36" s="21" t="s">
        <v>136</v>
      </c>
      <c r="C36" s="21" t="s">
        <v>137</v>
      </c>
      <c r="D36" s="7" t="s">
        <v>206</v>
      </c>
      <c r="E36" s="3" t="s">
        <v>125</v>
      </c>
      <c r="F36" s="3">
        <v>12494</v>
      </c>
      <c r="G36" s="3"/>
      <c r="H36" s="3"/>
    </row>
    <row r="37" spans="1:8" x14ac:dyDescent="0.2">
      <c r="A37" s="8" t="s">
        <v>138</v>
      </c>
      <c r="B37" s="7" t="s">
        <v>139</v>
      </c>
      <c r="C37" s="7" t="s">
        <v>138</v>
      </c>
      <c r="D37" s="7" t="s">
        <v>207</v>
      </c>
      <c r="E37" s="3" t="s">
        <v>39</v>
      </c>
      <c r="F37" s="3">
        <v>12396</v>
      </c>
      <c r="G37" s="3"/>
      <c r="H37" s="3"/>
    </row>
    <row r="38" spans="1:8" x14ac:dyDescent="0.2">
      <c r="A38" s="8" t="s">
        <v>138</v>
      </c>
      <c r="B38" s="7" t="s">
        <v>139</v>
      </c>
      <c r="C38" s="7" t="s">
        <v>138</v>
      </c>
      <c r="D38" s="7" t="s">
        <v>207</v>
      </c>
      <c r="E38" s="3" t="s">
        <v>32</v>
      </c>
      <c r="F38" s="3">
        <v>11533</v>
      </c>
      <c r="G38" s="3"/>
      <c r="H38" s="3"/>
    </row>
    <row r="39" spans="1:8" x14ac:dyDescent="0.2">
      <c r="A39" s="8" t="s">
        <v>138</v>
      </c>
      <c r="B39" s="7" t="s">
        <v>139</v>
      </c>
      <c r="C39" s="7" t="s">
        <v>138</v>
      </c>
      <c r="D39" s="7" t="s">
        <v>207</v>
      </c>
      <c r="E39" s="3" t="s">
        <v>51</v>
      </c>
      <c r="F39" s="3">
        <v>11361</v>
      </c>
      <c r="G39" s="3"/>
      <c r="H39" s="3"/>
    </row>
    <row r="40" spans="1:8" x14ac:dyDescent="0.2">
      <c r="A40" s="8" t="s">
        <v>138</v>
      </c>
      <c r="B40" s="7" t="s">
        <v>139</v>
      </c>
      <c r="C40" s="7" t="s">
        <v>138</v>
      </c>
      <c r="D40" s="7" t="s">
        <v>207</v>
      </c>
      <c r="E40" s="3" t="s">
        <v>60</v>
      </c>
      <c r="F40" s="3">
        <v>10727</v>
      </c>
      <c r="G40" s="3"/>
      <c r="H40" s="3"/>
    </row>
    <row r="41" spans="1:8" x14ac:dyDescent="0.2">
      <c r="A41" s="8" t="s">
        <v>138</v>
      </c>
      <c r="B41" s="7" t="s">
        <v>139</v>
      </c>
      <c r="C41" s="7" t="s">
        <v>138</v>
      </c>
      <c r="D41" s="7" t="s">
        <v>207</v>
      </c>
      <c r="E41" s="3" t="s">
        <v>23</v>
      </c>
      <c r="F41" s="3">
        <v>10234</v>
      </c>
      <c r="G41" s="3"/>
      <c r="H41" s="3"/>
    </row>
    <row r="42" spans="1:8" x14ac:dyDescent="0.2">
      <c r="A42" s="8" t="s">
        <v>138</v>
      </c>
      <c r="B42" s="7" t="s">
        <v>139</v>
      </c>
      <c r="C42" s="7" t="s">
        <v>138</v>
      </c>
      <c r="D42" s="7" t="s">
        <v>207</v>
      </c>
      <c r="E42" s="3" t="s">
        <v>37</v>
      </c>
      <c r="F42" s="3">
        <v>9910</v>
      </c>
      <c r="G42" s="3"/>
      <c r="H42" s="3"/>
    </row>
    <row r="43" spans="1:8" x14ac:dyDescent="0.2">
      <c r="A43" s="8" t="s">
        <v>138</v>
      </c>
      <c r="B43" s="7" t="s">
        <v>139</v>
      </c>
      <c r="C43" s="7" t="s">
        <v>138</v>
      </c>
      <c r="D43" s="7" t="s">
        <v>207</v>
      </c>
      <c r="E43" s="3" t="s">
        <v>35</v>
      </c>
      <c r="F43" s="3">
        <v>9413</v>
      </c>
      <c r="G43" s="3"/>
      <c r="H43" s="3"/>
    </row>
    <row r="44" spans="1:8" x14ac:dyDescent="0.2">
      <c r="A44" s="8" t="s">
        <v>138</v>
      </c>
      <c r="B44" s="7" t="s">
        <v>139</v>
      </c>
      <c r="C44" s="7" t="s">
        <v>138</v>
      </c>
      <c r="D44" s="7" t="s">
        <v>207</v>
      </c>
      <c r="E44" s="3" t="s">
        <v>68</v>
      </c>
      <c r="F44" s="3">
        <v>9245</v>
      </c>
      <c r="G44" s="3"/>
      <c r="H44" s="3"/>
    </row>
    <row r="45" spans="1:8" x14ac:dyDescent="0.2">
      <c r="A45" s="20" t="s">
        <v>135</v>
      </c>
      <c r="B45" s="21" t="s">
        <v>136</v>
      </c>
      <c r="C45" s="21" t="s">
        <v>137</v>
      </c>
      <c r="D45" s="7" t="s">
        <v>206</v>
      </c>
      <c r="E45" s="3" t="s">
        <v>126</v>
      </c>
      <c r="F45" s="3">
        <v>9044</v>
      </c>
      <c r="G45" s="3"/>
      <c r="H45" s="3"/>
    </row>
    <row r="46" spans="1:8" x14ac:dyDescent="0.2">
      <c r="A46" s="8" t="s">
        <v>138</v>
      </c>
      <c r="B46" s="7" t="s">
        <v>139</v>
      </c>
      <c r="C46" s="7" t="s">
        <v>138</v>
      </c>
      <c r="D46" s="7" t="s">
        <v>207</v>
      </c>
      <c r="E46" s="3" t="s">
        <v>17</v>
      </c>
      <c r="F46" s="3">
        <v>8954</v>
      </c>
      <c r="G46" s="3"/>
      <c r="H46" s="3"/>
    </row>
    <row r="47" spans="1:8" x14ac:dyDescent="0.2">
      <c r="A47" s="20" t="s">
        <v>135</v>
      </c>
      <c r="B47" s="21" t="s">
        <v>136</v>
      </c>
      <c r="C47" s="21" t="s">
        <v>137</v>
      </c>
      <c r="D47" s="7" t="s">
        <v>206</v>
      </c>
      <c r="E47" s="3" t="s">
        <v>127</v>
      </c>
      <c r="F47" s="3">
        <v>8205</v>
      </c>
      <c r="G47" s="3"/>
      <c r="H47" s="3"/>
    </row>
    <row r="48" spans="1:8" x14ac:dyDescent="0.2">
      <c r="A48" s="8" t="s">
        <v>138</v>
      </c>
      <c r="B48" s="7" t="s">
        <v>139</v>
      </c>
      <c r="C48" s="7" t="s">
        <v>138</v>
      </c>
      <c r="D48" s="7" t="s">
        <v>207</v>
      </c>
      <c r="E48" s="3" t="s">
        <v>33</v>
      </c>
      <c r="F48" s="3">
        <v>7819</v>
      </c>
      <c r="G48" s="3"/>
      <c r="H48" s="3"/>
    </row>
    <row r="49" spans="1:8" x14ac:dyDescent="0.2">
      <c r="A49" s="8" t="s">
        <v>138</v>
      </c>
      <c r="B49" s="7" t="s">
        <v>139</v>
      </c>
      <c r="C49" s="7" t="s">
        <v>138</v>
      </c>
      <c r="D49" s="7" t="s">
        <v>207</v>
      </c>
      <c r="E49" s="3" t="s">
        <v>30</v>
      </c>
      <c r="F49" s="3">
        <v>7388</v>
      </c>
      <c r="G49" s="3"/>
      <c r="H49" s="3"/>
    </row>
    <row r="50" spans="1:8" x14ac:dyDescent="0.2">
      <c r="A50" s="8" t="s">
        <v>138</v>
      </c>
      <c r="B50" s="7" t="s">
        <v>139</v>
      </c>
      <c r="C50" s="7" t="s">
        <v>138</v>
      </c>
      <c r="D50" s="7" t="s">
        <v>207</v>
      </c>
      <c r="E50" s="3" t="s">
        <v>44</v>
      </c>
      <c r="F50" s="3">
        <v>7296</v>
      </c>
      <c r="G50" s="3"/>
      <c r="H50" s="3"/>
    </row>
    <row r="51" spans="1:8" x14ac:dyDescent="0.2">
      <c r="A51" s="8" t="s">
        <v>138</v>
      </c>
      <c r="B51" s="7" t="s">
        <v>139</v>
      </c>
      <c r="C51" s="7" t="s">
        <v>138</v>
      </c>
      <c r="D51" s="7" t="s">
        <v>207</v>
      </c>
      <c r="E51" s="3" t="s">
        <v>61</v>
      </c>
      <c r="F51" s="3">
        <v>7073</v>
      </c>
      <c r="G51" s="3"/>
      <c r="H51" s="3"/>
    </row>
    <row r="52" spans="1:8" x14ac:dyDescent="0.2">
      <c r="A52" s="8" t="s">
        <v>138</v>
      </c>
      <c r="B52" s="7" t="s">
        <v>139</v>
      </c>
      <c r="C52" s="7" t="s">
        <v>138</v>
      </c>
      <c r="D52" s="7" t="s">
        <v>207</v>
      </c>
      <c r="E52" s="3" t="s">
        <v>43</v>
      </c>
      <c r="F52" s="3">
        <v>6761</v>
      </c>
      <c r="G52" s="3"/>
      <c r="H52" s="3"/>
    </row>
    <row r="53" spans="1:8" x14ac:dyDescent="0.2">
      <c r="A53" s="8" t="s">
        <v>138</v>
      </c>
      <c r="B53" s="7" t="s">
        <v>139</v>
      </c>
      <c r="C53" s="7" t="s">
        <v>138</v>
      </c>
      <c r="D53" s="7" t="s">
        <v>207</v>
      </c>
      <c r="E53" s="3" t="s">
        <v>45</v>
      </c>
      <c r="F53" s="3">
        <v>6576</v>
      </c>
      <c r="G53" s="3"/>
      <c r="H53" s="3"/>
    </row>
    <row r="54" spans="1:8" x14ac:dyDescent="0.2">
      <c r="A54" s="8" t="s">
        <v>138</v>
      </c>
      <c r="B54" s="7" t="s">
        <v>139</v>
      </c>
      <c r="C54" s="7" t="s">
        <v>138</v>
      </c>
      <c r="D54" s="7" t="s">
        <v>207</v>
      </c>
      <c r="E54" s="3" t="s">
        <v>54</v>
      </c>
      <c r="F54" s="3">
        <v>6297</v>
      </c>
      <c r="G54" s="3"/>
      <c r="H54" s="3"/>
    </row>
    <row r="55" spans="1:8" x14ac:dyDescent="0.2">
      <c r="A55" s="20" t="s">
        <v>135</v>
      </c>
      <c r="B55" s="21" t="s">
        <v>136</v>
      </c>
      <c r="C55" s="21" t="s">
        <v>137</v>
      </c>
      <c r="D55" s="7" t="s">
        <v>206</v>
      </c>
      <c r="E55" s="3" t="s">
        <v>128</v>
      </c>
      <c r="F55" s="3">
        <v>5795</v>
      </c>
      <c r="G55" s="3"/>
      <c r="H55" s="3"/>
    </row>
    <row r="56" spans="1:8" x14ac:dyDescent="0.2">
      <c r="A56" s="8" t="s">
        <v>138</v>
      </c>
      <c r="B56" s="7" t="s">
        <v>139</v>
      </c>
      <c r="C56" s="7" t="s">
        <v>138</v>
      </c>
      <c r="D56" s="7" t="s">
        <v>207</v>
      </c>
      <c r="E56" s="3" t="s">
        <v>46</v>
      </c>
      <c r="F56" s="3">
        <v>5698</v>
      </c>
      <c r="G56" s="3"/>
      <c r="H56" s="3"/>
    </row>
    <row r="57" spans="1:8" x14ac:dyDescent="0.2">
      <c r="A57" s="20" t="s">
        <v>135</v>
      </c>
      <c r="B57" s="21" t="s">
        <v>136</v>
      </c>
      <c r="C57" s="21" t="s">
        <v>137</v>
      </c>
      <c r="D57" s="7" t="s">
        <v>206</v>
      </c>
      <c r="E57" s="3" t="s">
        <v>129</v>
      </c>
      <c r="F57" s="3">
        <v>5002</v>
      </c>
      <c r="G57" s="3"/>
      <c r="H57" s="3"/>
    </row>
    <row r="58" spans="1:8" x14ac:dyDescent="0.2">
      <c r="A58" s="8" t="s">
        <v>138</v>
      </c>
      <c r="B58" s="7" t="s">
        <v>139</v>
      </c>
      <c r="C58" s="7" t="s">
        <v>138</v>
      </c>
      <c r="D58" s="7" t="s">
        <v>207</v>
      </c>
      <c r="E58" s="3" t="s">
        <v>50</v>
      </c>
      <c r="F58" s="3">
        <v>4857</v>
      </c>
      <c r="G58" s="3"/>
      <c r="H58" s="3"/>
    </row>
    <row r="59" spans="1:8" x14ac:dyDescent="0.2">
      <c r="A59" s="8" t="s">
        <v>138</v>
      </c>
      <c r="B59" s="7" t="s">
        <v>139</v>
      </c>
      <c r="C59" s="7" t="s">
        <v>138</v>
      </c>
      <c r="D59" s="7" t="s">
        <v>207</v>
      </c>
      <c r="E59" s="3" t="s">
        <v>40</v>
      </c>
      <c r="F59" s="3">
        <v>4482</v>
      </c>
      <c r="G59" s="3"/>
      <c r="H59" s="3"/>
    </row>
    <row r="60" spans="1:8" x14ac:dyDescent="0.2">
      <c r="A60" s="8" t="s">
        <v>138</v>
      </c>
      <c r="B60" s="7" t="s">
        <v>139</v>
      </c>
      <c r="C60" s="7" t="s">
        <v>138</v>
      </c>
      <c r="D60" s="7" t="s">
        <v>207</v>
      </c>
      <c r="E60" s="3" t="s">
        <v>29</v>
      </c>
      <c r="F60" s="3">
        <v>4342</v>
      </c>
      <c r="G60" s="3"/>
      <c r="H60" s="3"/>
    </row>
    <row r="61" spans="1:8" x14ac:dyDescent="0.2">
      <c r="A61" s="8" t="s">
        <v>138</v>
      </c>
      <c r="B61" s="7" t="s">
        <v>139</v>
      </c>
      <c r="C61" s="7" t="s">
        <v>138</v>
      </c>
      <c r="D61" s="7" t="s">
        <v>207</v>
      </c>
      <c r="E61" s="3" t="s">
        <v>74</v>
      </c>
      <c r="F61" s="3">
        <v>4283</v>
      </c>
      <c r="G61" s="3"/>
      <c r="H61" s="3"/>
    </row>
    <row r="62" spans="1:8" x14ac:dyDescent="0.2">
      <c r="A62" s="8" t="s">
        <v>138</v>
      </c>
      <c r="B62" s="7" t="s">
        <v>139</v>
      </c>
      <c r="C62" s="7" t="s">
        <v>138</v>
      </c>
      <c r="D62" s="7" t="s">
        <v>207</v>
      </c>
      <c r="E62" s="3" t="s">
        <v>58</v>
      </c>
      <c r="F62" s="3">
        <v>4217</v>
      </c>
      <c r="G62" s="3"/>
      <c r="H62" s="3"/>
    </row>
    <row r="63" spans="1:8" x14ac:dyDescent="0.2">
      <c r="A63" s="8" t="s">
        <v>138</v>
      </c>
      <c r="B63" s="7" t="s">
        <v>139</v>
      </c>
      <c r="C63" s="7" t="s">
        <v>138</v>
      </c>
      <c r="D63" s="7" t="s">
        <v>207</v>
      </c>
      <c r="E63" s="3" t="s">
        <v>76</v>
      </c>
      <c r="F63" s="3">
        <v>4184</v>
      </c>
      <c r="G63" s="3"/>
      <c r="H63" s="3"/>
    </row>
    <row r="64" spans="1:8" x14ac:dyDescent="0.2">
      <c r="A64" s="8" t="s">
        <v>138</v>
      </c>
      <c r="B64" s="7" t="s">
        <v>139</v>
      </c>
      <c r="C64" s="7" t="s">
        <v>138</v>
      </c>
      <c r="D64" s="7" t="s">
        <v>207</v>
      </c>
      <c r="E64" s="3" t="s">
        <v>15</v>
      </c>
      <c r="F64" s="3">
        <v>4114</v>
      </c>
      <c r="G64" s="3"/>
      <c r="H64" s="3"/>
    </row>
    <row r="65" spans="1:8" x14ac:dyDescent="0.2">
      <c r="A65" s="8" t="s">
        <v>138</v>
      </c>
      <c r="B65" s="7" t="s">
        <v>139</v>
      </c>
      <c r="C65" s="7" t="s">
        <v>138</v>
      </c>
      <c r="D65" s="7" t="s">
        <v>207</v>
      </c>
      <c r="E65" s="3" t="s">
        <v>52</v>
      </c>
      <c r="F65" s="3">
        <v>4109</v>
      </c>
      <c r="G65" s="3"/>
      <c r="H65" s="3"/>
    </row>
    <row r="66" spans="1:8" x14ac:dyDescent="0.2">
      <c r="A66" s="8" t="s">
        <v>138</v>
      </c>
      <c r="B66" s="7" t="s">
        <v>139</v>
      </c>
      <c r="C66" s="7" t="s">
        <v>138</v>
      </c>
      <c r="D66" s="7" t="s">
        <v>207</v>
      </c>
      <c r="E66" s="3" t="s">
        <v>70</v>
      </c>
      <c r="F66" s="3">
        <v>3986</v>
      </c>
      <c r="G66" s="3"/>
      <c r="H66" s="3"/>
    </row>
    <row r="67" spans="1:8" x14ac:dyDescent="0.2">
      <c r="A67" s="20" t="s">
        <v>135</v>
      </c>
      <c r="B67" s="21" t="s">
        <v>136</v>
      </c>
      <c r="C67" s="21" t="s">
        <v>137</v>
      </c>
      <c r="D67" s="7" t="s">
        <v>206</v>
      </c>
      <c r="E67" s="3" t="s">
        <v>130</v>
      </c>
      <c r="F67" s="3">
        <v>3940</v>
      </c>
      <c r="G67" s="3"/>
      <c r="H67" s="3"/>
    </row>
    <row r="68" spans="1:8" x14ac:dyDescent="0.2">
      <c r="A68" s="8" t="s">
        <v>138</v>
      </c>
      <c r="B68" s="7" t="s">
        <v>139</v>
      </c>
      <c r="C68" s="7" t="s">
        <v>138</v>
      </c>
      <c r="D68" s="7" t="s">
        <v>207</v>
      </c>
      <c r="E68" s="3" t="s">
        <v>65</v>
      </c>
      <c r="F68" s="3">
        <v>3905</v>
      </c>
      <c r="G68" s="3"/>
      <c r="H68" s="3"/>
    </row>
    <row r="69" spans="1:8" x14ac:dyDescent="0.2">
      <c r="A69" s="8" t="s">
        <v>138</v>
      </c>
      <c r="B69" s="7" t="s">
        <v>139</v>
      </c>
      <c r="C69" s="7" t="s">
        <v>138</v>
      </c>
      <c r="D69" s="7" t="s">
        <v>207</v>
      </c>
      <c r="E69" s="3" t="s">
        <v>41</v>
      </c>
      <c r="F69" s="3">
        <v>3862</v>
      </c>
      <c r="G69" s="3"/>
      <c r="H69" s="3"/>
    </row>
    <row r="70" spans="1:8" x14ac:dyDescent="0.2">
      <c r="A70" s="8" t="s">
        <v>138</v>
      </c>
      <c r="B70" s="7" t="s">
        <v>139</v>
      </c>
      <c r="C70" s="7" t="s">
        <v>138</v>
      </c>
      <c r="D70" s="7" t="s">
        <v>207</v>
      </c>
      <c r="E70" s="3" t="s">
        <v>64</v>
      </c>
      <c r="F70" s="3">
        <v>3839</v>
      </c>
      <c r="G70" s="3"/>
      <c r="H70" s="3"/>
    </row>
    <row r="71" spans="1:8" x14ac:dyDescent="0.2">
      <c r="A71" s="8" t="s">
        <v>138</v>
      </c>
      <c r="B71" s="7" t="s">
        <v>139</v>
      </c>
      <c r="C71" s="7" t="s">
        <v>138</v>
      </c>
      <c r="D71" s="7" t="s">
        <v>207</v>
      </c>
      <c r="E71" s="3" t="s">
        <v>67</v>
      </c>
      <c r="F71" s="3">
        <v>3783</v>
      </c>
      <c r="G71" s="3"/>
      <c r="H71" s="3"/>
    </row>
    <row r="72" spans="1:8" x14ac:dyDescent="0.2">
      <c r="A72" s="8" t="s">
        <v>138</v>
      </c>
      <c r="B72" s="7" t="s">
        <v>139</v>
      </c>
      <c r="C72" s="7" t="s">
        <v>138</v>
      </c>
      <c r="D72" s="7" t="s">
        <v>207</v>
      </c>
      <c r="E72" s="3" t="s">
        <v>56</v>
      </c>
      <c r="F72" s="3">
        <v>3720</v>
      </c>
      <c r="G72" s="3"/>
      <c r="H72" s="3"/>
    </row>
    <row r="73" spans="1:8" x14ac:dyDescent="0.2">
      <c r="A73" s="8" t="s">
        <v>138</v>
      </c>
      <c r="B73" s="7" t="s">
        <v>139</v>
      </c>
      <c r="C73" s="7" t="s">
        <v>138</v>
      </c>
      <c r="D73" s="7" t="s">
        <v>207</v>
      </c>
      <c r="E73" s="3" t="s">
        <v>71</v>
      </c>
      <c r="F73" s="3">
        <v>3616</v>
      </c>
      <c r="G73" s="3"/>
      <c r="H73" s="3"/>
    </row>
    <row r="74" spans="1:8" x14ac:dyDescent="0.2">
      <c r="A74" s="8" t="s">
        <v>138</v>
      </c>
      <c r="B74" s="7" t="s">
        <v>139</v>
      </c>
      <c r="C74" s="7" t="s">
        <v>138</v>
      </c>
      <c r="D74" s="7" t="s">
        <v>207</v>
      </c>
      <c r="E74" s="3" t="s">
        <v>53</v>
      </c>
      <c r="F74" s="3">
        <v>3440</v>
      </c>
      <c r="G74" s="3"/>
      <c r="H74" s="3"/>
    </row>
    <row r="75" spans="1:8" x14ac:dyDescent="0.2">
      <c r="A75" s="8" t="s">
        <v>138</v>
      </c>
      <c r="B75" s="7" t="s">
        <v>139</v>
      </c>
      <c r="C75" s="7" t="s">
        <v>138</v>
      </c>
      <c r="D75" s="7" t="s">
        <v>207</v>
      </c>
      <c r="E75" s="3" t="s">
        <v>59</v>
      </c>
      <c r="F75" s="3">
        <v>3375</v>
      </c>
      <c r="G75" s="3"/>
      <c r="H75" s="3"/>
    </row>
    <row r="76" spans="1:8" x14ac:dyDescent="0.2">
      <c r="A76" s="8" t="s">
        <v>138</v>
      </c>
      <c r="B76" s="7" t="s">
        <v>139</v>
      </c>
      <c r="C76" s="7" t="s">
        <v>138</v>
      </c>
      <c r="D76" s="7" t="s">
        <v>207</v>
      </c>
      <c r="E76" s="3" t="s">
        <v>73</v>
      </c>
      <c r="F76" s="3">
        <v>3223</v>
      </c>
      <c r="G76" s="3"/>
      <c r="H76" s="3"/>
    </row>
    <row r="77" spans="1:8" x14ac:dyDescent="0.2">
      <c r="A77" s="20" t="s">
        <v>135</v>
      </c>
      <c r="B77" s="21" t="s">
        <v>136</v>
      </c>
      <c r="C77" s="21" t="s">
        <v>137</v>
      </c>
      <c r="D77" s="7" t="s">
        <v>206</v>
      </c>
      <c r="E77" s="3" t="s">
        <v>131</v>
      </c>
      <c r="F77" s="3">
        <v>3095</v>
      </c>
      <c r="G77" s="3"/>
      <c r="H77" s="3"/>
    </row>
    <row r="78" spans="1:8" x14ac:dyDescent="0.2">
      <c r="A78" s="8" t="s">
        <v>138</v>
      </c>
      <c r="B78" s="7" t="s">
        <v>139</v>
      </c>
      <c r="C78" s="7" t="s">
        <v>138</v>
      </c>
      <c r="D78" s="7" t="s">
        <v>207</v>
      </c>
      <c r="E78" s="3" t="s">
        <v>75</v>
      </c>
      <c r="F78" s="3">
        <v>3041</v>
      </c>
      <c r="G78" s="3"/>
      <c r="H78" s="3"/>
    </row>
    <row r="79" spans="1:8" x14ac:dyDescent="0.2">
      <c r="A79" s="8" t="s">
        <v>138</v>
      </c>
      <c r="B79" s="7" t="s">
        <v>139</v>
      </c>
      <c r="C79" s="7" t="s">
        <v>138</v>
      </c>
      <c r="D79" s="7" t="s">
        <v>207</v>
      </c>
      <c r="E79" s="3" t="s">
        <v>78</v>
      </c>
      <c r="F79" s="3">
        <v>2462</v>
      </c>
      <c r="G79" s="3"/>
      <c r="H79" s="3"/>
    </row>
    <row r="80" spans="1:8" x14ac:dyDescent="0.2">
      <c r="A80" s="8" t="s">
        <v>138</v>
      </c>
      <c r="B80" s="7" t="s">
        <v>139</v>
      </c>
      <c r="C80" s="7" t="s">
        <v>138</v>
      </c>
      <c r="D80" s="7" t="s">
        <v>207</v>
      </c>
      <c r="E80" s="3" t="s">
        <v>72</v>
      </c>
      <c r="F80" s="3">
        <v>2434</v>
      </c>
      <c r="G80" s="3"/>
      <c r="H80" s="3"/>
    </row>
    <row r="81" spans="1:8" x14ac:dyDescent="0.2">
      <c r="A81" s="8" t="s">
        <v>138</v>
      </c>
      <c r="B81" s="7" t="s">
        <v>139</v>
      </c>
      <c r="C81" s="7" t="s">
        <v>138</v>
      </c>
      <c r="D81" s="7" t="s">
        <v>207</v>
      </c>
      <c r="E81" s="3" t="s">
        <v>27</v>
      </c>
      <c r="F81" s="3">
        <v>2356</v>
      </c>
      <c r="G81" s="3"/>
      <c r="H81" s="3"/>
    </row>
    <row r="82" spans="1:8" x14ac:dyDescent="0.2">
      <c r="A82" s="20" t="s">
        <v>135</v>
      </c>
      <c r="B82" s="21" t="s">
        <v>136</v>
      </c>
      <c r="C82" s="21" t="s">
        <v>137</v>
      </c>
      <c r="D82" s="7" t="s">
        <v>206</v>
      </c>
      <c r="E82" s="3" t="s">
        <v>133</v>
      </c>
      <c r="F82" s="3">
        <v>2263</v>
      </c>
      <c r="G82" s="3"/>
      <c r="H82" s="3"/>
    </row>
    <row r="83" spans="1:8" x14ac:dyDescent="0.2">
      <c r="A83" s="8" t="s">
        <v>138</v>
      </c>
      <c r="B83" s="7" t="s">
        <v>139</v>
      </c>
      <c r="C83" s="7" t="s">
        <v>138</v>
      </c>
      <c r="D83" s="7" t="s">
        <v>207</v>
      </c>
      <c r="E83" s="3" t="s">
        <v>57</v>
      </c>
      <c r="F83" s="3">
        <v>2119</v>
      </c>
      <c r="G83" s="3"/>
      <c r="H83" s="3"/>
    </row>
    <row r="84" spans="1:8" x14ac:dyDescent="0.2">
      <c r="A84" s="8" t="s">
        <v>138</v>
      </c>
      <c r="B84" s="7" t="s">
        <v>139</v>
      </c>
      <c r="C84" s="7" t="s">
        <v>138</v>
      </c>
      <c r="D84" s="7" t="s">
        <v>207</v>
      </c>
      <c r="E84" s="3" t="s">
        <v>47</v>
      </c>
      <c r="F84" s="3">
        <v>1875</v>
      </c>
      <c r="G84" s="3"/>
      <c r="H84" s="3"/>
    </row>
    <row r="85" spans="1:8" x14ac:dyDescent="0.2">
      <c r="A85" s="8" t="s">
        <v>138</v>
      </c>
      <c r="B85" s="7" t="s">
        <v>139</v>
      </c>
      <c r="C85" s="7" t="s">
        <v>138</v>
      </c>
      <c r="D85" s="7" t="s">
        <v>207</v>
      </c>
      <c r="E85" s="3" t="s">
        <v>77</v>
      </c>
      <c r="F85" s="3">
        <v>1459</v>
      </c>
      <c r="G85" s="3"/>
      <c r="H85" s="3"/>
    </row>
    <row r="86" spans="1:8" x14ac:dyDescent="0.2">
      <c r="A86" s="20" t="s">
        <v>135</v>
      </c>
      <c r="B86" s="21" t="s">
        <v>136</v>
      </c>
      <c r="C86" s="21" t="s">
        <v>137</v>
      </c>
      <c r="D86" s="7" t="s">
        <v>206</v>
      </c>
      <c r="E86" s="7" t="s">
        <v>132</v>
      </c>
      <c r="F86" s="7">
        <v>1318</v>
      </c>
      <c r="G86" s="3"/>
      <c r="H86" s="3"/>
    </row>
    <row r="87" spans="1:8" x14ac:dyDescent="0.2">
      <c r="A87" s="8" t="s">
        <v>138</v>
      </c>
      <c r="B87" s="7" t="s">
        <v>139</v>
      </c>
      <c r="C87" s="7" t="s">
        <v>138</v>
      </c>
      <c r="D87" s="7" t="s">
        <v>207</v>
      </c>
      <c r="E87" s="3" t="s">
        <v>28</v>
      </c>
      <c r="F87" s="3">
        <v>926</v>
      </c>
      <c r="G87" s="3"/>
      <c r="H87" s="3"/>
    </row>
    <row r="88" spans="1:8" x14ac:dyDescent="0.2">
      <c r="A88" s="8" t="s">
        <v>138</v>
      </c>
      <c r="B88" s="7" t="s">
        <v>139</v>
      </c>
      <c r="C88" s="7" t="s">
        <v>138</v>
      </c>
      <c r="D88" s="7" t="s">
        <v>207</v>
      </c>
      <c r="E88" s="3" t="s">
        <v>48</v>
      </c>
      <c r="F88" s="3">
        <v>770</v>
      </c>
      <c r="G88" s="3"/>
      <c r="H88" s="3"/>
    </row>
    <row r="89" spans="1:8" x14ac:dyDescent="0.2">
      <c r="A89" s="8" t="s">
        <v>138</v>
      </c>
      <c r="B89" s="7" t="s">
        <v>139</v>
      </c>
      <c r="C89" s="7" t="s">
        <v>138</v>
      </c>
      <c r="D89" s="7" t="s">
        <v>207</v>
      </c>
      <c r="E89" s="3" t="s">
        <v>62</v>
      </c>
      <c r="F89" s="3">
        <v>604</v>
      </c>
      <c r="G89" s="3"/>
      <c r="H89" s="3"/>
    </row>
    <row r="90" spans="1:8" x14ac:dyDescent="0.2">
      <c r="A90" s="8" t="s">
        <v>138</v>
      </c>
      <c r="B90" s="7" t="s">
        <v>139</v>
      </c>
      <c r="C90" s="7" t="s">
        <v>138</v>
      </c>
      <c r="D90" s="7" t="s">
        <v>207</v>
      </c>
      <c r="E90" s="3" t="s">
        <v>34</v>
      </c>
      <c r="F90" s="3">
        <v>494</v>
      </c>
      <c r="G90" s="3"/>
      <c r="H90" s="3"/>
    </row>
    <row r="91" spans="1:8" x14ac:dyDescent="0.2">
      <c r="A91" s="8" t="s">
        <v>138</v>
      </c>
      <c r="B91" s="7" t="s">
        <v>139</v>
      </c>
      <c r="C91" s="7" t="s">
        <v>138</v>
      </c>
      <c r="D91" s="7" t="s">
        <v>207</v>
      </c>
      <c r="E91" s="3" t="s">
        <v>42</v>
      </c>
      <c r="F91" s="3">
        <v>375</v>
      </c>
      <c r="G91" s="3"/>
      <c r="H91" s="3"/>
    </row>
    <row r="92" spans="1:8" x14ac:dyDescent="0.2">
      <c r="A92" s="8" t="s">
        <v>138</v>
      </c>
      <c r="B92" s="7" t="s">
        <v>139</v>
      </c>
      <c r="C92" s="7" t="s">
        <v>138</v>
      </c>
      <c r="D92" s="7" t="s">
        <v>207</v>
      </c>
      <c r="E92" s="3" t="s">
        <v>69</v>
      </c>
      <c r="F92" s="3">
        <v>301</v>
      </c>
      <c r="G92" s="3"/>
      <c r="H92" s="3"/>
    </row>
    <row r="93" spans="1:8" x14ac:dyDescent="0.2">
      <c r="A93" s="8" t="s">
        <v>138</v>
      </c>
      <c r="B93" s="7" t="s">
        <v>139</v>
      </c>
      <c r="C93" s="7" t="s">
        <v>138</v>
      </c>
      <c r="D93" s="7" t="s">
        <v>207</v>
      </c>
      <c r="E93" s="3" t="s">
        <v>66</v>
      </c>
      <c r="F93" s="3">
        <v>213</v>
      </c>
      <c r="G93" s="3"/>
      <c r="H93" s="3"/>
    </row>
    <row r="94" spans="1:8" x14ac:dyDescent="0.2">
      <c r="A94" s="8" t="s">
        <v>138</v>
      </c>
      <c r="B94" s="7" t="s">
        <v>139</v>
      </c>
      <c r="C94" s="7" t="s">
        <v>138</v>
      </c>
      <c r="D94" s="7" t="s">
        <v>207</v>
      </c>
      <c r="E94" s="3" t="s">
        <v>63</v>
      </c>
      <c r="F94" s="3">
        <v>125</v>
      </c>
      <c r="G94" s="3"/>
      <c r="H94" s="3"/>
    </row>
    <row r="95" spans="1:8" x14ac:dyDescent="0.2">
      <c r="A95" s="8" t="s">
        <v>138</v>
      </c>
      <c r="B95" s="7" t="s">
        <v>139</v>
      </c>
      <c r="C95" s="7" t="s">
        <v>138</v>
      </c>
      <c r="D95" s="7" t="s">
        <v>207</v>
      </c>
      <c r="E95" s="3" t="s">
        <v>55</v>
      </c>
      <c r="F95" s="3">
        <v>59</v>
      </c>
      <c r="G95" s="3"/>
      <c r="H95" s="3"/>
    </row>
    <row r="96" spans="1:8" x14ac:dyDescent="0.2">
      <c r="A96" s="20" t="s">
        <v>135</v>
      </c>
      <c r="B96" s="21" t="s">
        <v>136</v>
      </c>
      <c r="C96" s="21" t="s">
        <v>137</v>
      </c>
      <c r="D96" s="7" t="s">
        <v>206</v>
      </c>
      <c r="E96" s="3" t="s">
        <v>134</v>
      </c>
      <c r="F96" s="3">
        <v>5</v>
      </c>
      <c r="G96" s="3"/>
      <c r="H96" s="3"/>
    </row>
    <row r="97" spans="6:6" x14ac:dyDescent="0.2">
      <c r="F97">
        <f>SUM(F6:F96)</f>
        <v>1118921</v>
      </c>
    </row>
  </sheetData>
  <autoFilter ref="A5:F96" xr:uid="{9BF0867C-C923-C744-A622-7742787C37C2}">
    <sortState xmlns:xlrd2="http://schemas.microsoft.com/office/spreadsheetml/2017/richdata2" ref="A6:F96">
      <sortCondition descending="1" ref="F5:F96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58E3E-D125-3C4C-955B-EC34BFA08AEA}">
  <dimension ref="A1:I19"/>
  <sheetViews>
    <sheetView workbookViewId="0">
      <selection activeCell="D2" sqref="D2"/>
    </sheetView>
  </sheetViews>
  <sheetFormatPr baseColWidth="10" defaultRowHeight="15" x14ac:dyDescent="0.2"/>
  <cols>
    <col min="1" max="1" width="24" customWidth="1"/>
    <col min="2" max="2" width="35.5" customWidth="1"/>
    <col min="3" max="3" width="51.33203125" customWidth="1"/>
    <col min="4" max="5" width="22.33203125" customWidth="1"/>
    <col min="6" max="6" width="17.5" customWidth="1"/>
  </cols>
  <sheetData>
    <row r="1" spans="1:9" x14ac:dyDescent="0.2">
      <c r="A1" s="1" t="s">
        <v>196</v>
      </c>
      <c r="B1" s="1"/>
      <c r="C1" s="1"/>
      <c r="D1" s="1"/>
      <c r="E1" s="1"/>
      <c r="F1" s="1"/>
    </row>
    <row r="2" spans="1:9" x14ac:dyDescent="0.2">
      <c r="A2" s="1" t="s">
        <v>0</v>
      </c>
      <c r="B2" s="1"/>
      <c r="C2" s="1"/>
      <c r="D2" s="1"/>
      <c r="E2" s="1"/>
      <c r="F2" s="1"/>
    </row>
    <row r="3" spans="1:9" x14ac:dyDescent="0.2">
      <c r="A3" s="1" t="s">
        <v>140</v>
      </c>
      <c r="B3" s="1"/>
      <c r="C3" s="1"/>
      <c r="D3" s="1"/>
      <c r="E3" s="1"/>
      <c r="F3" s="1"/>
    </row>
    <row r="4" spans="1:9" x14ac:dyDescent="0.2">
      <c r="A4" s="1" t="s">
        <v>82</v>
      </c>
      <c r="B4" s="1"/>
      <c r="C4" s="1"/>
      <c r="D4" s="1"/>
      <c r="E4" s="1"/>
      <c r="F4" s="1"/>
    </row>
    <row r="5" spans="1:9" x14ac:dyDescent="0.2">
      <c r="A5" s="5" t="s">
        <v>3</v>
      </c>
      <c r="B5" s="5" t="s">
        <v>4</v>
      </c>
      <c r="C5" s="5" t="s">
        <v>6</v>
      </c>
      <c r="D5" s="5" t="s">
        <v>83</v>
      </c>
      <c r="E5" s="6" t="s">
        <v>8</v>
      </c>
      <c r="F5" s="6"/>
    </row>
    <row r="6" spans="1:9" x14ac:dyDescent="0.2">
      <c r="A6" s="7" t="s">
        <v>148</v>
      </c>
      <c r="B6" s="7" t="s">
        <v>149</v>
      </c>
      <c r="C6" s="7" t="s">
        <v>208</v>
      </c>
      <c r="D6" s="3" t="s">
        <v>85</v>
      </c>
      <c r="E6" s="3">
        <v>148919</v>
      </c>
      <c r="F6" s="3"/>
      <c r="G6" s="3"/>
    </row>
    <row r="7" spans="1:9" x14ac:dyDescent="0.2">
      <c r="A7" s="7" t="s">
        <v>148</v>
      </c>
      <c r="B7" s="7" t="s">
        <v>149</v>
      </c>
      <c r="C7" s="7" t="s">
        <v>208</v>
      </c>
      <c r="D7" s="7" t="s">
        <v>89</v>
      </c>
      <c r="E7" s="7">
        <v>144856</v>
      </c>
      <c r="F7" s="7"/>
      <c r="G7" s="7"/>
    </row>
    <row r="8" spans="1:9" x14ac:dyDescent="0.2">
      <c r="A8" s="7" t="s">
        <v>148</v>
      </c>
      <c r="B8" s="7" t="s">
        <v>149</v>
      </c>
      <c r="C8" s="7" t="s">
        <v>208</v>
      </c>
      <c r="D8" s="7" t="s">
        <v>141</v>
      </c>
      <c r="E8" s="7">
        <v>123911</v>
      </c>
      <c r="F8" s="7"/>
      <c r="G8" s="7"/>
    </row>
    <row r="9" spans="1:9" x14ac:dyDescent="0.2">
      <c r="A9" s="7" t="s">
        <v>148</v>
      </c>
      <c r="B9" s="7" t="s">
        <v>149</v>
      </c>
      <c r="C9" s="7" t="s">
        <v>208</v>
      </c>
      <c r="D9" s="7" t="s">
        <v>99</v>
      </c>
      <c r="E9" s="7">
        <v>120887</v>
      </c>
      <c r="F9" s="7"/>
      <c r="G9" s="7"/>
      <c r="I9" s="7"/>
    </row>
    <row r="10" spans="1:9" x14ac:dyDescent="0.2">
      <c r="A10" s="7" t="s">
        <v>148</v>
      </c>
      <c r="B10" s="7" t="s">
        <v>149</v>
      </c>
      <c r="C10" s="7" t="s">
        <v>208</v>
      </c>
      <c r="D10" s="7" t="s">
        <v>95</v>
      </c>
      <c r="E10" s="7">
        <v>118995</v>
      </c>
      <c r="F10" s="7"/>
      <c r="G10" s="7"/>
    </row>
    <row r="11" spans="1:9" x14ac:dyDescent="0.2">
      <c r="A11" s="7" t="s">
        <v>148</v>
      </c>
      <c r="B11" s="7" t="s">
        <v>149</v>
      </c>
      <c r="C11" s="7" t="s">
        <v>208</v>
      </c>
      <c r="D11" s="7" t="s">
        <v>142</v>
      </c>
      <c r="E11" s="7">
        <v>111736</v>
      </c>
      <c r="F11" s="7"/>
      <c r="G11" s="7"/>
    </row>
    <row r="12" spans="1:9" x14ac:dyDescent="0.2">
      <c r="A12" s="7" t="s">
        <v>148</v>
      </c>
      <c r="B12" s="7" t="s">
        <v>149</v>
      </c>
      <c r="C12" s="7" t="s">
        <v>208</v>
      </c>
      <c r="D12" s="7" t="s">
        <v>98</v>
      </c>
      <c r="E12" s="7">
        <v>100020</v>
      </c>
      <c r="F12" s="7"/>
      <c r="G12" s="7"/>
    </row>
    <row r="13" spans="1:9" x14ac:dyDescent="0.2">
      <c r="A13" s="7" t="s">
        <v>148</v>
      </c>
      <c r="B13" s="7" t="s">
        <v>149</v>
      </c>
      <c r="C13" s="7" t="s">
        <v>208</v>
      </c>
      <c r="D13" s="7" t="s">
        <v>92</v>
      </c>
      <c r="E13" s="7">
        <v>86069</v>
      </c>
      <c r="F13" s="7"/>
      <c r="G13" s="7"/>
    </row>
    <row r="14" spans="1:9" x14ac:dyDescent="0.2">
      <c r="A14" s="7" t="s">
        <v>148</v>
      </c>
      <c r="B14" s="7" t="s">
        <v>149</v>
      </c>
      <c r="C14" s="7" t="s">
        <v>208</v>
      </c>
      <c r="D14" s="3" t="s">
        <v>143</v>
      </c>
      <c r="E14" s="3">
        <v>55813</v>
      </c>
      <c r="F14" s="3"/>
      <c r="G14" s="3"/>
    </row>
    <row r="15" spans="1:9" x14ac:dyDescent="0.2">
      <c r="A15" s="7" t="s">
        <v>148</v>
      </c>
      <c r="B15" s="7" t="s">
        <v>149</v>
      </c>
      <c r="C15" s="7" t="s">
        <v>208</v>
      </c>
      <c r="D15" s="3" t="s">
        <v>144</v>
      </c>
      <c r="E15" s="3">
        <v>39592</v>
      </c>
      <c r="F15" s="3"/>
      <c r="G15" s="3"/>
    </row>
    <row r="16" spans="1:9" x14ac:dyDescent="0.2">
      <c r="A16" s="7" t="s">
        <v>148</v>
      </c>
      <c r="B16" s="7" t="s">
        <v>149</v>
      </c>
      <c r="C16" s="7" t="s">
        <v>208</v>
      </c>
      <c r="D16" s="3" t="s">
        <v>145</v>
      </c>
      <c r="E16" s="3">
        <v>31676</v>
      </c>
      <c r="F16" s="3"/>
      <c r="G16" s="3"/>
    </row>
    <row r="17" spans="1:7" x14ac:dyDescent="0.2">
      <c r="A17" s="7" t="s">
        <v>148</v>
      </c>
      <c r="B17" s="7" t="s">
        <v>149</v>
      </c>
      <c r="C17" s="7" t="s">
        <v>208</v>
      </c>
      <c r="D17" s="3" t="s">
        <v>146</v>
      </c>
      <c r="E17" s="3">
        <v>25863</v>
      </c>
      <c r="F17" s="3"/>
      <c r="G17" s="3"/>
    </row>
    <row r="18" spans="1:7" x14ac:dyDescent="0.2">
      <c r="A18" s="7" t="s">
        <v>148</v>
      </c>
      <c r="B18" s="7" t="s">
        <v>149</v>
      </c>
      <c r="C18" s="7" t="s">
        <v>208</v>
      </c>
      <c r="D18" s="3" t="s">
        <v>147</v>
      </c>
      <c r="E18" s="3">
        <v>10584</v>
      </c>
      <c r="F18" s="3"/>
      <c r="G18" s="3"/>
    </row>
    <row r="19" spans="1:7" x14ac:dyDescent="0.2">
      <c r="A19" s="9" t="s">
        <v>80</v>
      </c>
      <c r="E19" s="9">
        <f>SUM(E6:E18)</f>
        <v>1118921</v>
      </c>
      <c r="F19" s="2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BD413-3266-0849-9675-CAF345B65590}">
  <dimension ref="A1:K20"/>
  <sheetViews>
    <sheetView workbookViewId="0">
      <selection activeCell="I13" sqref="I13:I20"/>
    </sheetView>
  </sheetViews>
  <sheetFormatPr baseColWidth="10" defaultRowHeight="15" x14ac:dyDescent="0.2"/>
  <cols>
    <col min="1" max="1" width="21.5" customWidth="1"/>
    <col min="2" max="2" width="32.6640625" customWidth="1"/>
    <col min="3" max="3" width="49.83203125" customWidth="1"/>
    <col min="4" max="4" width="9.83203125" customWidth="1"/>
    <col min="5" max="5" width="19.1640625" customWidth="1"/>
    <col min="6" max="6" width="12.6640625" customWidth="1"/>
  </cols>
  <sheetData>
    <row r="1" spans="1:11" x14ac:dyDescent="0.2">
      <c r="A1" s="1" t="s">
        <v>196</v>
      </c>
      <c r="B1" s="1"/>
      <c r="C1" s="1"/>
      <c r="D1" s="1"/>
      <c r="E1" s="1"/>
    </row>
    <row r="2" spans="1:11" x14ac:dyDescent="0.2">
      <c r="A2" s="1" t="s">
        <v>0</v>
      </c>
      <c r="B2" s="1"/>
      <c r="C2" s="1"/>
      <c r="D2" s="1"/>
    </row>
    <row r="3" spans="1:11" x14ac:dyDescent="0.2">
      <c r="A3" s="1" t="s">
        <v>150</v>
      </c>
      <c r="B3" s="1"/>
      <c r="C3" s="1"/>
      <c r="D3" s="1"/>
      <c r="E3" s="1"/>
      <c r="F3" s="11"/>
    </row>
    <row r="4" spans="1:11" x14ac:dyDescent="0.2">
      <c r="A4" s="1" t="s">
        <v>103</v>
      </c>
      <c r="B4" s="1"/>
      <c r="C4" s="1"/>
      <c r="D4" s="1"/>
      <c r="E4" s="1"/>
    </row>
    <row r="5" spans="1:11" x14ac:dyDescent="0.2">
      <c r="A5" s="5" t="s">
        <v>3</v>
      </c>
      <c r="B5" s="5" t="s">
        <v>4</v>
      </c>
      <c r="C5" s="5" t="s">
        <v>6</v>
      </c>
      <c r="D5" s="12" t="s">
        <v>104</v>
      </c>
      <c r="E5" s="13" t="s">
        <v>8</v>
      </c>
      <c r="F5" s="14" t="s">
        <v>105</v>
      </c>
      <c r="K5" s="16"/>
    </row>
    <row r="6" spans="1:11" x14ac:dyDescent="0.2">
      <c r="A6" s="7" t="s">
        <v>151</v>
      </c>
      <c r="B6" s="7" t="s">
        <v>152</v>
      </c>
      <c r="C6" s="7" t="s">
        <v>153</v>
      </c>
      <c r="D6" s="15">
        <v>45992</v>
      </c>
      <c r="E6" s="18">
        <v>79741</v>
      </c>
      <c r="F6" s="17">
        <v>1609.96</v>
      </c>
    </row>
    <row r="7" spans="1:11" x14ac:dyDescent="0.2">
      <c r="A7" s="7" t="s">
        <v>151</v>
      </c>
      <c r="B7" s="7" t="s">
        <v>152</v>
      </c>
      <c r="C7" s="7" t="s">
        <v>159</v>
      </c>
      <c r="D7" s="15">
        <v>45993</v>
      </c>
      <c r="E7" s="18">
        <v>79742</v>
      </c>
      <c r="F7" s="17">
        <v>1609.98</v>
      </c>
    </row>
    <row r="8" spans="1:11" x14ac:dyDescent="0.2">
      <c r="A8" s="7" t="s">
        <v>151</v>
      </c>
      <c r="B8" s="7" t="s">
        <v>152</v>
      </c>
      <c r="C8" s="7" t="s">
        <v>154</v>
      </c>
      <c r="D8" s="15">
        <v>45994</v>
      </c>
      <c r="E8" s="18">
        <v>79751</v>
      </c>
      <c r="F8" s="17">
        <v>1610.17</v>
      </c>
    </row>
    <row r="9" spans="1:11" x14ac:dyDescent="0.2">
      <c r="A9" s="7" t="s">
        <v>151</v>
      </c>
      <c r="B9" s="7" t="s">
        <v>152</v>
      </c>
      <c r="C9" s="7" t="s">
        <v>155</v>
      </c>
      <c r="D9" s="15">
        <v>45995</v>
      </c>
      <c r="E9" s="18">
        <v>79755</v>
      </c>
      <c r="F9" s="17">
        <v>1610.24</v>
      </c>
    </row>
    <row r="10" spans="1:11" x14ac:dyDescent="0.2">
      <c r="A10" s="7" t="s">
        <v>151</v>
      </c>
      <c r="B10" s="7" t="s">
        <v>152</v>
      </c>
      <c r="C10" s="7" t="s">
        <v>156</v>
      </c>
      <c r="D10" s="15">
        <v>45996</v>
      </c>
      <c r="E10" s="18">
        <v>79739</v>
      </c>
      <c r="F10" s="17">
        <v>1609.92</v>
      </c>
    </row>
    <row r="11" spans="1:11" x14ac:dyDescent="0.2">
      <c r="A11" s="7" t="s">
        <v>151</v>
      </c>
      <c r="B11" s="7" t="s">
        <v>152</v>
      </c>
      <c r="C11" s="7" t="s">
        <v>157</v>
      </c>
      <c r="D11" s="15">
        <v>45997</v>
      </c>
      <c r="E11" s="18">
        <v>79749</v>
      </c>
      <c r="F11" s="17">
        <v>1610.13</v>
      </c>
    </row>
    <row r="12" spans="1:11" x14ac:dyDescent="0.2">
      <c r="A12" s="7" t="s">
        <v>151</v>
      </c>
      <c r="B12" s="7" t="s">
        <v>152</v>
      </c>
      <c r="C12" s="7" t="s">
        <v>158</v>
      </c>
      <c r="D12" s="15">
        <v>45998</v>
      </c>
      <c r="E12" s="18">
        <v>79740</v>
      </c>
      <c r="F12" s="17">
        <v>1609.94</v>
      </c>
    </row>
    <row r="13" spans="1:11" x14ac:dyDescent="0.2">
      <c r="A13" s="7" t="s">
        <v>151</v>
      </c>
      <c r="B13" s="7" t="s">
        <v>152</v>
      </c>
      <c r="C13" s="7" t="s">
        <v>209</v>
      </c>
      <c r="D13" s="15">
        <v>45999</v>
      </c>
      <c r="E13" s="18">
        <v>80091</v>
      </c>
      <c r="F13" s="17">
        <v>1617.21</v>
      </c>
      <c r="I13" s="17"/>
      <c r="J13" s="17"/>
    </row>
    <row r="14" spans="1:11" x14ac:dyDescent="0.2">
      <c r="A14" s="7" t="s">
        <v>151</v>
      </c>
      <c r="B14" s="7" t="s">
        <v>152</v>
      </c>
      <c r="C14" s="7" t="s">
        <v>210</v>
      </c>
      <c r="D14" s="15">
        <v>46000</v>
      </c>
      <c r="E14" s="18">
        <v>80104</v>
      </c>
      <c r="F14" s="17">
        <v>1617.47</v>
      </c>
      <c r="I14" s="17"/>
      <c r="J14" s="17"/>
    </row>
    <row r="15" spans="1:11" x14ac:dyDescent="0.2">
      <c r="A15" s="7" t="s">
        <v>151</v>
      </c>
      <c r="B15" s="7" t="s">
        <v>152</v>
      </c>
      <c r="C15" s="7" t="s">
        <v>211</v>
      </c>
      <c r="D15" s="15">
        <v>46001</v>
      </c>
      <c r="E15" s="18">
        <v>80102</v>
      </c>
      <c r="F15" s="17">
        <v>1617.43</v>
      </c>
      <c r="I15" s="17"/>
      <c r="J15" s="17"/>
    </row>
    <row r="16" spans="1:11" x14ac:dyDescent="0.2">
      <c r="A16" s="7" t="s">
        <v>151</v>
      </c>
      <c r="B16" s="7" t="s">
        <v>152</v>
      </c>
      <c r="C16" s="7" t="s">
        <v>212</v>
      </c>
      <c r="D16" s="15">
        <v>46002</v>
      </c>
      <c r="E16" s="18">
        <v>80097</v>
      </c>
      <c r="F16" s="17">
        <v>1617.33</v>
      </c>
      <c r="I16" s="17"/>
      <c r="J16" s="17"/>
    </row>
    <row r="17" spans="1:10" x14ac:dyDescent="0.2">
      <c r="A17" s="7" t="s">
        <v>151</v>
      </c>
      <c r="B17" s="7" t="s">
        <v>152</v>
      </c>
      <c r="C17" s="7" t="s">
        <v>213</v>
      </c>
      <c r="D17" s="15">
        <v>46003</v>
      </c>
      <c r="E17" s="18">
        <v>80105</v>
      </c>
      <c r="F17" s="17">
        <v>1617.49</v>
      </c>
      <c r="I17" s="17"/>
      <c r="J17" s="17"/>
    </row>
    <row r="18" spans="1:10" x14ac:dyDescent="0.2">
      <c r="A18" s="7" t="s">
        <v>151</v>
      </c>
      <c r="B18" s="7" t="s">
        <v>152</v>
      </c>
      <c r="C18" s="7" t="s">
        <v>214</v>
      </c>
      <c r="D18" s="15">
        <v>46004</v>
      </c>
      <c r="E18" s="18">
        <v>80107</v>
      </c>
      <c r="F18" s="17">
        <v>1617.53</v>
      </c>
      <c r="I18" s="17"/>
      <c r="J18" s="17"/>
    </row>
    <row r="19" spans="1:10" x14ac:dyDescent="0.2">
      <c r="A19" s="7" t="s">
        <v>151</v>
      </c>
      <c r="B19" s="7" t="s">
        <v>152</v>
      </c>
      <c r="C19" s="7" t="s">
        <v>215</v>
      </c>
      <c r="D19" s="15">
        <v>46005</v>
      </c>
      <c r="E19" s="18">
        <v>80098</v>
      </c>
      <c r="F19" s="17">
        <v>1617.35</v>
      </c>
      <c r="I19" s="17"/>
      <c r="J19" s="17"/>
    </row>
    <row r="20" spans="1:10" x14ac:dyDescent="0.2">
      <c r="A20" s="9" t="s">
        <v>80</v>
      </c>
      <c r="E20" s="22">
        <f>SUM(E6:E19)</f>
        <v>1118921</v>
      </c>
      <c r="F20" s="19">
        <f>SUM(F6:F19)</f>
        <v>22592.15</v>
      </c>
      <c r="I20" s="16"/>
      <c r="J20" s="1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EE4F7-55BF-5644-8BF8-ED0B82B40D5C}">
  <dimension ref="A1:P105"/>
  <sheetViews>
    <sheetView workbookViewId="0">
      <selection activeCell="E31" sqref="E31"/>
    </sheetView>
  </sheetViews>
  <sheetFormatPr baseColWidth="10" defaultRowHeight="15" x14ac:dyDescent="0.2"/>
  <cols>
    <col min="1" max="1" width="12.5" customWidth="1"/>
    <col min="2" max="2" width="23.6640625" customWidth="1"/>
    <col min="3" max="3" width="13.33203125" customWidth="1"/>
    <col min="4" max="4" width="38.1640625" customWidth="1"/>
    <col min="5" max="5" width="53.1640625" customWidth="1"/>
    <col min="6" max="6" width="20" customWidth="1"/>
    <col min="7" max="7" width="18.5" customWidth="1"/>
  </cols>
  <sheetData>
    <row r="1" spans="1:16" x14ac:dyDescent="0.2">
      <c r="A1" s="1" t="s">
        <v>196</v>
      </c>
      <c r="B1" s="1"/>
      <c r="C1" s="1"/>
      <c r="D1" s="1"/>
      <c r="E1" s="3"/>
      <c r="F1" s="3"/>
      <c r="G1" s="3"/>
      <c r="H1" s="3"/>
      <c r="I1" s="3"/>
      <c r="J1" s="3"/>
      <c r="K1" s="3"/>
      <c r="L1" s="3"/>
      <c r="M1" s="3"/>
      <c r="N1" s="1"/>
    </row>
    <row r="2" spans="1:16" x14ac:dyDescent="0.2">
      <c r="A2" s="1" t="s">
        <v>0</v>
      </c>
      <c r="B2" s="1"/>
      <c r="C2" s="1"/>
      <c r="D2" s="1"/>
      <c r="E2" s="2"/>
      <c r="F2" s="2"/>
      <c r="G2" s="2"/>
      <c r="H2" s="2"/>
      <c r="I2" s="2"/>
      <c r="J2" s="2"/>
      <c r="K2" s="2"/>
      <c r="L2" s="3"/>
      <c r="M2" s="3"/>
      <c r="N2" s="4"/>
      <c r="P2" s="11"/>
    </row>
    <row r="3" spans="1:16" x14ac:dyDescent="0.2">
      <c r="A3" s="1" t="s">
        <v>160</v>
      </c>
      <c r="B3" s="1"/>
      <c r="C3" s="1"/>
      <c r="D3" s="1"/>
      <c r="E3" s="2"/>
      <c r="F3" s="2"/>
      <c r="G3" s="2"/>
      <c r="H3" s="2"/>
      <c r="I3" s="2"/>
      <c r="J3" s="2"/>
      <c r="K3" s="2"/>
      <c r="L3" s="2"/>
      <c r="M3" s="2"/>
      <c r="N3" s="1"/>
    </row>
    <row r="4" spans="1:16" x14ac:dyDescent="0.2">
      <c r="A4" s="5" t="s">
        <v>2</v>
      </c>
      <c r="B4" s="5"/>
      <c r="C4" s="5"/>
      <c r="D4" s="5"/>
      <c r="E4" s="3"/>
      <c r="F4" s="3"/>
      <c r="G4" s="3"/>
      <c r="H4" s="3"/>
      <c r="I4" s="3"/>
      <c r="J4" s="3"/>
      <c r="K4" s="3"/>
      <c r="L4" s="3"/>
      <c r="M4" s="3"/>
      <c r="N4" s="5"/>
      <c r="O4" s="11"/>
    </row>
    <row r="5" spans="1:16" x14ac:dyDescent="0.2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6" t="s">
        <v>8</v>
      </c>
      <c r="G5" s="6"/>
      <c r="H5" s="6"/>
      <c r="I5" s="5"/>
      <c r="J5" s="6"/>
      <c r="K5" s="6"/>
      <c r="L5" s="6"/>
      <c r="M5" s="6"/>
      <c r="N5" s="6"/>
    </row>
    <row r="6" spans="1:16" x14ac:dyDescent="0.2">
      <c r="A6" s="8" t="s">
        <v>174</v>
      </c>
      <c r="B6" s="7" t="s">
        <v>175</v>
      </c>
      <c r="C6" s="7" t="s">
        <v>174</v>
      </c>
      <c r="D6" s="7" t="s">
        <v>225</v>
      </c>
      <c r="E6" s="3" t="s">
        <v>9</v>
      </c>
      <c r="F6" s="3">
        <v>57131</v>
      </c>
      <c r="G6" s="3"/>
      <c r="H6" s="3"/>
    </row>
    <row r="7" spans="1:16" x14ac:dyDescent="0.2">
      <c r="A7" s="8" t="s">
        <v>174</v>
      </c>
      <c r="B7" s="7" t="s">
        <v>175</v>
      </c>
      <c r="C7" s="7" t="s">
        <v>174</v>
      </c>
      <c r="D7" s="7" t="s">
        <v>225</v>
      </c>
      <c r="E7" s="3" t="s">
        <v>36</v>
      </c>
      <c r="F7" s="3">
        <v>51439</v>
      </c>
      <c r="G7" s="3"/>
      <c r="H7" s="3"/>
    </row>
    <row r="8" spans="1:16" x14ac:dyDescent="0.2">
      <c r="A8" s="20" t="s">
        <v>161</v>
      </c>
      <c r="B8" s="21" t="s">
        <v>162</v>
      </c>
      <c r="C8" s="21" t="s">
        <v>161</v>
      </c>
      <c r="D8" s="7" t="s">
        <v>216</v>
      </c>
      <c r="E8" s="3" t="s">
        <v>163</v>
      </c>
      <c r="F8" s="3">
        <v>43671</v>
      </c>
      <c r="G8" s="3"/>
      <c r="H8" s="3"/>
    </row>
    <row r="9" spans="1:16" x14ac:dyDescent="0.2">
      <c r="A9" s="8" t="s">
        <v>174</v>
      </c>
      <c r="B9" s="7" t="s">
        <v>175</v>
      </c>
      <c r="C9" s="7" t="s">
        <v>174</v>
      </c>
      <c r="D9" s="7" t="s">
        <v>225</v>
      </c>
      <c r="E9" s="3" t="s">
        <v>23</v>
      </c>
      <c r="F9" s="3">
        <v>42559</v>
      </c>
      <c r="G9" s="3"/>
      <c r="H9" s="3"/>
    </row>
    <row r="10" spans="1:16" x14ac:dyDescent="0.2">
      <c r="A10" s="20" t="s">
        <v>161</v>
      </c>
      <c r="B10" s="21" t="s">
        <v>162</v>
      </c>
      <c r="C10" s="21" t="s">
        <v>161</v>
      </c>
      <c r="D10" s="7" t="s">
        <v>216</v>
      </c>
      <c r="E10" s="3" t="s">
        <v>164</v>
      </c>
      <c r="F10" s="3">
        <v>40370</v>
      </c>
      <c r="G10" s="3"/>
      <c r="H10" s="3"/>
    </row>
    <row r="11" spans="1:16" x14ac:dyDescent="0.2">
      <c r="A11" s="8" t="s">
        <v>174</v>
      </c>
      <c r="B11" s="7" t="s">
        <v>175</v>
      </c>
      <c r="C11" s="7" t="s">
        <v>174</v>
      </c>
      <c r="D11" s="7" t="s">
        <v>225</v>
      </c>
      <c r="E11" s="3" t="s">
        <v>20</v>
      </c>
      <c r="F11" s="3">
        <v>39209</v>
      </c>
      <c r="G11" s="3"/>
      <c r="H11" s="3"/>
    </row>
    <row r="12" spans="1:16" x14ac:dyDescent="0.2">
      <c r="A12" s="20" t="s">
        <v>161</v>
      </c>
      <c r="B12" s="21" t="s">
        <v>162</v>
      </c>
      <c r="C12" s="21" t="s">
        <v>161</v>
      </c>
      <c r="D12" s="7" t="s">
        <v>216</v>
      </c>
      <c r="E12" s="3" t="s">
        <v>165</v>
      </c>
      <c r="F12" s="3">
        <v>38467</v>
      </c>
      <c r="G12" s="3"/>
      <c r="H12" s="3"/>
      <c r="J12" s="3"/>
    </row>
    <row r="13" spans="1:16" x14ac:dyDescent="0.2">
      <c r="A13" s="8" t="s">
        <v>174</v>
      </c>
      <c r="B13" s="7" t="s">
        <v>175</v>
      </c>
      <c r="C13" s="7" t="s">
        <v>174</v>
      </c>
      <c r="D13" s="7" t="s">
        <v>225</v>
      </c>
      <c r="E13" s="3" t="s">
        <v>38</v>
      </c>
      <c r="F13" s="3">
        <v>37372</v>
      </c>
      <c r="G13" s="3"/>
      <c r="H13" s="3"/>
      <c r="I13" s="3"/>
    </row>
    <row r="14" spans="1:16" x14ac:dyDescent="0.2">
      <c r="A14" s="8" t="s">
        <v>174</v>
      </c>
      <c r="B14" s="7" t="s">
        <v>175</v>
      </c>
      <c r="C14" s="7" t="s">
        <v>174</v>
      </c>
      <c r="D14" s="7" t="s">
        <v>225</v>
      </c>
      <c r="E14" s="3" t="s">
        <v>22</v>
      </c>
      <c r="F14" s="3">
        <v>36705</v>
      </c>
      <c r="G14" s="3"/>
      <c r="H14" s="3"/>
    </row>
    <row r="15" spans="1:16" x14ac:dyDescent="0.2">
      <c r="A15" s="8" t="s">
        <v>174</v>
      </c>
      <c r="B15" s="7" t="s">
        <v>175</v>
      </c>
      <c r="C15" s="7" t="s">
        <v>174</v>
      </c>
      <c r="D15" s="7" t="s">
        <v>225</v>
      </c>
      <c r="E15" s="3" t="s">
        <v>11</v>
      </c>
      <c r="F15" s="3">
        <v>36251</v>
      </c>
      <c r="G15" s="3"/>
      <c r="H15" s="3"/>
    </row>
    <row r="16" spans="1:16" x14ac:dyDescent="0.2">
      <c r="A16" s="20" t="s">
        <v>161</v>
      </c>
      <c r="B16" s="21" t="s">
        <v>162</v>
      </c>
      <c r="C16" s="21" t="s">
        <v>161</v>
      </c>
      <c r="D16" s="7" t="s">
        <v>216</v>
      </c>
      <c r="E16" s="3" t="s">
        <v>117</v>
      </c>
      <c r="F16" s="3">
        <v>35809</v>
      </c>
      <c r="G16" s="3"/>
      <c r="H16" s="3"/>
    </row>
    <row r="17" spans="1:12" x14ac:dyDescent="0.2">
      <c r="A17" s="8" t="s">
        <v>174</v>
      </c>
      <c r="B17" s="7" t="s">
        <v>175</v>
      </c>
      <c r="C17" s="7" t="s">
        <v>174</v>
      </c>
      <c r="D17" s="7" t="s">
        <v>225</v>
      </c>
      <c r="E17" s="3" t="s">
        <v>15</v>
      </c>
      <c r="F17" s="3">
        <v>34592</v>
      </c>
      <c r="G17" s="3"/>
      <c r="H17" s="3"/>
    </row>
    <row r="18" spans="1:12" x14ac:dyDescent="0.2">
      <c r="A18" s="20" t="s">
        <v>161</v>
      </c>
      <c r="B18" s="21" t="s">
        <v>162</v>
      </c>
      <c r="C18" s="21" t="s">
        <v>161</v>
      </c>
      <c r="D18" s="7" t="s">
        <v>216</v>
      </c>
      <c r="E18" s="3" t="s">
        <v>166</v>
      </c>
      <c r="F18" s="3">
        <v>32687</v>
      </c>
      <c r="G18" s="3"/>
      <c r="H18" s="3"/>
    </row>
    <row r="19" spans="1:12" x14ac:dyDescent="0.2">
      <c r="A19" s="8" t="s">
        <v>174</v>
      </c>
      <c r="B19" s="7" t="s">
        <v>175</v>
      </c>
      <c r="C19" s="7" t="s">
        <v>174</v>
      </c>
      <c r="D19" s="7" t="s">
        <v>225</v>
      </c>
      <c r="E19" s="3" t="s">
        <v>10</v>
      </c>
      <c r="F19" s="3">
        <v>32644</v>
      </c>
      <c r="G19" s="3"/>
      <c r="H19" s="3"/>
    </row>
    <row r="20" spans="1:12" x14ac:dyDescent="0.2">
      <c r="A20" s="8" t="s">
        <v>174</v>
      </c>
      <c r="B20" s="7" t="s">
        <v>175</v>
      </c>
      <c r="C20" s="7" t="s">
        <v>174</v>
      </c>
      <c r="D20" s="7" t="s">
        <v>225</v>
      </c>
      <c r="E20" s="3" t="s">
        <v>12</v>
      </c>
      <c r="F20" s="3">
        <v>31278</v>
      </c>
      <c r="G20" s="3"/>
      <c r="H20" s="3"/>
    </row>
    <row r="21" spans="1:12" x14ac:dyDescent="0.2">
      <c r="A21" s="8" t="s">
        <v>174</v>
      </c>
      <c r="B21" s="7" t="s">
        <v>175</v>
      </c>
      <c r="C21" s="7" t="s">
        <v>174</v>
      </c>
      <c r="D21" s="7" t="s">
        <v>225</v>
      </c>
      <c r="E21" s="3" t="s">
        <v>14</v>
      </c>
      <c r="F21" s="3">
        <v>28489</v>
      </c>
      <c r="G21" s="3"/>
      <c r="H21" s="3"/>
    </row>
    <row r="22" spans="1:12" x14ac:dyDescent="0.2">
      <c r="A22" s="20" t="s">
        <v>161</v>
      </c>
      <c r="B22" s="21" t="s">
        <v>162</v>
      </c>
      <c r="C22" s="21" t="s">
        <v>161</v>
      </c>
      <c r="D22" s="7" t="s">
        <v>216</v>
      </c>
      <c r="E22" s="3" t="s">
        <v>119</v>
      </c>
      <c r="F22" s="3">
        <v>28011</v>
      </c>
      <c r="G22" s="3"/>
      <c r="H22" s="3"/>
    </row>
    <row r="23" spans="1:12" x14ac:dyDescent="0.2">
      <c r="A23" s="20" t="s">
        <v>161</v>
      </c>
      <c r="B23" s="21" t="s">
        <v>162</v>
      </c>
      <c r="C23" s="21" t="s">
        <v>161</v>
      </c>
      <c r="D23" s="7" t="s">
        <v>216</v>
      </c>
      <c r="E23" s="3" t="s">
        <v>167</v>
      </c>
      <c r="F23" s="3">
        <v>26320</v>
      </c>
      <c r="G23" s="3"/>
      <c r="H23" s="3"/>
    </row>
    <row r="24" spans="1:12" x14ac:dyDescent="0.2">
      <c r="A24" s="8" t="s">
        <v>174</v>
      </c>
      <c r="B24" s="7" t="s">
        <v>175</v>
      </c>
      <c r="C24" s="7" t="s">
        <v>174</v>
      </c>
      <c r="D24" s="7" t="s">
        <v>225</v>
      </c>
      <c r="E24" s="3" t="s">
        <v>16</v>
      </c>
      <c r="F24" s="3">
        <v>26116</v>
      </c>
      <c r="G24" s="3"/>
      <c r="H24" s="3"/>
    </row>
    <row r="25" spans="1:12" x14ac:dyDescent="0.2">
      <c r="A25" s="20" t="s">
        <v>161</v>
      </c>
      <c r="B25" s="21" t="s">
        <v>162</v>
      </c>
      <c r="C25" s="21" t="s">
        <v>161</v>
      </c>
      <c r="D25" s="7" t="s">
        <v>216</v>
      </c>
      <c r="E25" s="3" t="s">
        <v>121</v>
      </c>
      <c r="F25" s="3">
        <v>23961</v>
      </c>
      <c r="G25" s="3"/>
      <c r="H25" s="3"/>
    </row>
    <row r="26" spans="1:12" x14ac:dyDescent="0.2">
      <c r="A26" s="8" t="s">
        <v>174</v>
      </c>
      <c r="B26" s="7" t="s">
        <v>175</v>
      </c>
      <c r="C26" s="7" t="s">
        <v>174</v>
      </c>
      <c r="D26" s="7" t="s">
        <v>225</v>
      </c>
      <c r="E26" s="3" t="s">
        <v>13</v>
      </c>
      <c r="F26" s="3">
        <v>23509</v>
      </c>
      <c r="G26" s="3"/>
      <c r="H26" s="3"/>
      <c r="K26" s="3"/>
      <c r="L26" s="3"/>
    </row>
    <row r="27" spans="1:12" x14ac:dyDescent="0.2">
      <c r="A27" s="8" t="s">
        <v>174</v>
      </c>
      <c r="B27" s="7" t="s">
        <v>175</v>
      </c>
      <c r="C27" s="7" t="s">
        <v>174</v>
      </c>
      <c r="D27" s="7" t="s">
        <v>225</v>
      </c>
      <c r="E27" s="3" t="s">
        <v>31</v>
      </c>
      <c r="F27" s="3">
        <v>22162</v>
      </c>
      <c r="G27" s="3"/>
      <c r="H27" s="3"/>
      <c r="K27" s="3"/>
      <c r="L27" s="3"/>
    </row>
    <row r="28" spans="1:12" x14ac:dyDescent="0.2">
      <c r="A28" s="20" t="s">
        <v>161</v>
      </c>
      <c r="B28" s="21" t="s">
        <v>162</v>
      </c>
      <c r="C28" s="21" t="s">
        <v>161</v>
      </c>
      <c r="D28" s="7" t="s">
        <v>216</v>
      </c>
      <c r="E28" s="3" t="s">
        <v>168</v>
      </c>
      <c r="F28" s="3">
        <v>21072</v>
      </c>
      <c r="G28" s="3"/>
      <c r="H28" s="7"/>
      <c r="K28" s="3"/>
      <c r="L28" s="3"/>
    </row>
    <row r="29" spans="1:12" x14ac:dyDescent="0.2">
      <c r="A29" s="8" t="s">
        <v>174</v>
      </c>
      <c r="B29" s="7" t="s">
        <v>175</v>
      </c>
      <c r="C29" s="7" t="s">
        <v>174</v>
      </c>
      <c r="D29" s="7" t="s">
        <v>225</v>
      </c>
      <c r="E29" s="3" t="s">
        <v>49</v>
      </c>
      <c r="F29" s="3">
        <v>19704</v>
      </c>
      <c r="G29" s="3"/>
      <c r="H29" s="7"/>
      <c r="I29" s="3"/>
      <c r="K29" s="3"/>
      <c r="L29" s="3"/>
    </row>
    <row r="30" spans="1:12" x14ac:dyDescent="0.2">
      <c r="A30" s="8" t="s">
        <v>174</v>
      </c>
      <c r="B30" s="7" t="s">
        <v>175</v>
      </c>
      <c r="C30" s="7" t="s">
        <v>174</v>
      </c>
      <c r="D30" s="7" t="s">
        <v>225</v>
      </c>
      <c r="E30" s="3" t="s">
        <v>28</v>
      </c>
      <c r="F30" s="3">
        <v>18550</v>
      </c>
      <c r="G30" s="3"/>
      <c r="H30" s="3"/>
      <c r="I30" s="3"/>
      <c r="K30" s="3"/>
      <c r="L30" s="3"/>
    </row>
    <row r="31" spans="1:12" x14ac:dyDescent="0.2">
      <c r="A31" s="8" t="s">
        <v>174</v>
      </c>
      <c r="B31" s="7" t="s">
        <v>175</v>
      </c>
      <c r="C31" s="7" t="s">
        <v>174</v>
      </c>
      <c r="D31" s="7" t="s">
        <v>225</v>
      </c>
      <c r="E31" s="3" t="s">
        <v>18</v>
      </c>
      <c r="F31" s="3">
        <v>16500</v>
      </c>
      <c r="G31" s="3"/>
      <c r="H31" s="7"/>
      <c r="I31" s="3"/>
      <c r="K31" s="3"/>
      <c r="L31" s="3"/>
    </row>
    <row r="32" spans="1:12" x14ac:dyDescent="0.2">
      <c r="A32" s="8" t="s">
        <v>174</v>
      </c>
      <c r="B32" s="7" t="s">
        <v>175</v>
      </c>
      <c r="C32" s="7" t="s">
        <v>174</v>
      </c>
      <c r="D32" s="7" t="s">
        <v>225</v>
      </c>
      <c r="E32" s="3" t="s">
        <v>35</v>
      </c>
      <c r="F32" s="3">
        <v>15709</v>
      </c>
      <c r="G32" s="3"/>
      <c r="H32" s="7"/>
      <c r="I32" s="3"/>
      <c r="K32" s="3"/>
      <c r="L32" s="3"/>
    </row>
    <row r="33" spans="1:12" x14ac:dyDescent="0.2">
      <c r="A33" s="20" t="s">
        <v>161</v>
      </c>
      <c r="B33" s="21" t="s">
        <v>162</v>
      </c>
      <c r="C33" s="21" t="s">
        <v>161</v>
      </c>
      <c r="D33" s="7" t="s">
        <v>216</v>
      </c>
      <c r="E33" s="3" t="s">
        <v>169</v>
      </c>
      <c r="F33" s="3">
        <v>14100</v>
      </c>
      <c r="G33" s="3"/>
      <c r="H33" s="3"/>
      <c r="I33" s="3"/>
      <c r="K33" s="3"/>
      <c r="L33" s="3"/>
    </row>
    <row r="34" spans="1:12" x14ac:dyDescent="0.2">
      <c r="A34" s="8" t="s">
        <v>174</v>
      </c>
      <c r="B34" s="7" t="s">
        <v>175</v>
      </c>
      <c r="C34" s="7" t="s">
        <v>174</v>
      </c>
      <c r="D34" s="7" t="s">
        <v>225</v>
      </c>
      <c r="E34" s="3" t="s">
        <v>26</v>
      </c>
      <c r="F34" s="3">
        <v>13785</v>
      </c>
      <c r="G34" s="3"/>
      <c r="H34" s="7"/>
      <c r="I34" s="3"/>
      <c r="K34" s="3"/>
      <c r="L34" s="3"/>
    </row>
    <row r="35" spans="1:12" x14ac:dyDescent="0.2">
      <c r="A35" s="8" t="s">
        <v>174</v>
      </c>
      <c r="B35" s="7" t="s">
        <v>175</v>
      </c>
      <c r="C35" s="7" t="s">
        <v>174</v>
      </c>
      <c r="D35" s="7" t="s">
        <v>225</v>
      </c>
      <c r="E35" s="3" t="s">
        <v>21</v>
      </c>
      <c r="F35" s="3">
        <v>12514</v>
      </c>
      <c r="G35" s="3"/>
      <c r="H35" s="7"/>
      <c r="I35" s="3"/>
      <c r="K35" s="3"/>
      <c r="L35" s="3"/>
    </row>
    <row r="36" spans="1:12" x14ac:dyDescent="0.2">
      <c r="A36" s="8" t="s">
        <v>174</v>
      </c>
      <c r="B36" s="7" t="s">
        <v>175</v>
      </c>
      <c r="C36" s="7" t="s">
        <v>174</v>
      </c>
      <c r="D36" s="7" t="s">
        <v>225</v>
      </c>
      <c r="E36" s="3" t="s">
        <v>25</v>
      </c>
      <c r="F36" s="3">
        <v>12047</v>
      </c>
      <c r="G36" s="3"/>
      <c r="H36" s="7"/>
      <c r="I36" s="3"/>
      <c r="K36" s="3"/>
      <c r="L36" s="3"/>
    </row>
    <row r="37" spans="1:12" x14ac:dyDescent="0.2">
      <c r="A37" s="8" t="s">
        <v>174</v>
      </c>
      <c r="B37" s="7" t="s">
        <v>175</v>
      </c>
      <c r="C37" s="7" t="s">
        <v>174</v>
      </c>
      <c r="D37" s="7" t="s">
        <v>225</v>
      </c>
      <c r="E37" s="3" t="s">
        <v>51</v>
      </c>
      <c r="F37" s="3">
        <v>11665</v>
      </c>
      <c r="G37" s="3"/>
      <c r="H37" s="7"/>
      <c r="I37" s="3"/>
      <c r="K37" s="3"/>
      <c r="L37" s="3"/>
    </row>
    <row r="38" spans="1:12" x14ac:dyDescent="0.2">
      <c r="A38" s="8" t="s">
        <v>174</v>
      </c>
      <c r="B38" s="7" t="s">
        <v>175</v>
      </c>
      <c r="C38" s="7" t="s">
        <v>174</v>
      </c>
      <c r="D38" s="7" t="s">
        <v>225</v>
      </c>
      <c r="E38" s="3" t="s">
        <v>24</v>
      </c>
      <c r="F38" s="3">
        <v>11023</v>
      </c>
      <c r="G38" s="3"/>
      <c r="H38" s="7"/>
      <c r="I38" s="3"/>
      <c r="K38" s="3"/>
      <c r="L38" s="3"/>
    </row>
    <row r="39" spans="1:12" x14ac:dyDescent="0.2">
      <c r="A39" s="20" t="s">
        <v>161</v>
      </c>
      <c r="B39" s="21" t="s">
        <v>162</v>
      </c>
      <c r="C39" s="21" t="s">
        <v>161</v>
      </c>
      <c r="D39" s="7" t="s">
        <v>216</v>
      </c>
      <c r="E39" s="3" t="s">
        <v>126</v>
      </c>
      <c r="F39" s="3">
        <v>10249</v>
      </c>
      <c r="G39" s="3"/>
      <c r="H39" s="7"/>
      <c r="I39" s="3"/>
      <c r="K39" s="3"/>
      <c r="L39" s="3"/>
    </row>
    <row r="40" spans="1:12" x14ac:dyDescent="0.2">
      <c r="A40" s="8" t="s">
        <v>174</v>
      </c>
      <c r="B40" s="7" t="s">
        <v>175</v>
      </c>
      <c r="C40" s="7" t="s">
        <v>174</v>
      </c>
      <c r="D40" s="7" t="s">
        <v>225</v>
      </c>
      <c r="E40" s="3" t="s">
        <v>32</v>
      </c>
      <c r="F40" s="3">
        <v>9943</v>
      </c>
      <c r="G40" s="3"/>
      <c r="H40" s="7"/>
      <c r="I40" s="3"/>
      <c r="K40" s="3"/>
      <c r="L40" s="3"/>
    </row>
    <row r="41" spans="1:12" x14ac:dyDescent="0.2">
      <c r="A41" s="8" t="s">
        <v>174</v>
      </c>
      <c r="B41" s="7" t="s">
        <v>175</v>
      </c>
      <c r="C41" s="7" t="s">
        <v>174</v>
      </c>
      <c r="D41" s="7" t="s">
        <v>225</v>
      </c>
      <c r="E41" s="3" t="s">
        <v>34</v>
      </c>
      <c r="F41" s="3">
        <v>9399</v>
      </c>
      <c r="G41" s="3"/>
      <c r="H41" s="7"/>
      <c r="I41" s="3"/>
      <c r="K41" s="3"/>
      <c r="L41" s="3"/>
    </row>
    <row r="42" spans="1:12" x14ac:dyDescent="0.2">
      <c r="A42" s="8" t="s">
        <v>174</v>
      </c>
      <c r="B42" s="7" t="s">
        <v>175</v>
      </c>
      <c r="C42" s="7" t="s">
        <v>174</v>
      </c>
      <c r="D42" s="7" t="s">
        <v>225</v>
      </c>
      <c r="E42" s="3" t="s">
        <v>17</v>
      </c>
      <c r="F42" s="3">
        <v>9199</v>
      </c>
      <c r="G42" s="3"/>
      <c r="H42" s="7"/>
      <c r="I42" s="3"/>
      <c r="K42" s="3"/>
      <c r="L42" s="3"/>
    </row>
    <row r="43" spans="1:12" x14ac:dyDescent="0.2">
      <c r="A43" s="20" t="s">
        <v>161</v>
      </c>
      <c r="B43" s="21" t="s">
        <v>162</v>
      </c>
      <c r="C43" s="21" t="s">
        <v>161</v>
      </c>
      <c r="D43" s="7" t="s">
        <v>216</v>
      </c>
      <c r="E43" s="7" t="s">
        <v>170</v>
      </c>
      <c r="F43" s="7">
        <v>8704</v>
      </c>
      <c r="G43" s="3"/>
      <c r="H43" s="7"/>
      <c r="I43" s="3"/>
      <c r="K43" s="3"/>
      <c r="L43" s="3"/>
    </row>
    <row r="44" spans="1:12" x14ac:dyDescent="0.2">
      <c r="A44" s="8" t="s">
        <v>174</v>
      </c>
      <c r="B44" s="7" t="s">
        <v>175</v>
      </c>
      <c r="C44" s="7" t="s">
        <v>174</v>
      </c>
      <c r="D44" s="7" t="s">
        <v>225</v>
      </c>
      <c r="E44" s="3" t="s">
        <v>44</v>
      </c>
      <c r="F44" s="3">
        <v>7973</v>
      </c>
      <c r="G44" s="3"/>
      <c r="H44" s="7"/>
      <c r="I44" s="3"/>
      <c r="K44" s="3"/>
      <c r="L44" s="3"/>
    </row>
    <row r="45" spans="1:12" x14ac:dyDescent="0.2">
      <c r="A45" s="8" t="s">
        <v>174</v>
      </c>
      <c r="B45" s="7" t="s">
        <v>175</v>
      </c>
      <c r="C45" s="7" t="s">
        <v>174</v>
      </c>
      <c r="D45" s="7" t="s">
        <v>225</v>
      </c>
      <c r="E45" s="3" t="s">
        <v>33</v>
      </c>
      <c r="F45" s="3">
        <v>7693</v>
      </c>
      <c r="G45" s="3"/>
      <c r="H45" s="7"/>
      <c r="I45" s="3"/>
      <c r="K45" s="3"/>
      <c r="L45" s="3"/>
    </row>
    <row r="46" spans="1:12" x14ac:dyDescent="0.2">
      <c r="A46" s="8" t="s">
        <v>174</v>
      </c>
      <c r="B46" s="7" t="s">
        <v>175</v>
      </c>
      <c r="C46" s="7" t="s">
        <v>174</v>
      </c>
      <c r="D46" s="7" t="s">
        <v>225</v>
      </c>
      <c r="E46" s="3" t="s">
        <v>67</v>
      </c>
      <c r="F46" s="3">
        <v>6906</v>
      </c>
      <c r="G46" s="3"/>
      <c r="H46" s="7"/>
      <c r="I46" s="3"/>
      <c r="K46" s="3"/>
      <c r="L46" s="3"/>
    </row>
    <row r="47" spans="1:12" x14ac:dyDescent="0.2">
      <c r="A47" s="8" t="s">
        <v>174</v>
      </c>
      <c r="B47" s="7" t="s">
        <v>175</v>
      </c>
      <c r="C47" s="7" t="s">
        <v>174</v>
      </c>
      <c r="D47" s="7" t="s">
        <v>225</v>
      </c>
      <c r="E47" s="3" t="s">
        <v>69</v>
      </c>
      <c r="F47" s="3">
        <v>6619</v>
      </c>
      <c r="G47" s="3"/>
      <c r="H47" s="7"/>
      <c r="I47" s="3"/>
      <c r="J47" s="3"/>
      <c r="K47" s="3"/>
      <c r="L47" s="3"/>
    </row>
    <row r="48" spans="1:12" x14ac:dyDescent="0.2">
      <c r="A48" s="8" t="s">
        <v>174</v>
      </c>
      <c r="B48" s="7" t="s">
        <v>175</v>
      </c>
      <c r="C48" s="7" t="s">
        <v>174</v>
      </c>
      <c r="D48" s="7" t="s">
        <v>225</v>
      </c>
      <c r="E48" s="3" t="s">
        <v>27</v>
      </c>
      <c r="F48" s="3">
        <v>6381</v>
      </c>
      <c r="G48" s="3"/>
      <c r="H48" s="7"/>
      <c r="I48" s="3"/>
      <c r="J48" s="3"/>
      <c r="K48" s="3"/>
      <c r="L48" s="3"/>
    </row>
    <row r="49" spans="1:12" x14ac:dyDescent="0.2">
      <c r="A49" s="8" t="s">
        <v>174</v>
      </c>
      <c r="B49" s="7" t="s">
        <v>175</v>
      </c>
      <c r="C49" s="7" t="s">
        <v>174</v>
      </c>
      <c r="D49" s="7" t="s">
        <v>225</v>
      </c>
      <c r="E49" s="3" t="s">
        <v>53</v>
      </c>
      <c r="F49" s="3">
        <v>6026</v>
      </c>
      <c r="G49" s="3"/>
      <c r="H49" s="7"/>
      <c r="I49" s="3"/>
      <c r="K49" s="3"/>
      <c r="L49" s="3"/>
    </row>
    <row r="50" spans="1:12" x14ac:dyDescent="0.2">
      <c r="A50" s="8" t="s">
        <v>174</v>
      </c>
      <c r="B50" s="7" t="s">
        <v>175</v>
      </c>
      <c r="C50" s="7" t="s">
        <v>174</v>
      </c>
      <c r="D50" s="7" t="s">
        <v>225</v>
      </c>
      <c r="E50" s="3" t="s">
        <v>54</v>
      </c>
      <c r="F50" s="3">
        <v>5612</v>
      </c>
      <c r="G50" s="3"/>
      <c r="H50" s="7"/>
      <c r="I50" s="3"/>
      <c r="K50" s="3"/>
      <c r="L50" s="3"/>
    </row>
    <row r="51" spans="1:12" x14ac:dyDescent="0.2">
      <c r="A51" s="8" t="s">
        <v>174</v>
      </c>
      <c r="B51" s="7" t="s">
        <v>175</v>
      </c>
      <c r="C51" s="7" t="s">
        <v>174</v>
      </c>
      <c r="D51" s="7" t="s">
        <v>225</v>
      </c>
      <c r="E51" s="3" t="s">
        <v>70</v>
      </c>
      <c r="F51" s="3">
        <v>5361</v>
      </c>
      <c r="G51" s="3"/>
      <c r="H51" s="7"/>
      <c r="I51" s="3"/>
      <c r="K51" s="3"/>
      <c r="L51" s="3"/>
    </row>
    <row r="52" spans="1:12" x14ac:dyDescent="0.2">
      <c r="A52" s="8" t="s">
        <v>174</v>
      </c>
      <c r="B52" s="7" t="s">
        <v>175</v>
      </c>
      <c r="C52" s="7" t="s">
        <v>174</v>
      </c>
      <c r="D52" s="7" t="s">
        <v>225</v>
      </c>
      <c r="E52" s="3" t="s">
        <v>74</v>
      </c>
      <c r="F52" s="3">
        <v>5004</v>
      </c>
      <c r="G52" s="3"/>
      <c r="H52" s="7"/>
      <c r="I52" s="3"/>
      <c r="K52" s="3"/>
      <c r="L52" s="3"/>
    </row>
    <row r="53" spans="1:12" x14ac:dyDescent="0.2">
      <c r="A53" s="8" t="s">
        <v>174</v>
      </c>
      <c r="B53" s="7" t="s">
        <v>175</v>
      </c>
      <c r="C53" s="7" t="s">
        <v>174</v>
      </c>
      <c r="D53" s="7" t="s">
        <v>225</v>
      </c>
      <c r="E53" s="3" t="s">
        <v>40</v>
      </c>
      <c r="F53" s="3">
        <v>4605</v>
      </c>
      <c r="G53" s="3"/>
      <c r="H53" s="7"/>
      <c r="I53" s="3"/>
      <c r="K53" s="3"/>
      <c r="L53" s="3"/>
    </row>
    <row r="54" spans="1:12" x14ac:dyDescent="0.2">
      <c r="A54" s="20" t="s">
        <v>161</v>
      </c>
      <c r="B54" s="21" t="s">
        <v>162</v>
      </c>
      <c r="C54" s="21" t="s">
        <v>161</v>
      </c>
      <c r="D54" s="7" t="s">
        <v>216</v>
      </c>
      <c r="E54" s="3" t="s">
        <v>129</v>
      </c>
      <c r="F54" s="3">
        <v>4555</v>
      </c>
      <c r="G54" s="3"/>
      <c r="H54" s="7"/>
      <c r="I54" s="3"/>
      <c r="K54" s="3"/>
      <c r="L54" s="3"/>
    </row>
    <row r="55" spans="1:12" x14ac:dyDescent="0.2">
      <c r="A55" s="8" t="s">
        <v>174</v>
      </c>
      <c r="B55" s="7" t="s">
        <v>175</v>
      </c>
      <c r="C55" s="7" t="s">
        <v>174</v>
      </c>
      <c r="D55" s="7" t="s">
        <v>225</v>
      </c>
      <c r="E55" s="3" t="s">
        <v>30</v>
      </c>
      <c r="F55" s="3">
        <v>4433</v>
      </c>
      <c r="G55" s="3"/>
      <c r="H55" s="7"/>
      <c r="I55" s="3"/>
      <c r="K55" s="3"/>
      <c r="L55" s="3"/>
    </row>
    <row r="56" spans="1:12" x14ac:dyDescent="0.2">
      <c r="A56" s="20" t="s">
        <v>161</v>
      </c>
      <c r="B56" s="21" t="s">
        <v>162</v>
      </c>
      <c r="C56" s="21" t="s">
        <v>161</v>
      </c>
      <c r="D56" s="7" t="s">
        <v>216</v>
      </c>
      <c r="E56" s="3" t="s">
        <v>127</v>
      </c>
      <c r="F56" s="3">
        <v>4306</v>
      </c>
      <c r="G56" s="3"/>
      <c r="H56" s="7"/>
      <c r="I56" s="3"/>
      <c r="K56" s="3"/>
      <c r="L56" s="3"/>
    </row>
    <row r="57" spans="1:12" x14ac:dyDescent="0.2">
      <c r="A57" s="8" t="s">
        <v>174</v>
      </c>
      <c r="B57" s="7" t="s">
        <v>175</v>
      </c>
      <c r="C57" s="7" t="s">
        <v>174</v>
      </c>
      <c r="D57" s="7" t="s">
        <v>225</v>
      </c>
      <c r="E57" s="3" t="s">
        <v>72</v>
      </c>
      <c r="F57" s="3">
        <v>4090</v>
      </c>
      <c r="G57" s="3"/>
      <c r="H57" s="7"/>
      <c r="I57" s="3"/>
      <c r="K57" s="3"/>
      <c r="L57" s="3"/>
    </row>
    <row r="58" spans="1:12" x14ac:dyDescent="0.2">
      <c r="A58" s="8" t="s">
        <v>174</v>
      </c>
      <c r="B58" s="7" t="s">
        <v>175</v>
      </c>
      <c r="C58" s="7" t="s">
        <v>174</v>
      </c>
      <c r="D58" s="7" t="s">
        <v>225</v>
      </c>
      <c r="E58" s="3" t="s">
        <v>65</v>
      </c>
      <c r="F58" s="3">
        <v>3686</v>
      </c>
      <c r="G58" s="3"/>
      <c r="H58" s="7"/>
      <c r="I58" s="3"/>
      <c r="K58" s="3"/>
      <c r="L58" s="3"/>
    </row>
    <row r="59" spans="1:12" x14ac:dyDescent="0.2">
      <c r="A59" s="8" t="s">
        <v>174</v>
      </c>
      <c r="B59" s="7" t="s">
        <v>175</v>
      </c>
      <c r="C59" s="7" t="s">
        <v>174</v>
      </c>
      <c r="D59" s="7" t="s">
        <v>225</v>
      </c>
      <c r="E59" s="3" t="s">
        <v>43</v>
      </c>
      <c r="F59" s="3">
        <v>3205</v>
      </c>
      <c r="G59" s="3"/>
      <c r="H59" s="7"/>
      <c r="I59" s="3"/>
      <c r="K59" s="3"/>
      <c r="L59" s="3"/>
    </row>
    <row r="60" spans="1:12" x14ac:dyDescent="0.2">
      <c r="A60" s="20" t="s">
        <v>161</v>
      </c>
      <c r="B60" s="21" t="s">
        <v>162</v>
      </c>
      <c r="C60" s="21" t="s">
        <v>161</v>
      </c>
      <c r="D60" s="7" t="s">
        <v>216</v>
      </c>
      <c r="E60" s="3" t="s">
        <v>128</v>
      </c>
      <c r="F60" s="3">
        <v>2948</v>
      </c>
      <c r="G60" s="3"/>
      <c r="H60" s="7"/>
      <c r="I60" s="3"/>
      <c r="K60" s="3"/>
      <c r="L60" s="3"/>
    </row>
    <row r="61" spans="1:12" x14ac:dyDescent="0.2">
      <c r="A61" s="8" t="s">
        <v>174</v>
      </c>
      <c r="B61" s="7" t="s">
        <v>175</v>
      </c>
      <c r="C61" s="7" t="s">
        <v>174</v>
      </c>
      <c r="D61" s="7" t="s">
        <v>225</v>
      </c>
      <c r="E61" s="3" t="s">
        <v>73</v>
      </c>
      <c r="F61" s="3">
        <v>2943</v>
      </c>
      <c r="G61" s="3"/>
      <c r="H61" s="7"/>
      <c r="I61" s="3"/>
      <c r="K61" s="3"/>
      <c r="L61" s="3"/>
    </row>
    <row r="62" spans="1:12" x14ac:dyDescent="0.2">
      <c r="A62" s="8" t="s">
        <v>174</v>
      </c>
      <c r="B62" s="7" t="s">
        <v>175</v>
      </c>
      <c r="C62" s="7" t="s">
        <v>174</v>
      </c>
      <c r="D62" s="7" t="s">
        <v>225</v>
      </c>
      <c r="E62" s="3" t="s">
        <v>45</v>
      </c>
      <c r="F62" s="3">
        <v>2927</v>
      </c>
      <c r="G62" s="3"/>
      <c r="H62" s="7"/>
      <c r="I62" s="3"/>
      <c r="K62" s="3"/>
      <c r="L62" s="3"/>
    </row>
    <row r="63" spans="1:12" x14ac:dyDescent="0.2">
      <c r="A63" s="8" t="s">
        <v>174</v>
      </c>
      <c r="B63" s="7" t="s">
        <v>175</v>
      </c>
      <c r="C63" s="7" t="s">
        <v>174</v>
      </c>
      <c r="D63" s="7" t="s">
        <v>225</v>
      </c>
      <c r="E63" s="3" t="s">
        <v>41</v>
      </c>
      <c r="F63" s="3">
        <v>2659</v>
      </c>
      <c r="G63" s="3"/>
      <c r="H63" s="7"/>
      <c r="I63" s="3"/>
      <c r="K63" s="3"/>
      <c r="L63" s="3"/>
    </row>
    <row r="64" spans="1:12" x14ac:dyDescent="0.2">
      <c r="A64" s="8" t="s">
        <v>174</v>
      </c>
      <c r="B64" s="7" t="s">
        <v>175</v>
      </c>
      <c r="C64" s="7" t="s">
        <v>174</v>
      </c>
      <c r="D64" s="7" t="s">
        <v>225</v>
      </c>
      <c r="E64" s="3" t="s">
        <v>52</v>
      </c>
      <c r="F64" s="3">
        <v>2645</v>
      </c>
      <c r="G64" s="3"/>
      <c r="H64" s="7"/>
      <c r="I64" s="3"/>
      <c r="K64" s="3"/>
      <c r="L64" s="3"/>
    </row>
    <row r="65" spans="1:12" x14ac:dyDescent="0.2">
      <c r="A65" s="20" t="s">
        <v>161</v>
      </c>
      <c r="B65" s="21" t="s">
        <v>162</v>
      </c>
      <c r="C65" s="21" t="s">
        <v>161</v>
      </c>
      <c r="D65" s="7" t="s">
        <v>216</v>
      </c>
      <c r="E65" s="3" t="s">
        <v>171</v>
      </c>
      <c r="F65" s="3">
        <v>2581</v>
      </c>
      <c r="G65" s="3"/>
      <c r="H65" s="7"/>
      <c r="I65" s="3"/>
      <c r="K65" s="3"/>
      <c r="L65" s="3"/>
    </row>
    <row r="66" spans="1:12" x14ac:dyDescent="0.2">
      <c r="A66" s="8" t="s">
        <v>174</v>
      </c>
      <c r="B66" s="7" t="s">
        <v>175</v>
      </c>
      <c r="C66" s="7" t="s">
        <v>174</v>
      </c>
      <c r="D66" s="7" t="s">
        <v>225</v>
      </c>
      <c r="E66" s="3" t="s">
        <v>60</v>
      </c>
      <c r="F66" s="3">
        <v>2487</v>
      </c>
      <c r="G66" s="3"/>
      <c r="H66" s="7"/>
      <c r="I66" s="3"/>
      <c r="K66" s="3"/>
      <c r="L66" s="3"/>
    </row>
    <row r="67" spans="1:12" x14ac:dyDescent="0.2">
      <c r="A67" s="8" t="s">
        <v>174</v>
      </c>
      <c r="B67" s="7" t="s">
        <v>175</v>
      </c>
      <c r="C67" s="7" t="s">
        <v>174</v>
      </c>
      <c r="D67" s="7" t="s">
        <v>225</v>
      </c>
      <c r="E67" s="3" t="s">
        <v>39</v>
      </c>
      <c r="F67" s="3">
        <v>2396</v>
      </c>
      <c r="G67" s="3"/>
      <c r="H67" s="7"/>
      <c r="I67" s="3"/>
      <c r="K67" s="3"/>
      <c r="L67" s="3"/>
    </row>
    <row r="68" spans="1:12" x14ac:dyDescent="0.2">
      <c r="A68" s="8" t="s">
        <v>174</v>
      </c>
      <c r="B68" s="7" t="s">
        <v>175</v>
      </c>
      <c r="C68" s="7" t="s">
        <v>174</v>
      </c>
      <c r="D68" s="7" t="s">
        <v>225</v>
      </c>
      <c r="E68" s="3" t="s">
        <v>63</v>
      </c>
      <c r="F68" s="3">
        <v>2333</v>
      </c>
      <c r="G68" s="3"/>
      <c r="H68" s="7"/>
      <c r="I68" s="3"/>
      <c r="K68" s="3"/>
      <c r="L68" s="3"/>
    </row>
    <row r="69" spans="1:12" x14ac:dyDescent="0.2">
      <c r="A69" s="8" t="s">
        <v>174</v>
      </c>
      <c r="B69" s="7" t="s">
        <v>175</v>
      </c>
      <c r="C69" s="7" t="s">
        <v>174</v>
      </c>
      <c r="D69" s="7" t="s">
        <v>225</v>
      </c>
      <c r="E69" s="3" t="s">
        <v>37</v>
      </c>
      <c r="F69" s="3">
        <v>2198</v>
      </c>
      <c r="G69" s="3"/>
      <c r="H69" s="7"/>
      <c r="I69" s="3"/>
      <c r="K69" s="3"/>
      <c r="L69" s="3"/>
    </row>
    <row r="70" spans="1:12" x14ac:dyDescent="0.2">
      <c r="A70" s="8" t="s">
        <v>174</v>
      </c>
      <c r="B70" s="7" t="s">
        <v>175</v>
      </c>
      <c r="C70" s="7" t="s">
        <v>174</v>
      </c>
      <c r="D70" s="7" t="s">
        <v>225</v>
      </c>
      <c r="E70" s="3" t="s">
        <v>62</v>
      </c>
      <c r="F70" s="3">
        <v>2083</v>
      </c>
      <c r="G70" s="3"/>
      <c r="H70" s="7"/>
      <c r="I70" s="3"/>
      <c r="K70" s="3"/>
      <c r="L70" s="3"/>
    </row>
    <row r="71" spans="1:12" x14ac:dyDescent="0.2">
      <c r="A71" s="8" t="s">
        <v>174</v>
      </c>
      <c r="B71" s="7" t="s">
        <v>175</v>
      </c>
      <c r="C71" s="7" t="s">
        <v>174</v>
      </c>
      <c r="D71" s="7" t="s">
        <v>225</v>
      </c>
      <c r="E71" s="3" t="s">
        <v>56</v>
      </c>
      <c r="F71" s="3">
        <v>1990</v>
      </c>
      <c r="G71" s="3"/>
      <c r="H71" s="7"/>
      <c r="I71" s="3"/>
      <c r="K71" s="3"/>
      <c r="L71" s="3"/>
    </row>
    <row r="72" spans="1:12" x14ac:dyDescent="0.2">
      <c r="A72" s="8" t="s">
        <v>174</v>
      </c>
      <c r="B72" s="7" t="s">
        <v>175</v>
      </c>
      <c r="C72" s="7" t="s">
        <v>174</v>
      </c>
      <c r="D72" s="7" t="s">
        <v>225</v>
      </c>
      <c r="E72" s="3" t="s">
        <v>66</v>
      </c>
      <c r="F72" s="3">
        <v>1932</v>
      </c>
      <c r="G72" s="3"/>
      <c r="H72" s="7"/>
      <c r="I72" s="3"/>
      <c r="J72" s="3"/>
      <c r="K72" s="3"/>
      <c r="L72" s="3"/>
    </row>
    <row r="73" spans="1:12" x14ac:dyDescent="0.2">
      <c r="A73" s="20" t="s">
        <v>161</v>
      </c>
      <c r="B73" s="21" t="s">
        <v>162</v>
      </c>
      <c r="C73" s="21" t="s">
        <v>161</v>
      </c>
      <c r="D73" s="7" t="s">
        <v>216</v>
      </c>
      <c r="E73" s="3" t="s">
        <v>130</v>
      </c>
      <c r="F73" s="3">
        <v>1892</v>
      </c>
      <c r="G73" s="3"/>
      <c r="H73" s="7"/>
      <c r="I73" s="3"/>
      <c r="J73" s="3"/>
      <c r="K73" s="3"/>
      <c r="L73" s="3"/>
    </row>
    <row r="74" spans="1:12" x14ac:dyDescent="0.2">
      <c r="A74" s="8" t="s">
        <v>174</v>
      </c>
      <c r="B74" s="7" t="s">
        <v>175</v>
      </c>
      <c r="C74" s="7" t="s">
        <v>174</v>
      </c>
      <c r="D74" s="7" t="s">
        <v>225</v>
      </c>
      <c r="E74" s="3" t="s">
        <v>42</v>
      </c>
      <c r="F74" s="3">
        <v>1712</v>
      </c>
      <c r="G74" s="7"/>
      <c r="H74" s="7"/>
      <c r="I74" s="3"/>
      <c r="J74" s="3"/>
      <c r="K74" s="7"/>
      <c r="L74" s="3"/>
    </row>
    <row r="75" spans="1:12" x14ac:dyDescent="0.2">
      <c r="A75" s="8" t="s">
        <v>174</v>
      </c>
      <c r="B75" s="7" t="s">
        <v>175</v>
      </c>
      <c r="C75" s="7" t="s">
        <v>174</v>
      </c>
      <c r="D75" s="7" t="s">
        <v>225</v>
      </c>
      <c r="E75" s="3" t="s">
        <v>58</v>
      </c>
      <c r="F75" s="3">
        <v>1636</v>
      </c>
      <c r="G75" s="3"/>
      <c r="H75" s="7"/>
      <c r="I75" s="3"/>
      <c r="J75" s="3"/>
      <c r="K75" s="3"/>
      <c r="L75" s="3"/>
    </row>
    <row r="76" spans="1:12" x14ac:dyDescent="0.2">
      <c r="A76" s="8" t="s">
        <v>174</v>
      </c>
      <c r="B76" s="7" t="s">
        <v>175</v>
      </c>
      <c r="C76" s="7" t="s">
        <v>174</v>
      </c>
      <c r="D76" s="7" t="s">
        <v>225</v>
      </c>
      <c r="E76" s="3" t="s">
        <v>48</v>
      </c>
      <c r="F76" s="3">
        <v>1599</v>
      </c>
      <c r="G76" s="3"/>
      <c r="H76" s="7"/>
      <c r="I76" s="3"/>
      <c r="K76" s="3"/>
      <c r="L76" s="3"/>
    </row>
    <row r="77" spans="1:12" x14ac:dyDescent="0.2">
      <c r="A77" s="8" t="s">
        <v>174</v>
      </c>
      <c r="B77" s="7" t="s">
        <v>175</v>
      </c>
      <c r="C77" s="7" t="s">
        <v>174</v>
      </c>
      <c r="D77" s="7" t="s">
        <v>225</v>
      </c>
      <c r="E77" s="3" t="s">
        <v>68</v>
      </c>
      <c r="F77" s="3">
        <v>1557</v>
      </c>
      <c r="G77" s="3"/>
      <c r="H77" s="7"/>
      <c r="I77" s="3"/>
      <c r="K77" s="3"/>
      <c r="L77" s="3"/>
    </row>
    <row r="78" spans="1:12" x14ac:dyDescent="0.2">
      <c r="A78" s="8" t="s">
        <v>174</v>
      </c>
      <c r="B78" s="7" t="s">
        <v>175</v>
      </c>
      <c r="C78" s="7" t="s">
        <v>174</v>
      </c>
      <c r="D78" s="7" t="s">
        <v>225</v>
      </c>
      <c r="E78" s="3" t="s">
        <v>50</v>
      </c>
      <c r="F78" s="3">
        <v>1525</v>
      </c>
      <c r="G78" s="3"/>
      <c r="H78" s="7"/>
      <c r="I78" s="3"/>
      <c r="K78" s="3"/>
      <c r="L78" s="3"/>
    </row>
    <row r="79" spans="1:12" x14ac:dyDescent="0.2">
      <c r="A79" s="8" t="s">
        <v>174</v>
      </c>
      <c r="B79" s="7" t="s">
        <v>175</v>
      </c>
      <c r="C79" s="7" t="s">
        <v>174</v>
      </c>
      <c r="D79" s="7" t="s">
        <v>225</v>
      </c>
      <c r="E79" s="3" t="s">
        <v>59</v>
      </c>
      <c r="F79" s="3">
        <v>1403</v>
      </c>
      <c r="G79" s="3"/>
      <c r="H79" s="7"/>
      <c r="I79" s="3"/>
      <c r="K79" s="3"/>
      <c r="L79" s="3"/>
    </row>
    <row r="80" spans="1:12" x14ac:dyDescent="0.2">
      <c r="A80" s="8" t="s">
        <v>174</v>
      </c>
      <c r="B80" s="7" t="s">
        <v>175</v>
      </c>
      <c r="C80" s="7" t="s">
        <v>174</v>
      </c>
      <c r="D80" s="7" t="s">
        <v>225</v>
      </c>
      <c r="E80" s="3" t="s">
        <v>57</v>
      </c>
      <c r="F80" s="3">
        <v>1232</v>
      </c>
      <c r="G80" s="7"/>
      <c r="H80" s="7"/>
      <c r="I80" s="3"/>
      <c r="K80" s="7"/>
      <c r="L80" s="7"/>
    </row>
    <row r="81" spans="1:12" x14ac:dyDescent="0.2">
      <c r="A81" s="20" t="s">
        <v>161</v>
      </c>
      <c r="B81" s="21" t="s">
        <v>162</v>
      </c>
      <c r="C81" s="21" t="s">
        <v>161</v>
      </c>
      <c r="D81" s="7" t="s">
        <v>216</v>
      </c>
      <c r="E81" s="3" t="s">
        <v>172</v>
      </c>
      <c r="F81" s="3">
        <v>1142</v>
      </c>
      <c r="G81" s="7"/>
      <c r="H81" s="7"/>
      <c r="I81" s="3"/>
      <c r="K81" s="7"/>
      <c r="L81" s="7"/>
    </row>
    <row r="82" spans="1:12" x14ac:dyDescent="0.2">
      <c r="A82" s="8" t="s">
        <v>174</v>
      </c>
      <c r="B82" s="7" t="s">
        <v>175</v>
      </c>
      <c r="C82" s="7" t="s">
        <v>174</v>
      </c>
      <c r="D82" s="7" t="s">
        <v>225</v>
      </c>
      <c r="E82" s="3" t="s">
        <v>77</v>
      </c>
      <c r="F82" s="3">
        <v>1054</v>
      </c>
      <c r="G82" s="3"/>
      <c r="H82" s="7"/>
      <c r="I82" s="3"/>
      <c r="K82" s="3"/>
      <c r="L82" s="7"/>
    </row>
    <row r="83" spans="1:12" x14ac:dyDescent="0.2">
      <c r="A83" s="8" t="s">
        <v>174</v>
      </c>
      <c r="B83" s="7" t="s">
        <v>175</v>
      </c>
      <c r="C83" s="7" t="s">
        <v>174</v>
      </c>
      <c r="D83" s="7" t="s">
        <v>225</v>
      </c>
      <c r="E83" s="3" t="s">
        <v>29</v>
      </c>
      <c r="F83" s="3">
        <v>998</v>
      </c>
      <c r="G83" s="7"/>
      <c r="H83" s="7"/>
      <c r="I83" s="3"/>
      <c r="K83" s="7"/>
      <c r="L83" s="7"/>
    </row>
    <row r="84" spans="1:12" x14ac:dyDescent="0.2">
      <c r="A84" s="8" t="s">
        <v>174</v>
      </c>
      <c r="B84" s="7" t="s">
        <v>175</v>
      </c>
      <c r="C84" s="7" t="s">
        <v>174</v>
      </c>
      <c r="D84" s="7" t="s">
        <v>225</v>
      </c>
      <c r="E84" s="3" t="s">
        <v>64</v>
      </c>
      <c r="F84" s="3">
        <v>947</v>
      </c>
      <c r="G84" s="3"/>
      <c r="H84" s="7"/>
      <c r="I84" s="3"/>
      <c r="K84" s="3"/>
      <c r="L84" s="7"/>
    </row>
    <row r="85" spans="1:12" x14ac:dyDescent="0.2">
      <c r="A85" s="8" t="s">
        <v>174</v>
      </c>
      <c r="B85" s="7" t="s">
        <v>175</v>
      </c>
      <c r="C85" s="7" t="s">
        <v>174</v>
      </c>
      <c r="D85" s="7" t="s">
        <v>225</v>
      </c>
      <c r="E85" s="3" t="s">
        <v>78</v>
      </c>
      <c r="F85" s="3">
        <v>909</v>
      </c>
      <c r="G85" s="3"/>
      <c r="H85" s="7"/>
      <c r="I85" s="3"/>
      <c r="K85" s="3"/>
      <c r="L85" s="7"/>
    </row>
    <row r="86" spans="1:12" x14ac:dyDescent="0.2">
      <c r="A86" s="20" t="s">
        <v>161</v>
      </c>
      <c r="B86" s="21" t="s">
        <v>162</v>
      </c>
      <c r="C86" s="21" t="s">
        <v>161</v>
      </c>
      <c r="D86" s="7" t="s">
        <v>216</v>
      </c>
      <c r="E86" s="3" t="s">
        <v>173</v>
      </c>
      <c r="F86" s="3">
        <v>870</v>
      </c>
      <c r="G86" s="7"/>
      <c r="H86" s="7"/>
      <c r="I86" s="3"/>
      <c r="K86" s="7"/>
      <c r="L86" s="7"/>
    </row>
    <row r="87" spans="1:12" x14ac:dyDescent="0.2">
      <c r="A87" s="8" t="s">
        <v>174</v>
      </c>
      <c r="B87" s="7" t="s">
        <v>175</v>
      </c>
      <c r="C87" s="7" t="s">
        <v>174</v>
      </c>
      <c r="D87" s="7" t="s">
        <v>225</v>
      </c>
      <c r="E87" s="3" t="s">
        <v>75</v>
      </c>
      <c r="F87" s="3">
        <v>771</v>
      </c>
      <c r="G87" s="3"/>
      <c r="H87" s="7"/>
      <c r="I87" s="3"/>
      <c r="J87" s="3"/>
      <c r="K87" s="3"/>
      <c r="L87" s="7"/>
    </row>
    <row r="88" spans="1:12" x14ac:dyDescent="0.2">
      <c r="A88" s="8" t="s">
        <v>174</v>
      </c>
      <c r="B88" s="7" t="s">
        <v>175</v>
      </c>
      <c r="C88" s="7" t="s">
        <v>174</v>
      </c>
      <c r="D88" s="7" t="s">
        <v>225</v>
      </c>
      <c r="E88" s="3" t="s">
        <v>55</v>
      </c>
      <c r="F88" s="3">
        <v>721</v>
      </c>
      <c r="G88" s="3"/>
      <c r="H88" s="7"/>
      <c r="I88" s="3"/>
      <c r="J88" s="3"/>
      <c r="K88" s="3"/>
      <c r="L88" s="7"/>
    </row>
    <row r="89" spans="1:12" x14ac:dyDescent="0.2">
      <c r="A89" s="8" t="s">
        <v>174</v>
      </c>
      <c r="B89" s="7" t="s">
        <v>175</v>
      </c>
      <c r="C89" s="7" t="s">
        <v>174</v>
      </c>
      <c r="D89" s="7" t="s">
        <v>225</v>
      </c>
      <c r="E89" s="3" t="s">
        <v>61</v>
      </c>
      <c r="F89" s="3">
        <v>620</v>
      </c>
      <c r="G89" s="3"/>
      <c r="H89" s="7"/>
      <c r="I89" s="3"/>
      <c r="J89" s="3"/>
      <c r="K89" s="3"/>
      <c r="L89" s="7"/>
    </row>
    <row r="90" spans="1:12" x14ac:dyDescent="0.2">
      <c r="A90" s="8" t="s">
        <v>174</v>
      </c>
      <c r="B90" s="7" t="s">
        <v>175</v>
      </c>
      <c r="C90" s="7" t="s">
        <v>174</v>
      </c>
      <c r="D90" s="7" t="s">
        <v>225</v>
      </c>
      <c r="E90" s="3" t="s">
        <v>46</v>
      </c>
      <c r="F90" s="3">
        <v>575</v>
      </c>
      <c r="G90" s="3"/>
      <c r="H90" s="7"/>
      <c r="I90" s="3"/>
      <c r="K90" s="3"/>
      <c r="L90" s="7"/>
    </row>
    <row r="91" spans="1:12" x14ac:dyDescent="0.2">
      <c r="A91" s="8" t="s">
        <v>174</v>
      </c>
      <c r="B91" s="7" t="s">
        <v>175</v>
      </c>
      <c r="C91" s="7" t="s">
        <v>174</v>
      </c>
      <c r="D91" s="7" t="s">
        <v>225</v>
      </c>
      <c r="E91" s="3" t="s">
        <v>47</v>
      </c>
      <c r="F91" s="3">
        <v>533</v>
      </c>
      <c r="G91" s="7"/>
      <c r="H91" s="7"/>
      <c r="I91" s="3"/>
      <c r="K91" s="7"/>
      <c r="L91" s="7"/>
    </row>
    <row r="92" spans="1:12" x14ac:dyDescent="0.2">
      <c r="A92" s="8" t="s">
        <v>174</v>
      </c>
      <c r="B92" s="7" t="s">
        <v>175</v>
      </c>
      <c r="C92" s="7" t="s">
        <v>174</v>
      </c>
      <c r="D92" s="7" t="s">
        <v>225</v>
      </c>
      <c r="E92" s="3" t="s">
        <v>76</v>
      </c>
      <c r="F92" s="3">
        <v>456</v>
      </c>
      <c r="G92" s="3"/>
      <c r="H92" s="7"/>
      <c r="I92" s="3"/>
      <c r="K92" s="3"/>
      <c r="L92" s="7"/>
    </row>
    <row r="93" spans="1:12" x14ac:dyDescent="0.2">
      <c r="A93" s="8" t="s">
        <v>174</v>
      </c>
      <c r="B93" s="7" t="s">
        <v>175</v>
      </c>
      <c r="C93" s="7" t="s">
        <v>174</v>
      </c>
      <c r="D93" s="7" t="s">
        <v>225</v>
      </c>
      <c r="E93" s="3" t="s">
        <v>71</v>
      </c>
      <c r="F93" s="3">
        <v>420</v>
      </c>
      <c r="G93" s="7"/>
      <c r="H93" s="7"/>
      <c r="I93" s="3"/>
      <c r="K93" s="7"/>
      <c r="L93" s="7"/>
    </row>
    <row r="94" spans="1:12" x14ac:dyDescent="0.2">
      <c r="A94" s="20" t="s">
        <v>161</v>
      </c>
      <c r="B94" s="21" t="s">
        <v>162</v>
      </c>
      <c r="C94" s="21" t="s">
        <v>161</v>
      </c>
      <c r="D94" s="7" t="s">
        <v>216</v>
      </c>
      <c r="E94" s="3" t="s">
        <v>134</v>
      </c>
      <c r="F94" s="3">
        <v>6</v>
      </c>
      <c r="G94" s="3"/>
      <c r="H94" s="7"/>
      <c r="I94" s="3"/>
      <c r="K94" s="3"/>
      <c r="L94" s="7"/>
    </row>
    <row r="95" spans="1:12" x14ac:dyDescent="0.2">
      <c r="F95">
        <f>SUM(F6:F94)</f>
        <v>1124070</v>
      </c>
      <c r="H95" s="7"/>
    </row>
    <row r="96" spans="1:12" x14ac:dyDescent="0.2">
      <c r="F96" s="3"/>
      <c r="H96" s="7"/>
    </row>
    <row r="97" spans="8:8" x14ac:dyDescent="0.2">
      <c r="H97" s="7"/>
    </row>
    <row r="98" spans="8:8" x14ac:dyDescent="0.2">
      <c r="H98" s="7"/>
    </row>
    <row r="99" spans="8:8" x14ac:dyDescent="0.2">
      <c r="H99" s="7"/>
    </row>
    <row r="100" spans="8:8" x14ac:dyDescent="0.2">
      <c r="H100" s="7"/>
    </row>
    <row r="101" spans="8:8" x14ac:dyDescent="0.2">
      <c r="H101" s="7"/>
    </row>
    <row r="102" spans="8:8" x14ac:dyDescent="0.2">
      <c r="H102" s="7"/>
    </row>
    <row r="103" spans="8:8" x14ac:dyDescent="0.2">
      <c r="H103" s="7"/>
    </row>
    <row r="104" spans="8:8" x14ac:dyDescent="0.2">
      <c r="H104" s="7"/>
    </row>
    <row r="105" spans="8:8" x14ac:dyDescent="0.2">
      <c r="H105" s="7"/>
    </row>
  </sheetData>
  <autoFilter ref="A5:F94" xr:uid="{6EEEE4F7-55BF-5644-8BF8-ED0B82B40D5C}">
    <sortState xmlns:xlrd2="http://schemas.microsoft.com/office/spreadsheetml/2017/richdata2" ref="A6:F94">
      <sortCondition descending="1" ref="F5:F94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6ECE9-470D-624B-8297-A5D4EE4D62FB}">
  <dimension ref="A1:J22"/>
  <sheetViews>
    <sheetView workbookViewId="0">
      <selection activeCell="D1" sqref="D1"/>
    </sheetView>
  </sheetViews>
  <sheetFormatPr baseColWidth="10" defaultRowHeight="15" x14ac:dyDescent="0.2"/>
  <cols>
    <col min="1" max="1" width="23.33203125" customWidth="1"/>
    <col min="2" max="2" width="35.5" customWidth="1"/>
    <col min="3" max="3" width="52.5" customWidth="1"/>
    <col min="4" max="5" width="21.33203125" customWidth="1"/>
    <col min="6" max="6" width="21.6640625" customWidth="1"/>
  </cols>
  <sheetData>
    <row r="1" spans="1:10" x14ac:dyDescent="0.2">
      <c r="A1" s="1" t="s">
        <v>196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</row>
    <row r="3" spans="1:10" x14ac:dyDescent="0.2">
      <c r="A3" s="1" t="s">
        <v>176</v>
      </c>
      <c r="B3" s="1"/>
      <c r="C3" s="1"/>
      <c r="D3" s="1"/>
      <c r="E3" s="1"/>
      <c r="F3" s="1"/>
      <c r="G3" s="1"/>
      <c r="H3" s="1"/>
      <c r="I3" s="1"/>
      <c r="J3" s="4"/>
    </row>
    <row r="4" spans="1:10" x14ac:dyDescent="0.2">
      <c r="A4" s="1" t="s">
        <v>82</v>
      </c>
      <c r="B4" s="1"/>
      <c r="C4" s="1"/>
      <c r="D4" s="1"/>
      <c r="E4" s="1"/>
      <c r="F4" s="1"/>
      <c r="G4" s="1"/>
      <c r="H4" s="1"/>
      <c r="I4" s="1"/>
      <c r="J4" s="1"/>
    </row>
    <row r="5" spans="1:10" x14ac:dyDescent="0.2">
      <c r="A5" s="5" t="s">
        <v>3</v>
      </c>
      <c r="B5" s="5" t="s">
        <v>4</v>
      </c>
      <c r="C5" s="5" t="s">
        <v>6</v>
      </c>
      <c r="D5" s="5" t="s">
        <v>83</v>
      </c>
      <c r="E5" s="6" t="s">
        <v>8</v>
      </c>
      <c r="F5" s="6"/>
      <c r="G5" s="6"/>
      <c r="H5" s="6"/>
      <c r="I5" s="6"/>
      <c r="J5" s="6"/>
    </row>
    <row r="6" spans="1:10" x14ac:dyDescent="0.2">
      <c r="A6" s="7" t="s">
        <v>184</v>
      </c>
      <c r="B6" s="7" t="s">
        <v>185</v>
      </c>
      <c r="C6" s="7" t="s">
        <v>217</v>
      </c>
      <c r="D6" s="3" t="s">
        <v>84</v>
      </c>
      <c r="E6" s="3">
        <v>165006</v>
      </c>
      <c r="F6" s="3"/>
      <c r="G6" s="3"/>
    </row>
    <row r="7" spans="1:10" x14ac:dyDescent="0.2">
      <c r="A7" s="7" t="s">
        <v>184</v>
      </c>
      <c r="B7" s="7" t="s">
        <v>185</v>
      </c>
      <c r="C7" s="7" t="s">
        <v>217</v>
      </c>
      <c r="D7" s="3" t="s">
        <v>87</v>
      </c>
      <c r="E7" s="3">
        <v>151596</v>
      </c>
      <c r="F7" s="3"/>
      <c r="G7" s="3"/>
    </row>
    <row r="8" spans="1:10" x14ac:dyDescent="0.2">
      <c r="A8" s="7" t="s">
        <v>184</v>
      </c>
      <c r="B8" s="7" t="s">
        <v>185</v>
      </c>
      <c r="C8" s="7" t="s">
        <v>217</v>
      </c>
      <c r="D8" s="7" t="s">
        <v>86</v>
      </c>
      <c r="E8" s="7">
        <v>145274</v>
      </c>
      <c r="F8" s="3"/>
      <c r="G8" s="3"/>
    </row>
    <row r="9" spans="1:10" x14ac:dyDescent="0.2">
      <c r="A9" s="7" t="s">
        <v>184</v>
      </c>
      <c r="B9" s="7" t="s">
        <v>185</v>
      </c>
      <c r="C9" s="7" t="s">
        <v>217</v>
      </c>
      <c r="D9" s="7" t="s">
        <v>177</v>
      </c>
      <c r="E9" s="7">
        <v>122893</v>
      </c>
      <c r="F9" s="3"/>
      <c r="G9" s="3"/>
    </row>
    <row r="10" spans="1:10" x14ac:dyDescent="0.2">
      <c r="A10" s="7" t="s">
        <v>184</v>
      </c>
      <c r="B10" s="7" t="s">
        <v>185</v>
      </c>
      <c r="C10" s="7" t="s">
        <v>217</v>
      </c>
      <c r="D10" s="7" t="s">
        <v>90</v>
      </c>
      <c r="E10" s="7">
        <v>113640</v>
      </c>
      <c r="F10" s="3"/>
      <c r="G10" s="3"/>
    </row>
    <row r="11" spans="1:10" x14ac:dyDescent="0.2">
      <c r="A11" s="7" t="s">
        <v>184</v>
      </c>
      <c r="B11" s="7" t="s">
        <v>185</v>
      </c>
      <c r="C11" s="7" t="s">
        <v>217</v>
      </c>
      <c r="D11" s="7" t="s">
        <v>97</v>
      </c>
      <c r="E11" s="7">
        <v>113528</v>
      </c>
      <c r="F11" s="3"/>
      <c r="G11" s="3"/>
    </row>
    <row r="12" spans="1:10" x14ac:dyDescent="0.2">
      <c r="A12" s="7" t="s">
        <v>184</v>
      </c>
      <c r="B12" s="7" t="s">
        <v>185</v>
      </c>
      <c r="C12" s="7" t="s">
        <v>217</v>
      </c>
      <c r="D12" s="7" t="s">
        <v>178</v>
      </c>
      <c r="E12" s="7">
        <v>96144</v>
      </c>
      <c r="F12" s="3"/>
      <c r="G12" s="3"/>
    </row>
    <row r="13" spans="1:10" x14ac:dyDescent="0.2">
      <c r="A13" s="7" t="s">
        <v>184</v>
      </c>
      <c r="B13" s="7" t="s">
        <v>185</v>
      </c>
      <c r="C13" s="7" t="s">
        <v>217</v>
      </c>
      <c r="D13" s="7" t="s">
        <v>179</v>
      </c>
      <c r="E13" s="7">
        <v>83634</v>
      </c>
      <c r="F13" s="3"/>
      <c r="G13" s="3"/>
    </row>
    <row r="14" spans="1:10" x14ac:dyDescent="0.2">
      <c r="A14" s="7" t="s">
        <v>184</v>
      </c>
      <c r="B14" s="7" t="s">
        <v>185</v>
      </c>
      <c r="C14" s="7" t="s">
        <v>217</v>
      </c>
      <c r="D14" s="7" t="s">
        <v>180</v>
      </c>
      <c r="E14" s="7">
        <v>41139</v>
      </c>
      <c r="F14" s="3"/>
      <c r="G14" s="3"/>
    </row>
    <row r="15" spans="1:10" x14ac:dyDescent="0.2">
      <c r="A15" s="7" t="s">
        <v>184</v>
      </c>
      <c r="B15" s="7" t="s">
        <v>185</v>
      </c>
      <c r="C15" s="7" t="s">
        <v>217</v>
      </c>
      <c r="D15" s="3" t="s">
        <v>181</v>
      </c>
      <c r="E15" s="3">
        <v>37869</v>
      </c>
      <c r="F15" s="3"/>
      <c r="G15" s="3"/>
    </row>
    <row r="16" spans="1:10" x14ac:dyDescent="0.2">
      <c r="A16" s="7" t="s">
        <v>184</v>
      </c>
      <c r="B16" s="7" t="s">
        <v>185</v>
      </c>
      <c r="C16" s="7" t="s">
        <v>217</v>
      </c>
      <c r="D16" s="3" t="s">
        <v>182</v>
      </c>
      <c r="E16" s="3">
        <v>22945</v>
      </c>
      <c r="F16" s="3"/>
      <c r="G16" s="3"/>
    </row>
    <row r="17" spans="1:7" x14ac:dyDescent="0.2">
      <c r="A17" s="7" t="s">
        <v>184</v>
      </c>
      <c r="B17" s="7" t="s">
        <v>185</v>
      </c>
      <c r="C17" s="7" t="s">
        <v>217</v>
      </c>
      <c r="D17" s="3" t="s">
        <v>183</v>
      </c>
      <c r="E17" s="3">
        <v>19125</v>
      </c>
      <c r="F17" s="3"/>
      <c r="G17" s="3"/>
    </row>
    <row r="18" spans="1:7" x14ac:dyDescent="0.2">
      <c r="A18" s="7" t="s">
        <v>184</v>
      </c>
      <c r="B18" s="7" t="s">
        <v>185</v>
      </c>
      <c r="C18" s="7" t="s">
        <v>217</v>
      </c>
      <c r="D18" s="3" t="s">
        <v>100</v>
      </c>
      <c r="E18" s="3">
        <v>11277</v>
      </c>
      <c r="F18" s="3"/>
      <c r="G18" s="3"/>
    </row>
    <row r="19" spans="1:7" x14ac:dyDescent="0.2">
      <c r="A19" s="9" t="s">
        <v>80</v>
      </c>
      <c r="E19" s="9">
        <f>SUM(E6:E18)</f>
        <v>1124070</v>
      </c>
      <c r="F19" s="24"/>
      <c r="G19" s="3"/>
    </row>
    <row r="20" spans="1:7" x14ac:dyDescent="0.2">
      <c r="F20" s="3"/>
    </row>
    <row r="21" spans="1:7" x14ac:dyDescent="0.2">
      <c r="F21" s="3"/>
    </row>
    <row r="22" spans="1:7" x14ac:dyDescent="0.2">
      <c r="F22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03AE0-53E9-D248-87BF-354B2253DB35}">
  <dimension ref="A1:J24"/>
  <sheetViews>
    <sheetView workbookViewId="0">
      <selection activeCell="H20" sqref="H20"/>
    </sheetView>
  </sheetViews>
  <sheetFormatPr baseColWidth="10" defaultRowHeight="15" x14ac:dyDescent="0.2"/>
  <cols>
    <col min="1" max="1" width="20.5" customWidth="1"/>
    <col min="2" max="2" width="32.83203125" customWidth="1"/>
    <col min="3" max="3" width="47.6640625" customWidth="1"/>
    <col min="4" max="4" width="18" customWidth="1"/>
    <col min="5" max="5" width="20.83203125" customWidth="1"/>
    <col min="6" max="6" width="13.1640625" customWidth="1"/>
  </cols>
  <sheetData>
    <row r="1" spans="1:10" x14ac:dyDescent="0.2">
      <c r="A1" s="1" t="s">
        <v>196</v>
      </c>
      <c r="B1" s="1"/>
      <c r="C1" s="1"/>
      <c r="D1" s="1"/>
      <c r="E1" s="1"/>
    </row>
    <row r="2" spans="1:10" x14ac:dyDescent="0.2">
      <c r="A2" s="1" t="s">
        <v>0</v>
      </c>
      <c r="B2" s="1"/>
      <c r="C2" s="1"/>
      <c r="D2" s="1"/>
      <c r="F2" s="11"/>
    </row>
    <row r="3" spans="1:10" x14ac:dyDescent="0.2">
      <c r="A3" s="1" t="s">
        <v>186</v>
      </c>
      <c r="B3" s="1"/>
      <c r="C3" s="1"/>
      <c r="D3" s="1"/>
      <c r="E3" s="1"/>
      <c r="F3" s="11"/>
    </row>
    <row r="4" spans="1:10" x14ac:dyDescent="0.2">
      <c r="A4" s="1" t="s">
        <v>103</v>
      </c>
      <c r="B4" s="1"/>
      <c r="C4" s="1"/>
      <c r="D4" s="1"/>
      <c r="E4" s="1"/>
    </row>
    <row r="5" spans="1:10" x14ac:dyDescent="0.2">
      <c r="A5" s="5" t="s">
        <v>3</v>
      </c>
      <c r="B5" s="5" t="s">
        <v>4</v>
      </c>
      <c r="C5" s="5" t="s">
        <v>6</v>
      </c>
      <c r="D5" s="12" t="s">
        <v>104</v>
      </c>
      <c r="E5" s="13" t="s">
        <v>8</v>
      </c>
      <c r="F5" s="14" t="s">
        <v>105</v>
      </c>
    </row>
    <row r="6" spans="1:10" x14ac:dyDescent="0.2">
      <c r="A6" s="7" t="s">
        <v>187</v>
      </c>
      <c r="B6" s="7" t="s">
        <v>188</v>
      </c>
      <c r="C6" s="7" t="s">
        <v>189</v>
      </c>
      <c r="D6" s="15">
        <v>45992</v>
      </c>
      <c r="E6" s="18">
        <v>55562</v>
      </c>
      <c r="F6" s="17">
        <v>1121.79</v>
      </c>
    </row>
    <row r="7" spans="1:10" x14ac:dyDescent="0.2">
      <c r="A7" s="7" t="s">
        <v>187</v>
      </c>
      <c r="B7" s="7" t="s">
        <v>188</v>
      </c>
      <c r="C7" s="7" t="s">
        <v>190</v>
      </c>
      <c r="D7" s="15">
        <v>45993</v>
      </c>
      <c r="E7" s="18">
        <v>55557</v>
      </c>
      <c r="F7" s="17">
        <v>1121.69</v>
      </c>
    </row>
    <row r="8" spans="1:10" x14ac:dyDescent="0.2">
      <c r="A8" s="7" t="s">
        <v>187</v>
      </c>
      <c r="B8" s="7" t="s">
        <v>188</v>
      </c>
      <c r="C8" s="7" t="s">
        <v>191</v>
      </c>
      <c r="D8" s="15">
        <v>45994</v>
      </c>
      <c r="E8" s="18">
        <v>55579</v>
      </c>
      <c r="F8" s="17">
        <v>1122.1300000000001</v>
      </c>
    </row>
    <row r="9" spans="1:10" x14ac:dyDescent="0.2">
      <c r="A9" s="7" t="s">
        <v>187</v>
      </c>
      <c r="B9" s="7" t="s">
        <v>188</v>
      </c>
      <c r="C9" s="7" t="s">
        <v>192</v>
      </c>
      <c r="D9" s="15">
        <v>45995</v>
      </c>
      <c r="E9" s="18">
        <v>99133</v>
      </c>
      <c r="F9" s="17">
        <v>2001.48</v>
      </c>
    </row>
    <row r="10" spans="1:10" x14ac:dyDescent="0.2">
      <c r="A10" s="7" t="s">
        <v>187</v>
      </c>
      <c r="B10" s="7" t="s">
        <v>188</v>
      </c>
      <c r="C10" s="7" t="s">
        <v>193</v>
      </c>
      <c r="D10" s="15">
        <v>45996</v>
      </c>
      <c r="E10" s="18">
        <v>99141</v>
      </c>
      <c r="F10" s="17">
        <v>2001.64</v>
      </c>
    </row>
    <row r="11" spans="1:10" x14ac:dyDescent="0.2">
      <c r="A11" s="7" t="s">
        <v>187</v>
      </c>
      <c r="B11" s="7" t="s">
        <v>188</v>
      </c>
      <c r="C11" s="7" t="s">
        <v>194</v>
      </c>
      <c r="D11" s="15">
        <v>45997</v>
      </c>
      <c r="E11" s="18">
        <v>99136</v>
      </c>
      <c r="F11" s="17">
        <v>2001.54</v>
      </c>
    </row>
    <row r="12" spans="1:10" x14ac:dyDescent="0.2">
      <c r="A12" s="7" t="s">
        <v>187</v>
      </c>
      <c r="B12" s="7" t="s">
        <v>188</v>
      </c>
      <c r="C12" s="7" t="s">
        <v>195</v>
      </c>
      <c r="D12" s="15">
        <v>45998</v>
      </c>
      <c r="E12" s="18">
        <v>99139</v>
      </c>
      <c r="F12" s="17">
        <v>2001.6</v>
      </c>
    </row>
    <row r="13" spans="1:10" x14ac:dyDescent="0.2">
      <c r="A13" s="7" t="s">
        <v>187</v>
      </c>
      <c r="B13" s="7" t="s">
        <v>188</v>
      </c>
      <c r="C13" s="7" t="s">
        <v>218</v>
      </c>
      <c r="D13" s="15">
        <v>45999</v>
      </c>
      <c r="E13" s="18">
        <v>55985</v>
      </c>
      <c r="F13" s="17">
        <v>1130.46</v>
      </c>
      <c r="I13" s="17"/>
      <c r="J13" s="17"/>
    </row>
    <row r="14" spans="1:10" x14ac:dyDescent="0.2">
      <c r="A14" s="7" t="s">
        <v>187</v>
      </c>
      <c r="B14" s="7" t="s">
        <v>188</v>
      </c>
      <c r="C14" s="7" t="s">
        <v>219</v>
      </c>
      <c r="D14" s="15">
        <v>46000</v>
      </c>
      <c r="E14" s="18">
        <v>55972</v>
      </c>
      <c r="F14" s="17">
        <v>1130.2</v>
      </c>
      <c r="I14" s="17"/>
      <c r="J14" s="17"/>
    </row>
    <row r="15" spans="1:10" x14ac:dyDescent="0.2">
      <c r="A15" s="7" t="s">
        <v>187</v>
      </c>
      <c r="B15" s="7" t="s">
        <v>188</v>
      </c>
      <c r="C15" s="7" t="s">
        <v>220</v>
      </c>
      <c r="D15" s="15">
        <v>46001</v>
      </c>
      <c r="E15" s="18">
        <v>56024</v>
      </c>
      <c r="F15" s="17">
        <v>1131.24</v>
      </c>
      <c r="I15" s="17"/>
      <c r="J15" s="17"/>
    </row>
    <row r="16" spans="1:10" x14ac:dyDescent="0.2">
      <c r="A16" s="7" t="s">
        <v>187</v>
      </c>
      <c r="B16" s="7" t="s">
        <v>188</v>
      </c>
      <c r="C16" s="7" t="s">
        <v>221</v>
      </c>
      <c r="D16" s="15">
        <v>46002</v>
      </c>
      <c r="E16" s="18">
        <v>98218</v>
      </c>
      <c r="F16" s="17">
        <v>1983.23</v>
      </c>
      <c r="I16" s="17"/>
      <c r="J16" s="17"/>
    </row>
    <row r="17" spans="1:10" x14ac:dyDescent="0.2">
      <c r="A17" s="7" t="s">
        <v>187</v>
      </c>
      <c r="B17" s="7" t="s">
        <v>188</v>
      </c>
      <c r="C17" s="7" t="s">
        <v>222</v>
      </c>
      <c r="D17" s="15">
        <v>46003</v>
      </c>
      <c r="E17" s="18">
        <v>98200</v>
      </c>
      <c r="F17" s="17">
        <v>1982.87</v>
      </c>
      <c r="I17" s="17"/>
      <c r="J17" s="17"/>
    </row>
    <row r="18" spans="1:10" x14ac:dyDescent="0.2">
      <c r="A18" s="7" t="s">
        <v>187</v>
      </c>
      <c r="B18" s="7" t="s">
        <v>188</v>
      </c>
      <c r="C18" s="7" t="s">
        <v>223</v>
      </c>
      <c r="D18" s="15">
        <v>46004</v>
      </c>
      <c r="E18" s="18">
        <v>98213</v>
      </c>
      <c r="F18" s="17">
        <v>1983.13</v>
      </c>
      <c r="I18" s="17"/>
      <c r="J18" s="17"/>
    </row>
    <row r="19" spans="1:10" x14ac:dyDescent="0.2">
      <c r="A19" s="7" t="s">
        <v>187</v>
      </c>
      <c r="B19" s="7" t="s">
        <v>188</v>
      </c>
      <c r="C19" s="7" t="s">
        <v>224</v>
      </c>
      <c r="D19" s="15">
        <v>46005</v>
      </c>
      <c r="E19" s="18">
        <v>98211</v>
      </c>
      <c r="F19" s="17">
        <v>1983.09</v>
      </c>
      <c r="I19" s="17"/>
      <c r="J19" s="17"/>
    </row>
    <row r="20" spans="1:10" x14ac:dyDescent="0.2">
      <c r="A20" s="9" t="s">
        <v>80</v>
      </c>
      <c r="E20" s="22">
        <f>SUM(E6:E19)</f>
        <v>1124070</v>
      </c>
      <c r="F20" s="19">
        <f>SUM(F6:F19)</f>
        <v>22696.090000000004</v>
      </c>
      <c r="I20" s="16"/>
      <c r="J20" s="17"/>
    </row>
    <row r="21" spans="1:10" x14ac:dyDescent="0.2">
      <c r="J21" s="18"/>
    </row>
    <row r="22" spans="1:10" x14ac:dyDescent="0.2">
      <c r="J22" s="18"/>
    </row>
    <row r="23" spans="1:10" x14ac:dyDescent="0.2">
      <c r="J23" s="18"/>
    </row>
    <row r="24" spans="1:10" x14ac:dyDescent="0.2">
      <c r="J24" s="18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BBB82-6131-784D-9554-8238952F142F}">
  <dimension ref="A1:N88"/>
  <sheetViews>
    <sheetView topLeftCell="A46" workbookViewId="0">
      <selection activeCell="E2" sqref="E2"/>
    </sheetView>
  </sheetViews>
  <sheetFormatPr baseColWidth="10" defaultRowHeight="15" x14ac:dyDescent="0.2"/>
  <cols>
    <col min="2" max="2" width="19.5" customWidth="1"/>
    <col min="4" max="4" width="34.5" customWidth="1"/>
    <col min="5" max="5" width="58.6640625" customWidth="1"/>
    <col min="6" max="6" width="17" customWidth="1"/>
    <col min="7" max="7" width="19.83203125" customWidth="1"/>
  </cols>
  <sheetData>
    <row r="1" spans="1:14" x14ac:dyDescent="0.2">
      <c r="A1" s="1" t="s">
        <v>196</v>
      </c>
      <c r="B1" s="1"/>
      <c r="C1" s="1"/>
      <c r="D1" s="1"/>
      <c r="E1" s="2"/>
      <c r="F1" s="2"/>
      <c r="G1" s="2"/>
      <c r="H1" s="2"/>
      <c r="I1" s="2"/>
      <c r="J1" s="2"/>
      <c r="K1" s="2"/>
      <c r="L1" s="2"/>
      <c r="M1" s="1"/>
      <c r="N1" s="1"/>
    </row>
    <row r="2" spans="1:14" x14ac:dyDescent="0.2">
      <c r="A2" s="1" t="s">
        <v>0</v>
      </c>
      <c r="B2" s="1"/>
      <c r="C2" s="1"/>
      <c r="D2" s="1"/>
      <c r="E2" s="2"/>
      <c r="F2" s="2"/>
      <c r="G2" s="2"/>
      <c r="H2" s="2"/>
      <c r="I2" s="2"/>
      <c r="J2" s="2"/>
      <c r="K2" s="3"/>
      <c r="L2" s="3"/>
      <c r="M2" s="4"/>
      <c r="N2" s="1"/>
    </row>
    <row r="3" spans="1:14" x14ac:dyDescent="0.2">
      <c r="A3" s="1" t="s">
        <v>1</v>
      </c>
      <c r="B3" s="1"/>
      <c r="C3" s="1"/>
      <c r="D3" s="1"/>
      <c r="E3" s="3"/>
      <c r="F3" s="3"/>
      <c r="G3" s="3"/>
      <c r="H3" s="3"/>
      <c r="I3" s="3"/>
      <c r="J3" s="3"/>
      <c r="K3" s="3"/>
      <c r="L3" s="3"/>
      <c r="M3" s="1"/>
      <c r="N3" s="1"/>
    </row>
    <row r="4" spans="1:14" x14ac:dyDescent="0.2">
      <c r="A4" s="5" t="s">
        <v>2</v>
      </c>
      <c r="B4" s="5"/>
      <c r="C4" s="5"/>
      <c r="D4" s="5"/>
      <c r="E4" s="3"/>
      <c r="F4" s="3"/>
      <c r="G4" s="3"/>
      <c r="H4" s="3"/>
      <c r="I4" s="3"/>
      <c r="J4" s="3"/>
      <c r="K4" s="2"/>
      <c r="L4" s="3"/>
      <c r="M4" s="5"/>
      <c r="N4" s="1"/>
    </row>
    <row r="5" spans="1:14" x14ac:dyDescent="0.2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6" t="s">
        <v>8</v>
      </c>
      <c r="G5" s="6"/>
      <c r="H5" s="6"/>
      <c r="I5" s="6"/>
      <c r="J5" s="6"/>
      <c r="K5" s="6"/>
      <c r="L5" s="6"/>
      <c r="M5" s="6"/>
      <c r="N5" s="1"/>
    </row>
    <row r="6" spans="1:14" x14ac:dyDescent="0.2">
      <c r="A6" s="8">
        <v>7207</v>
      </c>
      <c r="B6" s="7" t="s">
        <v>79</v>
      </c>
      <c r="C6" s="7">
        <v>7207</v>
      </c>
      <c r="D6" s="7" t="s">
        <v>198</v>
      </c>
      <c r="E6" s="3" t="s">
        <v>9</v>
      </c>
      <c r="F6" s="3">
        <v>22249</v>
      </c>
      <c r="G6" s="3"/>
      <c r="H6" s="3"/>
      <c r="J6" s="3"/>
    </row>
    <row r="7" spans="1:14" x14ac:dyDescent="0.2">
      <c r="A7" s="8">
        <v>7207</v>
      </c>
      <c r="B7" s="7" t="s">
        <v>79</v>
      </c>
      <c r="C7" s="7">
        <v>7207</v>
      </c>
      <c r="D7" s="7" t="s">
        <v>198</v>
      </c>
      <c r="E7" s="3" t="s">
        <v>10</v>
      </c>
      <c r="F7" s="3">
        <v>21017</v>
      </c>
      <c r="G7" s="3"/>
      <c r="H7" s="3"/>
      <c r="J7" s="3"/>
    </row>
    <row r="8" spans="1:14" x14ac:dyDescent="0.2">
      <c r="A8" s="8">
        <v>7207</v>
      </c>
      <c r="B8" s="7" t="s">
        <v>79</v>
      </c>
      <c r="C8" s="7">
        <v>7207</v>
      </c>
      <c r="D8" s="7" t="s">
        <v>198</v>
      </c>
      <c r="E8" s="3" t="s">
        <v>13</v>
      </c>
      <c r="F8" s="3">
        <v>19415</v>
      </c>
      <c r="G8" s="3"/>
      <c r="H8" s="3"/>
      <c r="J8" s="3"/>
    </row>
    <row r="9" spans="1:14" x14ac:dyDescent="0.2">
      <c r="A9" s="8">
        <v>7207</v>
      </c>
      <c r="B9" s="7" t="s">
        <v>79</v>
      </c>
      <c r="C9" s="7">
        <v>7207</v>
      </c>
      <c r="D9" s="7" t="s">
        <v>198</v>
      </c>
      <c r="E9" s="3" t="s">
        <v>12</v>
      </c>
      <c r="F9" s="3">
        <v>18278</v>
      </c>
      <c r="G9" s="3"/>
      <c r="H9" s="3"/>
      <c r="J9" s="3"/>
    </row>
    <row r="10" spans="1:14" x14ac:dyDescent="0.2">
      <c r="A10" s="8">
        <v>7207</v>
      </c>
      <c r="B10" s="7" t="s">
        <v>79</v>
      </c>
      <c r="C10" s="7">
        <v>7207</v>
      </c>
      <c r="D10" s="7" t="s">
        <v>198</v>
      </c>
      <c r="E10" s="3" t="s">
        <v>11</v>
      </c>
      <c r="F10" s="3">
        <v>17452</v>
      </c>
      <c r="G10" s="3"/>
      <c r="H10" s="3"/>
      <c r="J10" s="3"/>
    </row>
    <row r="11" spans="1:14" x14ac:dyDescent="0.2">
      <c r="A11" s="8">
        <v>7207</v>
      </c>
      <c r="B11" s="7" t="s">
        <v>79</v>
      </c>
      <c r="C11" s="7">
        <v>7207</v>
      </c>
      <c r="D11" s="7" t="s">
        <v>198</v>
      </c>
      <c r="E11" s="3" t="s">
        <v>16</v>
      </c>
      <c r="F11" s="3">
        <v>13410</v>
      </c>
      <c r="G11" s="3"/>
      <c r="H11" s="7"/>
      <c r="J11" s="3"/>
    </row>
    <row r="12" spans="1:14" x14ac:dyDescent="0.2">
      <c r="A12" s="8">
        <v>7207</v>
      </c>
      <c r="B12" s="7" t="s">
        <v>79</v>
      </c>
      <c r="C12" s="7">
        <v>7207</v>
      </c>
      <c r="D12" s="7" t="s">
        <v>198</v>
      </c>
      <c r="E12" s="3" t="s">
        <v>21</v>
      </c>
      <c r="F12" s="3">
        <v>12023</v>
      </c>
      <c r="G12" s="3"/>
      <c r="H12" s="3"/>
      <c r="J12" s="3"/>
    </row>
    <row r="13" spans="1:14" x14ac:dyDescent="0.2">
      <c r="A13" s="8">
        <v>7207</v>
      </c>
      <c r="B13" s="7" t="s">
        <v>79</v>
      </c>
      <c r="C13" s="7">
        <v>7207</v>
      </c>
      <c r="D13" s="7" t="s">
        <v>198</v>
      </c>
      <c r="E13" s="3" t="s">
        <v>19</v>
      </c>
      <c r="F13" s="3">
        <v>11873</v>
      </c>
      <c r="G13" s="3"/>
      <c r="H13" s="3"/>
      <c r="J13" s="3"/>
    </row>
    <row r="14" spans="1:14" x14ac:dyDescent="0.2">
      <c r="A14" s="8">
        <v>7207</v>
      </c>
      <c r="B14" s="7" t="s">
        <v>79</v>
      </c>
      <c r="C14" s="7">
        <v>7207</v>
      </c>
      <c r="D14" s="7" t="s">
        <v>198</v>
      </c>
      <c r="E14" s="3" t="s">
        <v>18</v>
      </c>
      <c r="F14" s="3">
        <v>10690</v>
      </c>
      <c r="G14" s="3"/>
      <c r="H14" s="3"/>
      <c r="J14" s="3"/>
    </row>
    <row r="15" spans="1:14" x14ac:dyDescent="0.2">
      <c r="A15" s="8">
        <v>7207</v>
      </c>
      <c r="B15" s="7" t="s">
        <v>79</v>
      </c>
      <c r="C15" s="7">
        <v>7207</v>
      </c>
      <c r="D15" s="7" t="s">
        <v>198</v>
      </c>
      <c r="E15" s="3" t="s">
        <v>14</v>
      </c>
      <c r="F15" s="3">
        <v>10488</v>
      </c>
      <c r="G15" s="3"/>
      <c r="H15" s="3"/>
      <c r="J15" s="3"/>
    </row>
    <row r="16" spans="1:14" x14ac:dyDescent="0.2">
      <c r="A16" s="8">
        <v>7207</v>
      </c>
      <c r="B16" s="7" t="s">
        <v>79</v>
      </c>
      <c r="C16" s="7">
        <v>7207</v>
      </c>
      <c r="D16" s="7" t="s">
        <v>198</v>
      </c>
      <c r="E16" s="3" t="s">
        <v>15</v>
      </c>
      <c r="F16" s="3">
        <v>9441</v>
      </c>
      <c r="G16" s="3"/>
      <c r="H16" s="3"/>
      <c r="J16" s="3"/>
    </row>
    <row r="17" spans="1:10" x14ac:dyDescent="0.2">
      <c r="A17" s="8">
        <v>7207</v>
      </c>
      <c r="B17" s="7" t="s">
        <v>79</v>
      </c>
      <c r="C17" s="7">
        <v>7207</v>
      </c>
      <c r="D17" s="7" t="s">
        <v>198</v>
      </c>
      <c r="E17" s="3" t="s">
        <v>20</v>
      </c>
      <c r="F17" s="3">
        <v>8201</v>
      </c>
      <c r="G17" s="3"/>
      <c r="H17" s="3"/>
      <c r="J17" s="3"/>
    </row>
    <row r="18" spans="1:10" x14ac:dyDescent="0.2">
      <c r="A18" s="8">
        <v>7207</v>
      </c>
      <c r="B18" s="7" t="s">
        <v>79</v>
      </c>
      <c r="C18" s="7">
        <v>7207</v>
      </c>
      <c r="D18" s="7" t="s">
        <v>198</v>
      </c>
      <c r="E18" s="3" t="s">
        <v>17</v>
      </c>
      <c r="F18" s="3">
        <v>7703</v>
      </c>
      <c r="G18" s="3"/>
      <c r="H18" s="7"/>
      <c r="J18" s="3"/>
    </row>
    <row r="19" spans="1:10" x14ac:dyDescent="0.2">
      <c r="A19" s="8">
        <v>7207</v>
      </c>
      <c r="B19" s="7" t="s">
        <v>79</v>
      </c>
      <c r="C19" s="7">
        <v>7207</v>
      </c>
      <c r="D19" s="7" t="s">
        <v>198</v>
      </c>
      <c r="E19" s="3" t="s">
        <v>22</v>
      </c>
      <c r="F19" s="3">
        <v>7407</v>
      </c>
      <c r="G19" s="3"/>
      <c r="H19" s="3"/>
      <c r="J19" s="3"/>
    </row>
    <row r="20" spans="1:10" x14ac:dyDescent="0.2">
      <c r="A20" s="8">
        <v>7207</v>
      </c>
      <c r="B20" s="7" t="s">
        <v>79</v>
      </c>
      <c r="C20" s="7">
        <v>7207</v>
      </c>
      <c r="D20" s="7" t="s">
        <v>198</v>
      </c>
      <c r="E20" s="3" t="s">
        <v>23</v>
      </c>
      <c r="F20" s="3">
        <v>7109</v>
      </c>
      <c r="G20" s="3"/>
      <c r="H20" s="3"/>
      <c r="J20" s="3"/>
    </row>
    <row r="21" spans="1:10" x14ac:dyDescent="0.2">
      <c r="A21" s="8">
        <v>7207</v>
      </c>
      <c r="B21" s="7" t="s">
        <v>79</v>
      </c>
      <c r="C21" s="7">
        <v>7207</v>
      </c>
      <c r="D21" s="7" t="s">
        <v>198</v>
      </c>
      <c r="E21" s="3" t="s">
        <v>27</v>
      </c>
      <c r="F21" s="3">
        <v>6810</v>
      </c>
      <c r="G21" s="3"/>
      <c r="H21" s="3"/>
      <c r="J21" s="3"/>
    </row>
    <row r="22" spans="1:10" x14ac:dyDescent="0.2">
      <c r="A22" s="8">
        <v>7207</v>
      </c>
      <c r="B22" s="7" t="s">
        <v>79</v>
      </c>
      <c r="C22" s="7">
        <v>7207</v>
      </c>
      <c r="D22" s="7" t="s">
        <v>198</v>
      </c>
      <c r="E22" s="3" t="s">
        <v>25</v>
      </c>
      <c r="F22" s="3">
        <v>6678</v>
      </c>
      <c r="G22" s="3"/>
      <c r="H22" s="3"/>
      <c r="J22" s="3"/>
    </row>
    <row r="23" spans="1:10" x14ac:dyDescent="0.2">
      <c r="A23" s="8">
        <v>7207</v>
      </c>
      <c r="B23" s="7" t="s">
        <v>79</v>
      </c>
      <c r="C23" s="7">
        <v>7207</v>
      </c>
      <c r="D23" s="7" t="s">
        <v>198</v>
      </c>
      <c r="E23" s="3" t="s">
        <v>26</v>
      </c>
      <c r="F23" s="3">
        <v>6227</v>
      </c>
      <c r="G23" s="3"/>
      <c r="H23" s="3"/>
      <c r="J23" s="3"/>
    </row>
    <row r="24" spans="1:10" x14ac:dyDescent="0.2">
      <c r="A24" s="8">
        <v>7207</v>
      </c>
      <c r="B24" s="7" t="s">
        <v>79</v>
      </c>
      <c r="C24" s="7">
        <v>7207</v>
      </c>
      <c r="D24" s="7" t="s">
        <v>198</v>
      </c>
      <c r="E24" s="3" t="s">
        <v>29</v>
      </c>
      <c r="F24" s="3">
        <v>5952</v>
      </c>
      <c r="G24" s="3"/>
      <c r="H24" s="3"/>
      <c r="J24" s="3"/>
    </row>
    <row r="25" spans="1:10" x14ac:dyDescent="0.2">
      <c r="A25" s="8">
        <v>7207</v>
      </c>
      <c r="B25" s="7" t="s">
        <v>79</v>
      </c>
      <c r="C25" s="7">
        <v>7207</v>
      </c>
      <c r="D25" s="7" t="s">
        <v>198</v>
      </c>
      <c r="E25" s="3" t="s">
        <v>30</v>
      </c>
      <c r="F25" s="3">
        <v>5822</v>
      </c>
      <c r="G25" s="3"/>
      <c r="H25" s="3"/>
      <c r="J25" s="3"/>
    </row>
    <row r="26" spans="1:10" x14ac:dyDescent="0.2">
      <c r="A26" s="8">
        <v>7207</v>
      </c>
      <c r="B26" s="7" t="s">
        <v>79</v>
      </c>
      <c r="C26" s="7">
        <v>7207</v>
      </c>
      <c r="D26" s="7" t="s">
        <v>198</v>
      </c>
      <c r="E26" s="3" t="s">
        <v>31</v>
      </c>
      <c r="F26" s="3">
        <v>5761</v>
      </c>
      <c r="G26" s="3"/>
      <c r="H26" s="3"/>
      <c r="J26" s="3"/>
    </row>
    <row r="27" spans="1:10" x14ac:dyDescent="0.2">
      <c r="A27" s="8">
        <v>7207</v>
      </c>
      <c r="B27" s="7" t="s">
        <v>79</v>
      </c>
      <c r="C27" s="7">
        <v>7207</v>
      </c>
      <c r="D27" s="7" t="s">
        <v>198</v>
      </c>
      <c r="E27" s="3" t="s">
        <v>24</v>
      </c>
      <c r="F27" s="3">
        <v>5642</v>
      </c>
      <c r="G27" s="3"/>
      <c r="H27" s="3"/>
      <c r="J27" s="3"/>
    </row>
    <row r="28" spans="1:10" x14ac:dyDescent="0.2">
      <c r="A28" s="8">
        <v>7207</v>
      </c>
      <c r="B28" s="7" t="s">
        <v>79</v>
      </c>
      <c r="C28" s="7">
        <v>7207</v>
      </c>
      <c r="D28" s="7" t="s">
        <v>198</v>
      </c>
      <c r="E28" s="3" t="s">
        <v>28</v>
      </c>
      <c r="F28" s="3">
        <v>5441</v>
      </c>
      <c r="G28" s="3"/>
      <c r="H28" s="3"/>
      <c r="J28" s="3"/>
    </row>
    <row r="29" spans="1:10" x14ac:dyDescent="0.2">
      <c r="A29" s="8">
        <v>7207</v>
      </c>
      <c r="B29" s="7" t="s">
        <v>79</v>
      </c>
      <c r="C29" s="7">
        <v>7207</v>
      </c>
      <c r="D29" s="7" t="s">
        <v>198</v>
      </c>
      <c r="E29" s="3" t="s">
        <v>32</v>
      </c>
      <c r="F29" s="3">
        <v>4915</v>
      </c>
      <c r="G29" s="3"/>
      <c r="H29" s="3"/>
      <c r="J29" s="3"/>
    </row>
    <row r="30" spans="1:10" x14ac:dyDescent="0.2">
      <c r="A30" s="8">
        <v>7207</v>
      </c>
      <c r="B30" s="7" t="s">
        <v>79</v>
      </c>
      <c r="C30" s="7">
        <v>7207</v>
      </c>
      <c r="D30" s="7" t="s">
        <v>198</v>
      </c>
      <c r="E30" s="3" t="s">
        <v>36</v>
      </c>
      <c r="F30" s="3">
        <v>4785</v>
      </c>
      <c r="G30" s="3"/>
      <c r="H30" s="3"/>
      <c r="J30" s="3"/>
    </row>
    <row r="31" spans="1:10" x14ac:dyDescent="0.2">
      <c r="A31" s="8">
        <v>7207</v>
      </c>
      <c r="B31" s="7" t="s">
        <v>79</v>
      </c>
      <c r="C31" s="7">
        <v>7207</v>
      </c>
      <c r="D31" s="7" t="s">
        <v>198</v>
      </c>
      <c r="E31" s="3" t="s">
        <v>34</v>
      </c>
      <c r="F31" s="3">
        <v>4740</v>
      </c>
      <c r="G31" s="3"/>
      <c r="H31" s="3"/>
      <c r="J31" s="3"/>
    </row>
    <row r="32" spans="1:10" x14ac:dyDescent="0.2">
      <c r="A32" s="8">
        <v>7207</v>
      </c>
      <c r="B32" s="7" t="s">
        <v>79</v>
      </c>
      <c r="C32" s="7">
        <v>7207</v>
      </c>
      <c r="D32" s="7" t="s">
        <v>198</v>
      </c>
      <c r="E32" s="3" t="s">
        <v>35</v>
      </c>
      <c r="F32" s="3">
        <v>4714</v>
      </c>
      <c r="G32" s="3"/>
      <c r="H32" s="3"/>
      <c r="J32" s="3"/>
    </row>
    <row r="33" spans="1:10" x14ac:dyDescent="0.2">
      <c r="A33" s="8">
        <v>7207</v>
      </c>
      <c r="B33" s="7" t="s">
        <v>79</v>
      </c>
      <c r="C33" s="7">
        <v>7207</v>
      </c>
      <c r="D33" s="7" t="s">
        <v>198</v>
      </c>
      <c r="E33" s="3" t="s">
        <v>33</v>
      </c>
      <c r="F33" s="3">
        <v>4685</v>
      </c>
      <c r="G33" s="3"/>
      <c r="H33" s="3"/>
      <c r="J33" s="3"/>
    </row>
    <row r="34" spans="1:10" x14ac:dyDescent="0.2">
      <c r="A34" s="8">
        <v>7207</v>
      </c>
      <c r="B34" s="7" t="s">
        <v>79</v>
      </c>
      <c r="C34" s="7">
        <v>7207</v>
      </c>
      <c r="D34" s="7" t="s">
        <v>198</v>
      </c>
      <c r="E34" s="3" t="s">
        <v>37</v>
      </c>
      <c r="F34" s="3">
        <v>4539</v>
      </c>
      <c r="G34" s="3"/>
      <c r="H34" s="3"/>
      <c r="J34" s="3"/>
    </row>
    <row r="35" spans="1:10" x14ac:dyDescent="0.2">
      <c r="A35" s="8">
        <v>7207</v>
      </c>
      <c r="B35" s="7" t="s">
        <v>79</v>
      </c>
      <c r="C35" s="7">
        <v>7207</v>
      </c>
      <c r="D35" s="7" t="s">
        <v>198</v>
      </c>
      <c r="E35" s="3" t="s">
        <v>41</v>
      </c>
      <c r="F35" s="3">
        <v>4476</v>
      </c>
      <c r="G35" s="3"/>
      <c r="H35" s="3"/>
      <c r="J35" s="3"/>
    </row>
    <row r="36" spans="1:10" x14ac:dyDescent="0.2">
      <c r="A36" s="8">
        <v>7207</v>
      </c>
      <c r="B36" s="7" t="s">
        <v>79</v>
      </c>
      <c r="C36" s="7">
        <v>7207</v>
      </c>
      <c r="D36" s="7" t="s">
        <v>198</v>
      </c>
      <c r="E36" s="3" t="s">
        <v>39</v>
      </c>
      <c r="F36" s="3">
        <v>4252</v>
      </c>
      <c r="G36" s="3"/>
      <c r="H36" s="3"/>
      <c r="J36" s="3"/>
    </row>
    <row r="37" spans="1:10" x14ac:dyDescent="0.2">
      <c r="A37" s="8">
        <v>7207</v>
      </c>
      <c r="B37" s="7" t="s">
        <v>79</v>
      </c>
      <c r="C37" s="7">
        <v>7207</v>
      </c>
      <c r="D37" s="7" t="s">
        <v>198</v>
      </c>
      <c r="E37" s="3" t="s">
        <v>40</v>
      </c>
      <c r="F37" s="3">
        <v>4223</v>
      </c>
      <c r="G37" s="3"/>
      <c r="H37" s="3"/>
      <c r="J37" s="3"/>
    </row>
    <row r="38" spans="1:10" x14ac:dyDescent="0.2">
      <c r="A38" s="8">
        <v>7207</v>
      </c>
      <c r="B38" s="7" t="s">
        <v>79</v>
      </c>
      <c r="C38" s="7">
        <v>7207</v>
      </c>
      <c r="D38" s="7" t="s">
        <v>198</v>
      </c>
      <c r="E38" s="3" t="s">
        <v>38</v>
      </c>
      <c r="F38" s="3">
        <v>4095</v>
      </c>
      <c r="G38" s="3"/>
      <c r="H38" s="7"/>
      <c r="J38" s="3"/>
    </row>
    <row r="39" spans="1:10" x14ac:dyDescent="0.2">
      <c r="A39" s="8">
        <v>7207</v>
      </c>
      <c r="B39" s="7" t="s">
        <v>79</v>
      </c>
      <c r="C39" s="7">
        <v>7207</v>
      </c>
      <c r="D39" s="7" t="s">
        <v>198</v>
      </c>
      <c r="E39" s="3" t="s">
        <v>42</v>
      </c>
      <c r="F39" s="3">
        <v>4039</v>
      </c>
      <c r="G39" s="3"/>
      <c r="H39" s="7"/>
      <c r="J39" s="3"/>
    </row>
    <row r="40" spans="1:10" x14ac:dyDescent="0.2">
      <c r="A40" s="8">
        <v>7207</v>
      </c>
      <c r="B40" s="7" t="s">
        <v>79</v>
      </c>
      <c r="C40" s="7">
        <v>7207</v>
      </c>
      <c r="D40" s="7" t="s">
        <v>198</v>
      </c>
      <c r="E40" s="3" t="s">
        <v>43</v>
      </c>
      <c r="F40" s="3">
        <v>3949</v>
      </c>
      <c r="G40" s="3"/>
      <c r="H40" s="7"/>
      <c r="J40" s="3"/>
    </row>
    <row r="41" spans="1:10" x14ac:dyDescent="0.2">
      <c r="A41" s="8">
        <v>7207</v>
      </c>
      <c r="B41" s="7" t="s">
        <v>79</v>
      </c>
      <c r="C41" s="7">
        <v>7207</v>
      </c>
      <c r="D41" s="7" t="s">
        <v>198</v>
      </c>
      <c r="E41" s="3" t="s">
        <v>44</v>
      </c>
      <c r="F41" s="3">
        <v>3789</v>
      </c>
      <c r="G41" s="3"/>
      <c r="H41" s="7"/>
      <c r="J41" s="3"/>
    </row>
    <row r="42" spans="1:10" x14ac:dyDescent="0.2">
      <c r="A42" s="8">
        <v>7207</v>
      </c>
      <c r="B42" s="7" t="s">
        <v>79</v>
      </c>
      <c r="C42" s="7">
        <v>7207</v>
      </c>
      <c r="D42" s="7" t="s">
        <v>198</v>
      </c>
      <c r="E42" s="3" t="s">
        <v>45</v>
      </c>
      <c r="F42" s="3">
        <v>3722</v>
      </c>
      <c r="G42" s="3"/>
      <c r="H42" s="3"/>
      <c r="J42" s="3"/>
    </row>
    <row r="43" spans="1:10" x14ac:dyDescent="0.2">
      <c r="A43" s="8">
        <v>7207</v>
      </c>
      <c r="B43" s="7" t="s">
        <v>79</v>
      </c>
      <c r="C43" s="7">
        <v>7207</v>
      </c>
      <c r="D43" s="7" t="s">
        <v>198</v>
      </c>
      <c r="E43" s="3" t="s">
        <v>48</v>
      </c>
      <c r="F43" s="3">
        <v>3474</v>
      </c>
      <c r="G43" s="3"/>
      <c r="H43" s="3"/>
      <c r="J43" s="3"/>
    </row>
    <row r="44" spans="1:10" x14ac:dyDescent="0.2">
      <c r="A44" s="8">
        <v>7207</v>
      </c>
      <c r="B44" s="7" t="s">
        <v>79</v>
      </c>
      <c r="C44" s="7">
        <v>7207</v>
      </c>
      <c r="D44" s="7" t="s">
        <v>198</v>
      </c>
      <c r="E44" s="3" t="s">
        <v>46</v>
      </c>
      <c r="F44" s="3">
        <v>3297</v>
      </c>
      <c r="G44" s="3"/>
      <c r="H44" s="3"/>
      <c r="J44" s="3"/>
    </row>
    <row r="45" spans="1:10" x14ac:dyDescent="0.2">
      <c r="A45" s="8">
        <v>7207</v>
      </c>
      <c r="B45" s="7" t="s">
        <v>79</v>
      </c>
      <c r="C45" s="7">
        <v>7207</v>
      </c>
      <c r="D45" s="7" t="s">
        <v>198</v>
      </c>
      <c r="E45" s="3" t="s">
        <v>49</v>
      </c>
      <c r="F45" s="3">
        <v>2916</v>
      </c>
      <c r="G45" s="3"/>
      <c r="H45" s="7"/>
      <c r="J45" s="3"/>
    </row>
    <row r="46" spans="1:10" x14ac:dyDescent="0.2">
      <c r="A46" s="8">
        <v>7207</v>
      </c>
      <c r="B46" s="7" t="s">
        <v>79</v>
      </c>
      <c r="C46" s="7">
        <v>7207</v>
      </c>
      <c r="D46" s="7" t="s">
        <v>198</v>
      </c>
      <c r="E46" s="3" t="s">
        <v>47</v>
      </c>
      <c r="F46" s="3">
        <v>2650</v>
      </c>
      <c r="G46" s="3"/>
      <c r="H46" s="3"/>
      <c r="J46" s="3"/>
    </row>
    <row r="47" spans="1:10" x14ac:dyDescent="0.2">
      <c r="A47" s="8">
        <v>7207</v>
      </c>
      <c r="B47" s="7" t="s">
        <v>79</v>
      </c>
      <c r="C47" s="7">
        <v>7207</v>
      </c>
      <c r="D47" s="7" t="s">
        <v>198</v>
      </c>
      <c r="E47" s="3" t="s">
        <v>50</v>
      </c>
      <c r="F47" s="3">
        <v>2487</v>
      </c>
      <c r="G47" s="3"/>
      <c r="H47" s="3"/>
      <c r="J47" s="3"/>
    </row>
    <row r="48" spans="1:10" x14ac:dyDescent="0.2">
      <c r="A48" s="8">
        <v>7207</v>
      </c>
      <c r="B48" s="7" t="s">
        <v>79</v>
      </c>
      <c r="C48" s="7">
        <v>7207</v>
      </c>
      <c r="D48" s="7" t="s">
        <v>198</v>
      </c>
      <c r="E48" s="3" t="s">
        <v>51</v>
      </c>
      <c r="F48" s="3">
        <v>2310</v>
      </c>
      <c r="G48" s="3"/>
      <c r="H48" s="3"/>
      <c r="J48" s="3"/>
    </row>
    <row r="49" spans="1:10" x14ac:dyDescent="0.2">
      <c r="A49" s="8">
        <v>7207</v>
      </c>
      <c r="B49" s="7" t="s">
        <v>79</v>
      </c>
      <c r="C49" s="7">
        <v>7207</v>
      </c>
      <c r="D49" s="7" t="s">
        <v>198</v>
      </c>
      <c r="E49" s="3" t="s">
        <v>52</v>
      </c>
      <c r="F49" s="3">
        <v>2249</v>
      </c>
      <c r="G49" s="3"/>
      <c r="H49" s="7"/>
      <c r="J49" s="3"/>
    </row>
    <row r="50" spans="1:10" x14ac:dyDescent="0.2">
      <c r="A50" s="8">
        <v>7207</v>
      </c>
      <c r="B50" s="7" t="s">
        <v>79</v>
      </c>
      <c r="C50" s="7">
        <v>7207</v>
      </c>
      <c r="D50" s="7" t="s">
        <v>198</v>
      </c>
      <c r="E50" s="3" t="s">
        <v>53</v>
      </c>
      <c r="F50" s="3">
        <v>2171</v>
      </c>
      <c r="G50" s="3"/>
      <c r="H50" s="3"/>
      <c r="J50" s="3"/>
    </row>
    <row r="51" spans="1:10" x14ac:dyDescent="0.2">
      <c r="A51" s="8">
        <v>7207</v>
      </c>
      <c r="B51" s="7" t="s">
        <v>79</v>
      </c>
      <c r="C51" s="7">
        <v>7207</v>
      </c>
      <c r="D51" s="7" t="s">
        <v>198</v>
      </c>
      <c r="E51" s="3" t="s">
        <v>54</v>
      </c>
      <c r="F51" s="3">
        <v>2092</v>
      </c>
      <c r="G51" s="3"/>
      <c r="H51" s="7"/>
      <c r="J51" s="3"/>
    </row>
    <row r="52" spans="1:10" x14ac:dyDescent="0.2">
      <c r="A52" s="8">
        <v>7207</v>
      </c>
      <c r="B52" s="7" t="s">
        <v>79</v>
      </c>
      <c r="C52" s="7">
        <v>7207</v>
      </c>
      <c r="D52" s="7" t="s">
        <v>198</v>
      </c>
      <c r="E52" s="3" t="s">
        <v>55</v>
      </c>
      <c r="F52" s="3">
        <v>1985</v>
      </c>
      <c r="G52" s="3"/>
      <c r="H52" s="3"/>
      <c r="J52" s="3"/>
    </row>
    <row r="53" spans="1:10" x14ac:dyDescent="0.2">
      <c r="A53" s="8">
        <v>7207</v>
      </c>
      <c r="B53" s="7" t="s">
        <v>79</v>
      </c>
      <c r="C53" s="7">
        <v>7207</v>
      </c>
      <c r="D53" s="7" t="s">
        <v>198</v>
      </c>
      <c r="E53" s="3" t="s">
        <v>56</v>
      </c>
      <c r="F53" s="3">
        <v>1929</v>
      </c>
      <c r="G53" s="3"/>
      <c r="H53" s="7"/>
      <c r="J53" s="3"/>
    </row>
    <row r="54" spans="1:10" x14ac:dyDescent="0.2">
      <c r="A54" s="8">
        <v>7207</v>
      </c>
      <c r="B54" s="7" t="s">
        <v>79</v>
      </c>
      <c r="C54" s="7">
        <v>7207</v>
      </c>
      <c r="D54" s="7" t="s">
        <v>198</v>
      </c>
      <c r="E54" s="3" t="s">
        <v>57</v>
      </c>
      <c r="F54" s="3">
        <v>1839</v>
      </c>
      <c r="G54" s="3"/>
      <c r="H54" s="7"/>
      <c r="J54" s="3"/>
    </row>
    <row r="55" spans="1:10" x14ac:dyDescent="0.2">
      <c r="A55" s="8">
        <v>7207</v>
      </c>
      <c r="B55" s="7" t="s">
        <v>79</v>
      </c>
      <c r="C55" s="7">
        <v>7207</v>
      </c>
      <c r="D55" s="7" t="s">
        <v>198</v>
      </c>
      <c r="E55" s="3" t="s">
        <v>58</v>
      </c>
      <c r="F55" s="3">
        <v>1818</v>
      </c>
      <c r="G55" s="3"/>
      <c r="H55" s="7"/>
      <c r="J55" s="3"/>
    </row>
    <row r="56" spans="1:10" x14ac:dyDescent="0.2">
      <c r="A56" s="8">
        <v>7207</v>
      </c>
      <c r="B56" s="7" t="s">
        <v>79</v>
      </c>
      <c r="C56" s="7">
        <v>7207</v>
      </c>
      <c r="D56" s="7" t="s">
        <v>198</v>
      </c>
      <c r="E56" s="3" t="s">
        <v>59</v>
      </c>
      <c r="F56" s="3">
        <v>1768</v>
      </c>
      <c r="G56" s="3"/>
      <c r="H56" s="3"/>
      <c r="J56" s="3"/>
    </row>
    <row r="57" spans="1:10" x14ac:dyDescent="0.2">
      <c r="A57" s="8">
        <v>7207</v>
      </c>
      <c r="B57" s="7" t="s">
        <v>79</v>
      </c>
      <c r="C57" s="7">
        <v>7207</v>
      </c>
      <c r="D57" s="7" t="s">
        <v>198</v>
      </c>
      <c r="E57" s="3" t="s">
        <v>60</v>
      </c>
      <c r="F57" s="3">
        <v>1708</v>
      </c>
      <c r="G57" s="3"/>
      <c r="H57" s="3"/>
      <c r="J57" s="3"/>
    </row>
    <row r="58" spans="1:10" x14ac:dyDescent="0.2">
      <c r="A58" s="8">
        <v>7207</v>
      </c>
      <c r="B58" s="7" t="s">
        <v>79</v>
      </c>
      <c r="C58" s="7">
        <v>7207</v>
      </c>
      <c r="D58" s="7" t="s">
        <v>198</v>
      </c>
      <c r="E58" s="3" t="s">
        <v>61</v>
      </c>
      <c r="F58" s="3">
        <v>1538</v>
      </c>
      <c r="G58" s="3"/>
      <c r="H58" s="7"/>
      <c r="J58" s="3"/>
    </row>
    <row r="59" spans="1:10" x14ac:dyDescent="0.2">
      <c r="A59" s="8">
        <v>7207</v>
      </c>
      <c r="B59" s="7" t="s">
        <v>79</v>
      </c>
      <c r="C59" s="7">
        <v>7207</v>
      </c>
      <c r="D59" s="7" t="s">
        <v>198</v>
      </c>
      <c r="E59" s="3" t="s">
        <v>62</v>
      </c>
      <c r="F59" s="3">
        <v>1441</v>
      </c>
      <c r="G59" s="3"/>
      <c r="H59" s="3"/>
      <c r="J59" s="3"/>
    </row>
    <row r="60" spans="1:10" x14ac:dyDescent="0.2">
      <c r="A60" s="8">
        <v>7207</v>
      </c>
      <c r="B60" s="7" t="s">
        <v>79</v>
      </c>
      <c r="C60" s="7">
        <v>7207</v>
      </c>
      <c r="D60" s="7" t="s">
        <v>198</v>
      </c>
      <c r="E60" s="3" t="s">
        <v>63</v>
      </c>
      <c r="F60" s="3">
        <v>1412</v>
      </c>
      <c r="G60" s="3"/>
      <c r="H60" s="3"/>
      <c r="J60" s="3"/>
    </row>
    <row r="61" spans="1:10" x14ac:dyDescent="0.2">
      <c r="A61" s="8">
        <v>7207</v>
      </c>
      <c r="B61" s="7" t="s">
        <v>79</v>
      </c>
      <c r="C61" s="7">
        <v>7207</v>
      </c>
      <c r="D61" s="7" t="s">
        <v>198</v>
      </c>
      <c r="E61" s="3" t="s">
        <v>64</v>
      </c>
      <c r="F61" s="3">
        <v>1358</v>
      </c>
      <c r="G61" s="3"/>
      <c r="H61" s="3"/>
      <c r="J61" s="3"/>
    </row>
    <row r="62" spans="1:10" x14ac:dyDescent="0.2">
      <c r="A62" s="8">
        <v>7207</v>
      </c>
      <c r="B62" s="7" t="s">
        <v>79</v>
      </c>
      <c r="C62" s="7">
        <v>7207</v>
      </c>
      <c r="D62" s="7" t="s">
        <v>198</v>
      </c>
      <c r="E62" s="3" t="s">
        <v>65</v>
      </c>
      <c r="F62" s="3">
        <v>1321</v>
      </c>
      <c r="G62" s="3"/>
      <c r="H62" s="7"/>
      <c r="J62" s="3"/>
    </row>
    <row r="63" spans="1:10" x14ac:dyDescent="0.2">
      <c r="A63" s="8">
        <v>7207</v>
      </c>
      <c r="B63" s="7" t="s">
        <v>79</v>
      </c>
      <c r="C63" s="7">
        <v>7207</v>
      </c>
      <c r="D63" s="7" t="s">
        <v>198</v>
      </c>
      <c r="E63" s="3" t="s">
        <v>66</v>
      </c>
      <c r="F63" s="3">
        <v>1178</v>
      </c>
      <c r="G63" s="7"/>
      <c r="H63" s="7"/>
      <c r="J63" s="7"/>
    </row>
    <row r="64" spans="1:10" x14ac:dyDescent="0.2">
      <c r="A64" s="8">
        <v>7207</v>
      </c>
      <c r="B64" s="7" t="s">
        <v>79</v>
      </c>
      <c r="C64" s="7">
        <v>7207</v>
      </c>
      <c r="D64" s="7" t="s">
        <v>198</v>
      </c>
      <c r="E64" s="3" t="s">
        <v>67</v>
      </c>
      <c r="F64" s="3">
        <v>1072</v>
      </c>
      <c r="G64" s="3"/>
      <c r="H64" s="3"/>
      <c r="J64" s="3"/>
    </row>
    <row r="65" spans="1:12" x14ac:dyDescent="0.2">
      <c r="A65" s="8">
        <v>7207</v>
      </c>
      <c r="B65" s="7" t="s">
        <v>79</v>
      </c>
      <c r="C65" s="7">
        <v>7207</v>
      </c>
      <c r="D65" s="7" t="s">
        <v>198</v>
      </c>
      <c r="E65" s="3" t="s">
        <v>68</v>
      </c>
      <c r="F65" s="3">
        <v>1015</v>
      </c>
      <c r="G65" s="7"/>
      <c r="H65" s="3"/>
      <c r="J65" s="7"/>
    </row>
    <row r="66" spans="1:12" x14ac:dyDescent="0.2">
      <c r="A66" s="8">
        <v>7207</v>
      </c>
      <c r="B66" s="7" t="s">
        <v>79</v>
      </c>
      <c r="C66" s="7">
        <v>7207</v>
      </c>
      <c r="D66" s="7" t="s">
        <v>198</v>
      </c>
      <c r="E66" s="3" t="s">
        <v>69</v>
      </c>
      <c r="F66" s="3">
        <v>933</v>
      </c>
      <c r="G66" s="3"/>
      <c r="H66" s="3"/>
      <c r="J66" s="3"/>
    </row>
    <row r="67" spans="1:12" x14ac:dyDescent="0.2">
      <c r="A67" s="8">
        <v>7207</v>
      </c>
      <c r="B67" s="7" t="s">
        <v>79</v>
      </c>
      <c r="C67" s="7">
        <v>7207</v>
      </c>
      <c r="D67" s="7" t="s">
        <v>198</v>
      </c>
      <c r="E67" s="3" t="s">
        <v>76</v>
      </c>
      <c r="F67" s="3">
        <v>880</v>
      </c>
      <c r="G67" s="3"/>
      <c r="H67" s="7"/>
      <c r="J67" s="3"/>
    </row>
    <row r="68" spans="1:12" x14ac:dyDescent="0.2">
      <c r="A68" s="8">
        <v>7207</v>
      </c>
      <c r="B68" s="7" t="s">
        <v>79</v>
      </c>
      <c r="C68" s="7">
        <v>7207</v>
      </c>
      <c r="D68" s="7" t="s">
        <v>198</v>
      </c>
      <c r="E68" s="3" t="s">
        <v>77</v>
      </c>
      <c r="F68" s="3">
        <v>670</v>
      </c>
      <c r="G68" s="3"/>
      <c r="H68" s="3"/>
      <c r="J68" s="3"/>
      <c r="L68" s="7"/>
    </row>
    <row r="69" spans="1:12" x14ac:dyDescent="0.2">
      <c r="A69" s="8">
        <v>7207</v>
      </c>
      <c r="B69" s="7" t="s">
        <v>79</v>
      </c>
      <c r="C69" s="7">
        <v>7207</v>
      </c>
      <c r="D69" s="7" t="s">
        <v>198</v>
      </c>
      <c r="E69" s="3" t="s">
        <v>78</v>
      </c>
      <c r="F69" s="3">
        <v>611</v>
      </c>
      <c r="G69" s="3"/>
      <c r="H69" s="3"/>
      <c r="J69" s="3"/>
      <c r="L69" s="7"/>
    </row>
    <row r="70" spans="1:12" x14ac:dyDescent="0.2">
      <c r="A70" s="8">
        <v>7207</v>
      </c>
      <c r="B70" s="7" t="s">
        <v>79</v>
      </c>
      <c r="C70" s="7">
        <v>7207</v>
      </c>
      <c r="D70" s="7" t="s">
        <v>198</v>
      </c>
      <c r="E70" s="3" t="s">
        <v>74</v>
      </c>
      <c r="F70" s="3">
        <v>604</v>
      </c>
      <c r="G70" s="3"/>
      <c r="H70" s="3"/>
      <c r="J70" s="7"/>
      <c r="L70" s="7"/>
    </row>
    <row r="71" spans="1:12" x14ac:dyDescent="0.2">
      <c r="A71" s="8">
        <v>7207</v>
      </c>
      <c r="B71" s="7" t="s">
        <v>79</v>
      </c>
      <c r="C71" s="7">
        <v>7207</v>
      </c>
      <c r="D71" s="7" t="s">
        <v>198</v>
      </c>
      <c r="E71" s="3" t="s">
        <v>75</v>
      </c>
      <c r="F71" s="3">
        <v>588</v>
      </c>
      <c r="G71" s="7"/>
      <c r="H71" s="3"/>
      <c r="J71" s="7"/>
    </row>
    <row r="72" spans="1:12" x14ac:dyDescent="0.2">
      <c r="A72" s="8">
        <v>7207</v>
      </c>
      <c r="B72" s="7" t="s">
        <v>79</v>
      </c>
      <c r="C72" s="7">
        <v>7207</v>
      </c>
      <c r="D72" s="7" t="s">
        <v>198</v>
      </c>
      <c r="E72" s="3" t="s">
        <v>70</v>
      </c>
      <c r="F72" s="3">
        <v>525</v>
      </c>
      <c r="G72" s="3"/>
      <c r="H72" s="3"/>
      <c r="J72" s="7"/>
    </row>
    <row r="73" spans="1:12" x14ac:dyDescent="0.2">
      <c r="A73" s="8">
        <v>7207</v>
      </c>
      <c r="B73" s="7" t="s">
        <v>79</v>
      </c>
      <c r="C73" s="7">
        <v>7207</v>
      </c>
      <c r="D73" s="7" t="s">
        <v>198</v>
      </c>
      <c r="E73" s="3" t="s">
        <v>73</v>
      </c>
      <c r="F73" s="3">
        <v>514</v>
      </c>
      <c r="G73" s="7"/>
      <c r="H73" s="3"/>
      <c r="J73" s="3"/>
    </row>
    <row r="74" spans="1:12" x14ac:dyDescent="0.2">
      <c r="A74" s="8">
        <v>7207</v>
      </c>
      <c r="B74" s="7" t="s">
        <v>79</v>
      </c>
      <c r="C74" s="7">
        <v>7207</v>
      </c>
      <c r="D74" s="7" t="s">
        <v>198</v>
      </c>
      <c r="E74" s="3" t="s">
        <v>72</v>
      </c>
      <c r="F74" s="3">
        <v>503</v>
      </c>
      <c r="G74" s="7"/>
      <c r="H74" s="3"/>
      <c r="J74" s="3"/>
    </row>
    <row r="75" spans="1:12" x14ac:dyDescent="0.2">
      <c r="A75" s="8">
        <v>7207</v>
      </c>
      <c r="B75" s="7" t="s">
        <v>79</v>
      </c>
      <c r="C75" s="7">
        <v>7207</v>
      </c>
      <c r="D75" s="7" t="s">
        <v>198</v>
      </c>
      <c r="E75" s="3" t="s">
        <v>71</v>
      </c>
      <c r="F75" s="3">
        <v>427</v>
      </c>
      <c r="G75" s="3"/>
      <c r="H75" s="3"/>
      <c r="J75" s="3"/>
    </row>
    <row r="76" spans="1:12" x14ac:dyDescent="0.2">
      <c r="A76" s="9" t="s">
        <v>80</v>
      </c>
      <c r="F76" s="9">
        <f>SUM(F6:F75)</f>
        <v>357295</v>
      </c>
      <c r="G76" s="23"/>
      <c r="H76" s="7"/>
    </row>
    <row r="77" spans="1:12" x14ac:dyDescent="0.2">
      <c r="G77" s="7"/>
      <c r="H77" s="3"/>
    </row>
    <row r="78" spans="1:12" x14ac:dyDescent="0.2">
      <c r="G78" s="7"/>
      <c r="H78" s="3"/>
    </row>
    <row r="79" spans="1:12" x14ac:dyDescent="0.2">
      <c r="G79" s="7"/>
      <c r="H79" s="3"/>
    </row>
    <row r="80" spans="1:12" x14ac:dyDescent="0.2">
      <c r="H80" s="3"/>
    </row>
    <row r="81" spans="8:8" x14ac:dyDescent="0.2">
      <c r="H81" s="3"/>
    </row>
    <row r="82" spans="8:8" x14ac:dyDescent="0.2">
      <c r="H82" s="3"/>
    </row>
    <row r="83" spans="8:8" x14ac:dyDescent="0.2">
      <c r="H83" s="3"/>
    </row>
    <row r="84" spans="8:8" x14ac:dyDescent="0.2">
      <c r="H84" s="3"/>
    </row>
    <row r="85" spans="8:8" x14ac:dyDescent="0.2">
      <c r="H85" s="3"/>
    </row>
    <row r="86" spans="8:8" x14ac:dyDescent="0.2">
      <c r="H86" s="3"/>
    </row>
    <row r="87" spans="8:8" x14ac:dyDescent="0.2">
      <c r="H87" s="3"/>
    </row>
    <row r="88" spans="8:8" x14ac:dyDescent="0.2">
      <c r="H88" s="3"/>
    </row>
  </sheetData>
  <sortState xmlns:xlrd2="http://schemas.microsoft.com/office/spreadsheetml/2017/richdata2" ref="A6:F75">
    <sortCondition descending="1" ref="F6:F75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8DCA0-AC41-274F-8DD8-EDAF2FAA8886}">
  <dimension ref="A1:L23"/>
  <sheetViews>
    <sheetView workbookViewId="0">
      <selection activeCell="J16" sqref="J16"/>
    </sheetView>
  </sheetViews>
  <sheetFormatPr baseColWidth="10" defaultRowHeight="15" x14ac:dyDescent="0.2"/>
  <cols>
    <col min="1" max="1" width="16.83203125" customWidth="1"/>
    <col min="2" max="2" width="21.6640625" customWidth="1"/>
    <col min="3" max="3" width="37" customWidth="1"/>
    <col min="4" max="5" width="20.33203125" customWidth="1"/>
    <col min="6" max="6" width="23.83203125" customWidth="1"/>
  </cols>
  <sheetData>
    <row r="1" spans="1:12" x14ac:dyDescent="0.2">
      <c r="A1" s="1" t="s">
        <v>196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2">
      <c r="A2" s="1" t="s">
        <v>0</v>
      </c>
      <c r="B2" s="1"/>
      <c r="C2" s="1"/>
      <c r="D2" s="10"/>
      <c r="E2" s="10"/>
      <c r="F2" s="10"/>
      <c r="G2" s="10"/>
      <c r="H2" s="10"/>
      <c r="I2" s="10"/>
      <c r="J2" s="10"/>
      <c r="K2" s="10"/>
      <c r="L2" s="1"/>
    </row>
    <row r="3" spans="1:12" x14ac:dyDescent="0.2">
      <c r="A3" s="1" t="s">
        <v>81</v>
      </c>
      <c r="B3" s="1"/>
      <c r="C3" s="1"/>
      <c r="D3" s="1"/>
      <c r="E3" s="1"/>
      <c r="F3" s="1"/>
      <c r="G3" s="1"/>
      <c r="H3" s="1"/>
      <c r="I3" s="1"/>
      <c r="J3" s="1"/>
      <c r="K3" s="1"/>
      <c r="L3" s="4"/>
    </row>
    <row r="4" spans="1:12" x14ac:dyDescent="0.2">
      <c r="A4" s="1" t="s">
        <v>82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x14ac:dyDescent="0.2">
      <c r="A5" s="5" t="s">
        <v>3</v>
      </c>
      <c r="B5" s="5" t="s">
        <v>4</v>
      </c>
      <c r="C5" s="5" t="s">
        <v>6</v>
      </c>
      <c r="D5" s="5" t="s">
        <v>83</v>
      </c>
      <c r="E5" s="6" t="s">
        <v>8</v>
      </c>
      <c r="F5" s="6"/>
      <c r="G5" s="6"/>
      <c r="H5" s="6"/>
      <c r="I5" s="6"/>
      <c r="J5" s="6"/>
      <c r="K5" s="6"/>
      <c r="L5" s="6"/>
    </row>
    <row r="6" spans="1:12" x14ac:dyDescent="0.2">
      <c r="A6" s="7" t="s">
        <v>101</v>
      </c>
      <c r="B6" s="7" t="s">
        <v>102</v>
      </c>
      <c r="C6" s="7" t="s">
        <v>197</v>
      </c>
      <c r="D6" s="7" t="s">
        <v>84</v>
      </c>
      <c r="E6" s="7">
        <v>47936</v>
      </c>
      <c r="F6" s="7"/>
      <c r="G6" s="3"/>
    </row>
    <row r="7" spans="1:12" x14ac:dyDescent="0.2">
      <c r="A7" s="7" t="s">
        <v>101</v>
      </c>
      <c r="B7" s="7" t="s">
        <v>102</v>
      </c>
      <c r="C7" s="7" t="s">
        <v>197</v>
      </c>
      <c r="D7" s="7" t="s">
        <v>85</v>
      </c>
      <c r="E7" s="7">
        <v>41976</v>
      </c>
      <c r="F7" s="7"/>
      <c r="G7" s="3"/>
      <c r="I7" s="7"/>
    </row>
    <row r="8" spans="1:12" x14ac:dyDescent="0.2">
      <c r="A8" s="7" t="s">
        <v>101</v>
      </c>
      <c r="B8" s="7" t="s">
        <v>102</v>
      </c>
      <c r="C8" s="7" t="s">
        <v>197</v>
      </c>
      <c r="D8" s="7" t="s">
        <v>87</v>
      </c>
      <c r="E8" s="7">
        <v>36150</v>
      </c>
      <c r="F8" s="7"/>
      <c r="G8" s="3"/>
    </row>
    <row r="9" spans="1:12" x14ac:dyDescent="0.2">
      <c r="A9" s="7" t="s">
        <v>101</v>
      </c>
      <c r="B9" s="7" t="s">
        <v>102</v>
      </c>
      <c r="C9" s="7" t="s">
        <v>197</v>
      </c>
      <c r="D9" s="7" t="s">
        <v>86</v>
      </c>
      <c r="E9" s="7">
        <v>30792</v>
      </c>
      <c r="F9" s="7"/>
      <c r="G9" s="3"/>
    </row>
    <row r="10" spans="1:12" x14ac:dyDescent="0.2">
      <c r="A10" s="7" t="s">
        <v>101</v>
      </c>
      <c r="B10" s="7" t="s">
        <v>102</v>
      </c>
      <c r="C10" s="7" t="s">
        <v>197</v>
      </c>
      <c r="D10" s="7" t="s">
        <v>88</v>
      </c>
      <c r="E10" s="7">
        <v>25822</v>
      </c>
      <c r="F10" s="7"/>
      <c r="G10" s="3"/>
    </row>
    <row r="11" spans="1:12" x14ac:dyDescent="0.2">
      <c r="A11" s="7" t="s">
        <v>101</v>
      </c>
      <c r="B11" s="7" t="s">
        <v>102</v>
      </c>
      <c r="C11" s="7" t="s">
        <v>197</v>
      </c>
      <c r="D11" s="7" t="s">
        <v>89</v>
      </c>
      <c r="E11" s="7">
        <v>22278</v>
      </c>
      <c r="F11" s="7"/>
      <c r="G11" s="3"/>
      <c r="I11" s="7"/>
    </row>
    <row r="12" spans="1:12" x14ac:dyDescent="0.2">
      <c r="A12" s="7" t="s">
        <v>101</v>
      </c>
      <c r="B12" s="7" t="s">
        <v>102</v>
      </c>
      <c r="C12" s="7" t="s">
        <v>197</v>
      </c>
      <c r="D12" s="7" t="s">
        <v>91</v>
      </c>
      <c r="E12" s="7">
        <v>20523</v>
      </c>
      <c r="F12" s="7"/>
      <c r="G12" s="3"/>
    </row>
    <row r="13" spans="1:12" x14ac:dyDescent="0.2">
      <c r="A13" s="7" t="s">
        <v>101</v>
      </c>
      <c r="B13" s="7" t="s">
        <v>102</v>
      </c>
      <c r="C13" s="7" t="s">
        <v>197</v>
      </c>
      <c r="D13" s="7" t="s">
        <v>90</v>
      </c>
      <c r="E13" s="7">
        <v>19174</v>
      </c>
      <c r="F13" s="7"/>
      <c r="G13" s="3"/>
    </row>
    <row r="14" spans="1:12" x14ac:dyDescent="0.2">
      <c r="A14" s="7" t="s">
        <v>101</v>
      </c>
      <c r="B14" s="7" t="s">
        <v>102</v>
      </c>
      <c r="C14" s="7" t="s">
        <v>197</v>
      </c>
      <c r="D14" s="3" t="s">
        <v>93</v>
      </c>
      <c r="E14" s="3">
        <v>18198</v>
      </c>
      <c r="F14" s="7"/>
      <c r="G14" s="3"/>
    </row>
    <row r="15" spans="1:12" x14ac:dyDescent="0.2">
      <c r="A15" s="7" t="s">
        <v>101</v>
      </c>
      <c r="B15" s="7" t="s">
        <v>102</v>
      </c>
      <c r="C15" s="7" t="s">
        <v>197</v>
      </c>
      <c r="D15" s="3" t="s">
        <v>92</v>
      </c>
      <c r="E15" s="3">
        <v>17645</v>
      </c>
      <c r="F15" s="7"/>
      <c r="G15" s="3"/>
    </row>
    <row r="16" spans="1:12" x14ac:dyDescent="0.2">
      <c r="A16" s="7" t="s">
        <v>101</v>
      </c>
      <c r="B16" s="7" t="s">
        <v>102</v>
      </c>
      <c r="C16" s="7" t="s">
        <v>197</v>
      </c>
      <c r="D16" s="3" t="s">
        <v>95</v>
      </c>
      <c r="E16" s="3">
        <v>16639</v>
      </c>
      <c r="F16" s="7"/>
      <c r="G16" s="3"/>
    </row>
    <row r="17" spans="1:9" x14ac:dyDescent="0.2">
      <c r="A17" s="7" t="s">
        <v>101</v>
      </c>
      <c r="B17" s="7" t="s">
        <v>102</v>
      </c>
      <c r="C17" s="7" t="s">
        <v>197</v>
      </c>
      <c r="D17" s="3" t="s">
        <v>94</v>
      </c>
      <c r="E17" s="3">
        <v>15419</v>
      </c>
      <c r="F17" s="7"/>
      <c r="G17" s="3"/>
      <c r="I17" s="3"/>
    </row>
    <row r="18" spans="1:9" x14ac:dyDescent="0.2">
      <c r="A18" s="7" t="s">
        <v>101</v>
      </c>
      <c r="B18" s="7" t="s">
        <v>102</v>
      </c>
      <c r="C18" s="7" t="s">
        <v>197</v>
      </c>
      <c r="D18" s="3" t="s">
        <v>97</v>
      </c>
      <c r="E18" s="3">
        <v>13357</v>
      </c>
      <c r="F18" s="7"/>
      <c r="G18" s="3"/>
    </row>
    <row r="19" spans="1:9" x14ac:dyDescent="0.2">
      <c r="A19" s="7" t="s">
        <v>101</v>
      </c>
      <c r="B19" s="7" t="s">
        <v>102</v>
      </c>
      <c r="C19" s="7" t="s">
        <v>197</v>
      </c>
      <c r="D19" s="3" t="s">
        <v>96</v>
      </c>
      <c r="E19" s="3">
        <v>11134</v>
      </c>
      <c r="F19" s="7"/>
      <c r="G19" s="3"/>
    </row>
    <row r="20" spans="1:9" x14ac:dyDescent="0.2">
      <c r="A20" s="7" t="s">
        <v>101</v>
      </c>
      <c r="B20" s="7" t="s">
        <v>102</v>
      </c>
      <c r="C20" s="7" t="s">
        <v>197</v>
      </c>
      <c r="D20" s="3" t="s">
        <v>98</v>
      </c>
      <c r="E20" s="3">
        <v>9101</v>
      </c>
      <c r="F20" s="7"/>
      <c r="G20" s="3"/>
    </row>
    <row r="21" spans="1:9" x14ac:dyDescent="0.2">
      <c r="A21" s="7" t="s">
        <v>101</v>
      </c>
      <c r="B21" s="7" t="s">
        <v>102</v>
      </c>
      <c r="C21" s="7" t="s">
        <v>197</v>
      </c>
      <c r="D21" s="3" t="s">
        <v>99</v>
      </c>
      <c r="E21" s="3">
        <v>6536</v>
      </c>
      <c r="F21" s="7"/>
      <c r="G21" s="3"/>
    </row>
    <row r="22" spans="1:9" x14ac:dyDescent="0.2">
      <c r="A22" s="7" t="s">
        <v>101</v>
      </c>
      <c r="B22" s="7" t="s">
        <v>102</v>
      </c>
      <c r="C22" s="7" t="s">
        <v>197</v>
      </c>
      <c r="D22" s="3" t="s">
        <v>100</v>
      </c>
      <c r="E22" s="3">
        <v>4615</v>
      </c>
      <c r="F22" s="7"/>
      <c r="G22" s="3"/>
    </row>
    <row r="23" spans="1:9" x14ac:dyDescent="0.2">
      <c r="A23" s="9" t="s">
        <v>80</v>
      </c>
      <c r="E23" s="9">
        <f>SUM(E6:E22)</f>
        <v>357295</v>
      </c>
      <c r="F23" s="2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3E671-1611-5045-8407-E46017A9A917}">
  <dimension ref="A1:L20"/>
  <sheetViews>
    <sheetView workbookViewId="0">
      <selection activeCell="K21" sqref="K21"/>
    </sheetView>
  </sheetViews>
  <sheetFormatPr baseColWidth="10" defaultRowHeight="15" x14ac:dyDescent="0.2"/>
  <cols>
    <col min="2" max="2" width="20.1640625" customWidth="1"/>
    <col min="3" max="3" width="38" customWidth="1"/>
    <col min="4" max="4" width="14" customWidth="1"/>
    <col min="5" max="5" width="19.6640625" customWidth="1"/>
    <col min="6" max="6" width="12" customWidth="1"/>
  </cols>
  <sheetData>
    <row r="1" spans="1:12" x14ac:dyDescent="0.2">
      <c r="A1" s="1" t="s">
        <v>196</v>
      </c>
      <c r="B1" s="1"/>
      <c r="C1" s="1"/>
      <c r="D1" s="1"/>
      <c r="E1" s="1"/>
    </row>
    <row r="2" spans="1:12" x14ac:dyDescent="0.2">
      <c r="A2" s="1" t="s">
        <v>0</v>
      </c>
      <c r="B2" s="1"/>
      <c r="C2" s="1"/>
      <c r="D2" s="1"/>
      <c r="G2" s="11"/>
    </row>
    <row r="3" spans="1:12" x14ac:dyDescent="0.2">
      <c r="A3" s="1" t="s">
        <v>81</v>
      </c>
      <c r="B3" s="1"/>
      <c r="C3" s="1"/>
      <c r="D3" s="1"/>
      <c r="E3" s="1"/>
      <c r="F3" s="11"/>
    </row>
    <row r="4" spans="1:12" x14ac:dyDescent="0.2">
      <c r="A4" s="1" t="s">
        <v>103</v>
      </c>
      <c r="B4" s="1"/>
      <c r="C4" s="1"/>
      <c r="D4" s="1"/>
      <c r="E4" s="1"/>
    </row>
    <row r="5" spans="1:12" x14ac:dyDescent="0.2">
      <c r="A5" s="5" t="s">
        <v>3</v>
      </c>
      <c r="B5" s="5" t="s">
        <v>4</v>
      </c>
      <c r="C5" s="5" t="s">
        <v>6</v>
      </c>
      <c r="D5" s="12" t="s">
        <v>104</v>
      </c>
      <c r="E5" s="13" t="s">
        <v>8</v>
      </c>
      <c r="F5" s="14" t="s">
        <v>105</v>
      </c>
    </row>
    <row r="6" spans="1:12" x14ac:dyDescent="0.2">
      <c r="A6" s="7" t="s">
        <v>101</v>
      </c>
      <c r="B6" s="7" t="s">
        <v>102</v>
      </c>
      <c r="C6" s="7" t="s">
        <v>106</v>
      </c>
      <c r="D6" s="15">
        <v>45992</v>
      </c>
      <c r="E6" s="18">
        <v>25518</v>
      </c>
      <c r="F6" s="17">
        <v>515.20000000000005</v>
      </c>
    </row>
    <row r="7" spans="1:12" x14ac:dyDescent="0.2">
      <c r="A7" s="7" t="s">
        <v>101</v>
      </c>
      <c r="B7" s="7" t="s">
        <v>102</v>
      </c>
      <c r="C7" s="7" t="s">
        <v>107</v>
      </c>
      <c r="D7" s="15">
        <v>45993</v>
      </c>
      <c r="E7" s="18">
        <v>25531</v>
      </c>
      <c r="F7" s="17">
        <v>515.47</v>
      </c>
    </row>
    <row r="8" spans="1:12" x14ac:dyDescent="0.2">
      <c r="A8" s="7" t="s">
        <v>101</v>
      </c>
      <c r="B8" s="7" t="s">
        <v>102</v>
      </c>
      <c r="C8" s="7" t="s">
        <v>108</v>
      </c>
      <c r="D8" s="15">
        <v>45994</v>
      </c>
      <c r="E8" s="18">
        <v>25522</v>
      </c>
      <c r="F8" s="17">
        <v>515.29</v>
      </c>
    </row>
    <row r="9" spans="1:12" x14ac:dyDescent="0.2">
      <c r="A9" s="7" t="s">
        <v>101</v>
      </c>
      <c r="B9" s="7" t="s">
        <v>102</v>
      </c>
      <c r="C9" s="7" t="s">
        <v>109</v>
      </c>
      <c r="D9" s="15">
        <v>45995</v>
      </c>
      <c r="E9" s="18">
        <v>25519</v>
      </c>
      <c r="F9" s="17">
        <v>515.22</v>
      </c>
      <c r="K9" s="18"/>
    </row>
    <row r="10" spans="1:12" x14ac:dyDescent="0.2">
      <c r="A10" s="7" t="s">
        <v>101</v>
      </c>
      <c r="B10" s="7" t="s">
        <v>102</v>
      </c>
      <c r="C10" s="7" t="s">
        <v>110</v>
      </c>
      <c r="D10" s="15">
        <v>45996</v>
      </c>
      <c r="E10" s="18">
        <v>25537</v>
      </c>
      <c r="F10" s="17">
        <v>515.59</v>
      </c>
      <c r="K10" s="18"/>
      <c r="L10" s="16"/>
    </row>
    <row r="11" spans="1:12" x14ac:dyDescent="0.2">
      <c r="A11" s="7" t="s">
        <v>101</v>
      </c>
      <c r="B11" s="7" t="s">
        <v>102</v>
      </c>
      <c r="C11" s="7" t="s">
        <v>111</v>
      </c>
      <c r="D11" s="15">
        <v>45997</v>
      </c>
      <c r="E11" s="18">
        <v>25529</v>
      </c>
      <c r="F11" s="17">
        <v>515.42999999999995</v>
      </c>
      <c r="K11" s="18"/>
    </row>
    <row r="12" spans="1:12" x14ac:dyDescent="0.2">
      <c r="A12" s="7" t="s">
        <v>101</v>
      </c>
      <c r="B12" s="7" t="s">
        <v>102</v>
      </c>
      <c r="C12" s="7" t="s">
        <v>112</v>
      </c>
      <c r="D12" s="15">
        <v>45998</v>
      </c>
      <c r="E12" s="18">
        <v>25537</v>
      </c>
      <c r="F12" s="17">
        <v>515.59</v>
      </c>
      <c r="J12" s="18"/>
      <c r="K12" s="18"/>
    </row>
    <row r="13" spans="1:12" x14ac:dyDescent="0.2">
      <c r="A13" s="7" t="s">
        <v>101</v>
      </c>
      <c r="B13" s="7" t="s">
        <v>102</v>
      </c>
      <c r="C13" s="7" t="s">
        <v>199</v>
      </c>
      <c r="D13" s="15">
        <v>45999</v>
      </c>
      <c r="E13" s="18">
        <v>25521</v>
      </c>
      <c r="F13" s="17">
        <v>514.98</v>
      </c>
      <c r="J13" s="17"/>
      <c r="K13" s="18"/>
      <c r="L13" s="17"/>
    </row>
    <row r="14" spans="1:12" x14ac:dyDescent="0.2">
      <c r="A14" s="7" t="s">
        <v>101</v>
      </c>
      <c r="B14" s="7" t="s">
        <v>102</v>
      </c>
      <c r="C14" s="7" t="s">
        <v>200</v>
      </c>
      <c r="D14" s="15">
        <v>46000</v>
      </c>
      <c r="E14" s="18">
        <v>25519</v>
      </c>
      <c r="F14" s="17">
        <v>514.94000000000005</v>
      </c>
      <c r="J14" s="17"/>
      <c r="K14" s="18"/>
      <c r="L14" s="17"/>
    </row>
    <row r="15" spans="1:12" x14ac:dyDescent="0.2">
      <c r="A15" s="7" t="s">
        <v>101</v>
      </c>
      <c r="B15" s="7" t="s">
        <v>102</v>
      </c>
      <c r="C15" s="7" t="s">
        <v>201</v>
      </c>
      <c r="D15" s="15">
        <v>46001</v>
      </c>
      <c r="E15" s="18">
        <v>25511</v>
      </c>
      <c r="F15" s="17">
        <v>514.78</v>
      </c>
      <c r="J15" s="17"/>
      <c r="K15" s="18"/>
      <c r="L15" s="17"/>
    </row>
    <row r="16" spans="1:12" x14ac:dyDescent="0.2">
      <c r="A16" s="7" t="s">
        <v>101</v>
      </c>
      <c r="B16" s="7" t="s">
        <v>102</v>
      </c>
      <c r="C16" s="7" t="s">
        <v>202</v>
      </c>
      <c r="D16" s="15">
        <v>46002</v>
      </c>
      <c r="E16" s="18">
        <v>25513</v>
      </c>
      <c r="F16" s="17">
        <v>514.82000000000005</v>
      </c>
      <c r="J16" s="17"/>
      <c r="K16" s="18"/>
      <c r="L16" s="17"/>
    </row>
    <row r="17" spans="1:12" x14ac:dyDescent="0.2">
      <c r="A17" s="7" t="s">
        <v>101</v>
      </c>
      <c r="B17" s="7" t="s">
        <v>102</v>
      </c>
      <c r="C17" s="7" t="s">
        <v>203</v>
      </c>
      <c r="D17" s="15">
        <v>46003</v>
      </c>
      <c r="E17" s="18">
        <v>25522</v>
      </c>
      <c r="F17" s="17">
        <v>515</v>
      </c>
      <c r="J17" s="17"/>
      <c r="K17" s="18"/>
      <c r="L17" s="17"/>
    </row>
    <row r="18" spans="1:12" x14ac:dyDescent="0.2">
      <c r="A18" s="7" t="s">
        <v>101</v>
      </c>
      <c r="B18" s="7" t="s">
        <v>102</v>
      </c>
      <c r="C18" s="7" t="s">
        <v>204</v>
      </c>
      <c r="D18" s="15">
        <v>46004</v>
      </c>
      <c r="E18" s="18">
        <v>25510</v>
      </c>
      <c r="F18" s="17">
        <v>514.76</v>
      </c>
      <c r="J18" s="17"/>
      <c r="K18" s="18"/>
      <c r="L18" s="17"/>
    </row>
    <row r="19" spans="1:12" x14ac:dyDescent="0.2">
      <c r="A19" s="7" t="s">
        <v>101</v>
      </c>
      <c r="B19" s="7" t="s">
        <v>102</v>
      </c>
      <c r="C19" s="7" t="s">
        <v>205</v>
      </c>
      <c r="D19" s="15">
        <v>46005</v>
      </c>
      <c r="E19" s="18">
        <v>25506</v>
      </c>
      <c r="F19" s="17">
        <v>514.69000000000005</v>
      </c>
      <c r="J19" s="17"/>
      <c r="K19" s="18"/>
      <c r="L19" s="17"/>
    </row>
    <row r="20" spans="1:12" x14ac:dyDescent="0.2">
      <c r="A20" s="9" t="s">
        <v>80</v>
      </c>
      <c r="E20" s="22">
        <f>SUM(E6:E19)</f>
        <v>357295</v>
      </c>
      <c r="F20" s="19">
        <f>SUM(F6:F19)</f>
        <v>7211.76</v>
      </c>
      <c r="J20" s="16"/>
      <c r="L20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Week 1-2 Control 12.1-12.14</vt:lpstr>
      <vt:lpstr>Week 1-2 Control GEO 12.1-12.14</vt:lpstr>
      <vt:lpstr>Week 1-2 Cont. Daily 12.1-12.14</vt:lpstr>
      <vt:lpstr>Week 1-2 Treat. 12.1-12.14</vt:lpstr>
      <vt:lpstr>Week 1-2 Treat. GEO 12.1-12.14</vt:lpstr>
      <vt:lpstr>Week 1 Treatment DLY 12.1-12.7</vt:lpstr>
      <vt:lpstr>WC Week 1-2 12.1-12.14</vt:lpstr>
      <vt:lpstr>WC Week 1-2 GEO 12.1-12.14</vt:lpstr>
      <vt:lpstr>WC Week 1-2 Daily 12.1-12.14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Glenn Higgins</dc:creator>
  <cp:lastModifiedBy>Josh Peltz</cp:lastModifiedBy>
  <dcterms:created xsi:type="dcterms:W3CDTF">2025-12-05T14:45:58Z</dcterms:created>
  <dcterms:modified xsi:type="dcterms:W3CDTF">2025-12-18T05:04:54Z</dcterms:modified>
</cp:coreProperties>
</file>