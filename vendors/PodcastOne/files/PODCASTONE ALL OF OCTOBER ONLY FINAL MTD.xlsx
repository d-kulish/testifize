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 VENDOR REPORTING/"/>
    </mc:Choice>
  </mc:AlternateContent>
  <xr:revisionPtr revIDLastSave="0" documentId="13_ncr:1_{C358F0FE-2D84-4040-A94B-BB7A6F27949A}" xr6:coauthVersionLast="47" xr6:coauthVersionMax="47" xr10:uidLastSave="{00000000-0000-0000-0000-000000000000}"/>
  <bookViews>
    <workbookView xWindow="320" yWindow="460" windowWidth="28480" windowHeight="16320" xr2:uid="{C10E4BB2-7FCD-074A-B58D-F134132D1652}"/>
  </bookViews>
  <sheets>
    <sheet name="BASE 10.1-10.31" sheetId="9" r:id="rId1"/>
    <sheet name="BASE (+) GEO 10.1-10.31" sheetId="10" r:id="rId2"/>
    <sheet name="BASE  DAILY SPND 10.1-10.31" sheetId="7" r:id="rId3"/>
    <sheet name="WC 10.1-10.31" sheetId="11" r:id="rId4"/>
    <sheet name="WC (+) GEO 10.1-10.31" sheetId="12" r:id="rId5"/>
    <sheet name="WC DAILY SPND. 10.1-10.31" sheetId="8" r:id="rId6"/>
  </sheets>
  <definedNames>
    <definedName name="_xlnm._FilterDatabase" localSheetId="0" hidden="1">'BASE 10.1-10.31'!$A$5:$E$107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8" i="9" l="1"/>
  <c r="E24" i="12"/>
  <c r="F76" i="11"/>
  <c r="E32" i="10"/>
  <c r="F37" i="8"/>
  <c r="E37" i="8"/>
  <c r="F37" i="7"/>
  <c r="E37" i="7"/>
</calcChain>
</file>

<file path=xl/sharedStrings.xml><?xml version="1.0" encoding="utf-8"?>
<sst xmlns="http://schemas.openxmlformats.org/spreadsheetml/2006/main" count="835" uniqueCount="227">
  <si>
    <t>Timezone: America/New_York</t>
  </si>
  <si>
    <t xml:space="preserve">Filters: Order ID IN (7205) </t>
  </si>
  <si>
    <t>Splits: Order ID,Order,Campaign ID,Campaign,Publisher ID,Publisher,Audio Impressions</t>
  </si>
  <si>
    <t>Order ID</t>
  </si>
  <si>
    <t>Order</t>
  </si>
  <si>
    <t>Campaign ID</t>
  </si>
  <si>
    <t>Campaign</t>
  </si>
  <si>
    <t>Publisher</t>
  </si>
  <si>
    <t>Audio Impressions</t>
  </si>
  <si>
    <t>(7205) Betonline 2025</t>
  </si>
  <si>
    <t>Adam Carolla Show</t>
  </si>
  <si>
    <t>"YOUR WELCOME" with Michael Malice</t>
  </si>
  <si>
    <t>The Adam and Dr. Drew Show</t>
  </si>
  <si>
    <t>Notsam Wrestling</t>
  </si>
  <si>
    <t>The Steve Austin Show</t>
  </si>
  <si>
    <t xml:space="preserve">CarCast </t>
  </si>
  <si>
    <t xml:space="preserve">The Morning After STL </t>
  </si>
  <si>
    <t>One MANS Opinion with Jeff Mans</t>
  </si>
  <si>
    <t>Going Racing with Adam Carolla</t>
  </si>
  <si>
    <t>Plugged In with Chris Howard</t>
  </si>
  <si>
    <t>The Michael Irvin Podcast</t>
  </si>
  <si>
    <t>Uncut with Jay Cutler</t>
  </si>
  <si>
    <t>The Big Podcast With Shaq</t>
  </si>
  <si>
    <t xml:space="preserve">No Gruffs Given with Sean Avery </t>
  </si>
  <si>
    <t xml:space="preserve">Big Shot Bob Pod with Robert Horry </t>
  </si>
  <si>
    <t xml:space="preserve">Everyday Greatness: The Ray Lewis Podcast </t>
  </si>
  <si>
    <t>Dr. Hockey</t>
  </si>
  <si>
    <t>Jim Beaver's Project Action</t>
  </si>
  <si>
    <t xml:space="preserve">The Deegans </t>
  </si>
  <si>
    <t>Foley Is Pod</t>
  </si>
  <si>
    <t xml:space="preserve">Hotboxin With Mike Tyson </t>
  </si>
  <si>
    <t>TOTAL</t>
  </si>
  <si>
    <t>(7206) Betonline 2025</t>
  </si>
  <si>
    <t>Cold Case Files</t>
  </si>
  <si>
    <t>Reasonable Doubt</t>
  </si>
  <si>
    <t>Sex, Lies &amp; Murder</t>
  </si>
  <si>
    <t>The World of Phil Hendrie</t>
  </si>
  <si>
    <t>The Consult: Real FBI Profilers</t>
  </si>
  <si>
    <t>On Brand with Jon and Marisa</t>
  </si>
  <si>
    <t>Be Very Afraid: A Horror Podcast</t>
  </si>
  <si>
    <t>I Survived</t>
  </si>
  <si>
    <t>SUS: Share Ur Scare</t>
  </si>
  <si>
    <t>Varnamtown</t>
  </si>
  <si>
    <t>Ever After with Jaleel White</t>
  </si>
  <si>
    <t>Fully Booked by Kirkus Reviews</t>
  </si>
  <si>
    <t>Let's Do Life with Autumn Calabrese</t>
  </si>
  <si>
    <t>CIVIL</t>
  </si>
  <si>
    <t>Nappy Boy Radio with T-Pain</t>
  </si>
  <si>
    <t>Bad Bad Thing: The Blackstone Sisters</t>
  </si>
  <si>
    <t>The Michael Harrison Interview</t>
  </si>
  <si>
    <t>Lost In Panama</t>
  </si>
  <si>
    <t>The Funny Papers with Jersey Jerry</t>
  </si>
  <si>
    <t>It's Not Only Football: Friday Night Lights and Beyond</t>
  </si>
  <si>
    <t>Salty with Captain Lee</t>
  </si>
  <si>
    <t>The Dan Abrams Podcast (PodcastOne)</t>
  </si>
  <si>
    <t>Let Me Save You 25 Years</t>
  </si>
  <si>
    <t>Cheating: When Love Lies</t>
  </si>
  <si>
    <t>expediTIously with Tip "T.I." Harris</t>
  </si>
  <si>
    <t>Murder Made Me Famous</t>
  </si>
  <si>
    <t>From Negative to Positive with Pitbull</t>
  </si>
  <si>
    <t>Ransom</t>
  </si>
  <si>
    <t>The Producer's Guide: Todd Garner &amp; Hollywood's Elite</t>
  </si>
  <si>
    <t>Real Crime: The REELZ Files</t>
  </si>
  <si>
    <t>Adam Carolla's Exclusive Interviews</t>
  </si>
  <si>
    <t>Dark Hollywood: The Reelz Files</t>
  </si>
  <si>
    <t>Adam's Best</t>
  </si>
  <si>
    <t>Ace On The House</t>
  </si>
  <si>
    <t>Earth to Ariana</t>
  </si>
  <si>
    <t>Blunt Force Truth</t>
  </si>
  <si>
    <t>From Zero: A Conversation with Mike Shinoda and Emily Armstrong</t>
  </si>
  <si>
    <t>Zero Stars</t>
  </si>
  <si>
    <t>Living in Adoptionland with Bryan Elliott</t>
  </si>
  <si>
    <t>Bret Easton Ellis Podcast</t>
  </si>
  <si>
    <t>Hammered Heroes (And Villains)</t>
  </si>
  <si>
    <t>Knock Knock</t>
  </si>
  <si>
    <t>HOT ROD Pod: Where It All Began</t>
  </si>
  <si>
    <t>Talk To Me</t>
  </si>
  <si>
    <t>The Kelly Osbourne and Jeff Beacher Show</t>
  </si>
  <si>
    <t>Wholeheartedly with Kendall and Galey</t>
  </si>
  <si>
    <t>This Is Monsters</t>
  </si>
  <si>
    <t>Copycat Killers</t>
  </si>
  <si>
    <t>Invisible Choir</t>
  </si>
  <si>
    <t>We (Almost) Made It</t>
  </si>
  <si>
    <t>Bounceback with Uncle Tim</t>
  </si>
  <si>
    <t>Keep It A Buck with Bobby Portis</t>
  </si>
  <si>
    <t>Mind. Body. No Soul.</t>
  </si>
  <si>
    <t>C-Sessions…with Randall Broad</t>
  </si>
  <si>
    <t>Idiotically Speaking with Chris Kattan</t>
  </si>
  <si>
    <t>Kicking It With The Koves</t>
  </si>
  <si>
    <t>Geffen Playhouse Unscripted</t>
  </si>
  <si>
    <t>All Dollars. No $ense</t>
  </si>
  <si>
    <t>The Campaign Managers with Kellyanne Conway and David Plouffe</t>
  </si>
  <si>
    <t>Adam Carolla Show Daily Brief</t>
  </si>
  <si>
    <t>All of the Above with Norman Lear</t>
  </si>
  <si>
    <t>The Watercooler</t>
  </si>
  <si>
    <t>The Head &amp; The Heart</t>
  </si>
  <si>
    <t>The Big Brother Jake Podcast</t>
  </si>
  <si>
    <t>Who I Am</t>
  </si>
  <si>
    <t>Nemeth Bros</t>
  </si>
  <si>
    <t>Comeback Kids</t>
  </si>
  <si>
    <t>The Narc and Me</t>
  </si>
  <si>
    <t>Innovation on the Edge with Microsoft Edge</t>
  </si>
  <si>
    <t>We Are Not Journalists</t>
  </si>
  <si>
    <t>The Benchwarmers Podcast with Sonny Carolla</t>
  </si>
  <si>
    <t>Adam Carolla Live</t>
  </si>
  <si>
    <t>Love First Aid</t>
  </si>
  <si>
    <t>Adam Carolla Show Clips</t>
  </si>
  <si>
    <t>The Her Voice Podcast</t>
  </si>
  <si>
    <t>Treating Thyroid Eye Disease</t>
  </si>
  <si>
    <t>Off Brand with Nema Vand</t>
  </si>
  <si>
    <t>Chop Shop</t>
  </si>
  <si>
    <t>Botany &amp; Barrels</t>
  </si>
  <si>
    <t>The Prediction Trade</t>
  </si>
  <si>
    <t>Carolla Classics </t>
  </si>
  <si>
    <t xml:space="preserve">Filters: Order ID IN (7205);(7206) </t>
  </si>
  <si>
    <t>Splits: Order ID,Order,Campaign ID,Geo-Region,Audio Impressions</t>
  </si>
  <si>
    <t>Geo - Region</t>
  </si>
  <si>
    <t>(7205);(7206)</t>
  </si>
  <si>
    <t>(7205);(7206) Betonline 2025</t>
  </si>
  <si>
    <t>California (ca)</t>
  </si>
  <si>
    <t>Texas (tx)</t>
  </si>
  <si>
    <t>Florida (fl)</t>
  </si>
  <si>
    <t>Illinois (il)</t>
  </si>
  <si>
    <t>Washington (wa)</t>
  </si>
  <si>
    <t>Georgia (ga)</t>
  </si>
  <si>
    <t>Minnesota (mn)</t>
  </si>
  <si>
    <t>Utah (ut)</t>
  </si>
  <si>
    <t>North Carolina (nc)</t>
  </si>
  <si>
    <t>Missouri (mo)</t>
  </si>
  <si>
    <t>South Carolina (sc)</t>
  </si>
  <si>
    <t>Alabama (al)</t>
  </si>
  <si>
    <t>Arizona (az)</t>
  </si>
  <si>
    <t>Wisconsin (wi)</t>
  </si>
  <si>
    <t>Virginia (va)</t>
  </si>
  <si>
    <t>Idaho (id)</t>
  </si>
  <si>
    <t>Oklahoma (ok)</t>
  </si>
  <si>
    <t>District of Columbia (dc)</t>
  </si>
  <si>
    <t>Mississippi (ms)</t>
  </si>
  <si>
    <t>New Mexico (nm)</t>
  </si>
  <si>
    <t>Delaware (de)</t>
  </si>
  <si>
    <t>Montana (mt)</t>
  </si>
  <si>
    <t>South Dakota (sd)</t>
  </si>
  <si>
    <t>North Dakota (nd)</t>
  </si>
  <si>
    <t>Hawaii (hi)</t>
  </si>
  <si>
    <t>Alaska (ak)</t>
  </si>
  <si>
    <t>Splits: Order ID,Order,Campaign ID,Day,Audio Impressions</t>
  </si>
  <si>
    <t>Day</t>
  </si>
  <si>
    <t>$ By Day</t>
  </si>
  <si>
    <t>(7205);(7206) Betonline 2025-10-27/2025-10-27</t>
  </si>
  <si>
    <t>(7205);(7206) Betonline 2025-10-28/2025-10-28</t>
  </si>
  <si>
    <t>(7205);(7206) Betonline 2025-10-29/2025-10-29</t>
  </si>
  <si>
    <t>(7205);(7206) Betonline 2025-10-30/2025-10-30</t>
  </si>
  <si>
    <t>(7205);(7206) Betonline 2025-10-31/2025-10-31</t>
  </si>
  <si>
    <t xml:space="preserve">Filters: Order ID IN (7207) </t>
  </si>
  <si>
    <t>CONNECT with Jonathan Mark</t>
  </si>
  <si>
    <t>The Jay Jay French Connection: Beyond the Music</t>
  </si>
  <si>
    <t>(7207) Betonline 2025</t>
  </si>
  <si>
    <t xml:space="preserve">Filters: Order ID IN (7207*) </t>
  </si>
  <si>
    <t>(7207*)</t>
  </si>
  <si>
    <t>(7207*) Betonline 2025</t>
  </si>
  <si>
    <t>New York (ny)</t>
  </si>
  <si>
    <t>Massachusetts (ma)</t>
  </si>
  <si>
    <t>Ohio (oh)</t>
  </si>
  <si>
    <t>Colorado (co)</t>
  </si>
  <si>
    <t>Kentucky (ky)</t>
  </si>
  <si>
    <t>(7207*) Betonline 2025-10-01/2025-10-01</t>
  </si>
  <si>
    <t>(7207*) Betonline 2025-10-02/2025-10-02</t>
  </si>
  <si>
    <t>(7207*) Betonline 2025-10-03/2025-10-03</t>
  </si>
  <si>
    <t>(7207*) Betonline 2025-10-04/2025-10-04</t>
  </si>
  <si>
    <t>(7207*) Betonline 2025-10-05/2025-10-05</t>
  </si>
  <si>
    <t>(7207*) Betonline 2025-10-27/2025-10-27</t>
  </si>
  <si>
    <t>(7207*) Betonline 2025-10-28/2025-10-28</t>
  </si>
  <si>
    <t>(7207*) Betonline 2025-10-29/2025-10-29</t>
  </si>
  <si>
    <t>(7207*) Betonline 2025-10-30/2025-10-30</t>
  </si>
  <si>
    <t>(7207*) Betonline 2025-10-31/2025-10-31</t>
  </si>
  <si>
    <t>(7205);(7206) Betonline 2025-10-01/2025-10-01</t>
  </si>
  <si>
    <t>(7205);(7206) Betonline 2025-10-02/2025-10-02</t>
  </si>
  <si>
    <t>(7205);(7206) Betonline 2025-10-03/2025-10-03</t>
  </si>
  <si>
    <t>(7205);(7206) Betonline 2025-10-04/2025-10-04</t>
  </si>
  <si>
    <t>(7205);(7206) Betonline 2025-10-05/2025-10-05</t>
  </si>
  <si>
    <t>(7205);(7206) Betonline 2025-10-06/2025-10-06</t>
  </si>
  <si>
    <t>(7205);(7206) Betonline 2025-10-07/2025-10-07</t>
  </si>
  <si>
    <t>(7205);(7206) Betonline 2025-10-08/2025-10-08</t>
  </si>
  <si>
    <t>(7205);(7206) Betonline 2025-10-09/2025-10-09</t>
  </si>
  <si>
    <t>(7205);(7206) Betonline 2025-10-10/2025-10-10</t>
  </si>
  <si>
    <t>(7205);(7206) Betonline 2025-10-11/2025-10-11</t>
  </si>
  <si>
    <t>(7205);(7206) Betonline 2025-10-12/2025-10-12</t>
  </si>
  <si>
    <t>(7205);(7206) Betonline 2025-10-13/2025-10-13</t>
  </si>
  <si>
    <t>(7205);(7206) Betonline 2025-10-14/2025-10-14</t>
  </si>
  <si>
    <t>(7205);(7206) Betonline 2025-10-15/2025-10-15</t>
  </si>
  <si>
    <t>(7205);(7206) Betonline 2025-10-16/2025-10-16</t>
  </si>
  <si>
    <t>(7205);(7206) Betonline 2025-10-17/2025-10-17</t>
  </si>
  <si>
    <t>(7205);(7206) Betonline 2025-10-18/2025-10-18</t>
  </si>
  <si>
    <t>(7205);(7206) Betonline 2025-10-19/2025-10-19</t>
  </si>
  <si>
    <t>(7205);(7206) Betonline 2025-10-20/2025-10-20</t>
  </si>
  <si>
    <t>(7205);(7206) Betonline 2025-10-21/2025-10-21</t>
  </si>
  <si>
    <t>(7205);(7206) Betonline 2025-10-22/2025-10-22</t>
  </si>
  <si>
    <t>(7205);(7206) Betonline 2025-10-23/2025-10-23</t>
  </si>
  <si>
    <t>(7205);(7206) Betonline 2025-10-24/2025-10-24</t>
  </si>
  <si>
    <t>(7205);(7206) Betonline 2025-10-25/2025-10-25</t>
  </si>
  <si>
    <t>(7205);(7206) Betonline 2025-10-26/2025-10-26</t>
  </si>
  <si>
    <t>Interval: 2025-10-01/2025-10-31</t>
  </si>
  <si>
    <t>(7207*) Betonline 2025-10-06/2025-10-06</t>
  </si>
  <si>
    <t>(7207*) Betonline 2025-10-07/2025-10-07</t>
  </si>
  <si>
    <t>(7207*) Betonline 2025-10-08/2025-10-08</t>
  </si>
  <si>
    <t>(7207*) Betonline 2025-10-09/2025-10-09</t>
  </si>
  <si>
    <t>(7207*) Betonline 2025-10-10/2025-10-10</t>
  </si>
  <si>
    <t>(7207*) Betonline 2025-10-11/2025-10-11</t>
  </si>
  <si>
    <t>(7207*) Betonline 2025-10-12/2025-10-12</t>
  </si>
  <si>
    <t>(7207*) Betonline 2025-10-13/2025-10-13</t>
  </si>
  <si>
    <t>(7207*) Betonline 2025-10-14/2025-10-14</t>
  </si>
  <si>
    <t>(7207*) Betonline 2025-10-15/2025-10-15</t>
  </si>
  <si>
    <t>(7207*) Betonline 2025-10-16/2025-10-16</t>
  </si>
  <si>
    <t>(7207*) Betonline 2025-10-17/2025-10-17</t>
  </si>
  <si>
    <t>(7207*) Betonline 2025-10-18/2025-10-18</t>
  </si>
  <si>
    <t>(7207*) Betonline 2025-10-19/2025-10-19</t>
  </si>
  <si>
    <t>(7207*) Betonline 2025-10-20/2025-10-20</t>
  </si>
  <si>
    <t>(7207*) Betonline 2025-10-21/2025-10-21</t>
  </si>
  <si>
    <t>(7207*) Betonline 2025-10-22/2025-10-22</t>
  </si>
  <si>
    <t>(7207*) Betonline 2025-10-23/2025-10-23</t>
  </si>
  <si>
    <t>(7207*) Betonline 2025-10-24/2025-10-24</t>
  </si>
  <si>
    <t>(7207*) Betonline 2025-10-25/2025-10-25</t>
  </si>
  <si>
    <t>(7207*) Betonline 2025-10-26/2025-10-26</t>
  </si>
  <si>
    <t>(7205);(7206) Betonline 2025-10-01/2025-10-31</t>
  </si>
  <si>
    <t>(7207) Betonline 2025-10/01/2025-10-31</t>
  </si>
  <si>
    <t>(7207*) Betonline 2025-10-01/2025-10-31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</si>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</sst>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sz val="12"/>
      <color rgb="FF000000"/>
      <name val="Calibri"/>
      <family val="2"/>
    </font>
    <font>
      <sz val="10"/>
      <color theme="1"/>
      <name val="Helvetica Neue"/>
      <family val="2"/>
    </font>
    <font>
      <b/>
      <sz val="10"/>
      <color theme="1"/>
      <name val="Helvetica Neue"/>
      <family val="2"/>
    </font>
    <font>
      <b/>
      <sz val="11.5"/>
      <color rgb="FF222222"/>
      <name val="Aptos Narrow"/>
      <scheme val="minor"/>
    </font>
    <font>
      <sz val="16"/>
      <color rgb="FF000000"/>
      <name val="Aptos Narrow"/>
      <family val="2"/>
      <scheme val="minor"/>
    </font>
    <font>
      <sz val="16"/>
      <color rgb="FF000000"/>
      <name val="Helvetica Neue"/>
      <family val="2"/>
    </font>
    <font>
      <sz val="16"/>
      <color theme="1"/>
      <name val="Aptos Narrow"/>
      <family val="2"/>
      <scheme val="minor"/>
    </font>
    <font>
      <sz val="16"/>
      <color rgb="FF000000"/>
      <name val="Calibri"/>
      <family val="2"/>
    </font>
    <font>
      <sz val="16"/>
      <color theme="1"/>
      <name val="Helvetica"/>
      <family val="2"/>
    </font>
    <font>
      <sz val="16"/>
      <color theme="1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3" fontId="1" fillId="0" borderId="0" xfId="0" applyNumberFormat="1" applyFont="1"/>
    <xf numFmtId="3" fontId="2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5" fillId="2" borderId="0" xfId="0" applyFont="1" applyFill="1"/>
    <xf numFmtId="0" fontId="4" fillId="0" borderId="0" xfId="0" applyFont="1" applyAlignment="1">
      <alignment horizontal="left"/>
    </xf>
    <xf numFmtId="8" fontId="1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8" fontId="4" fillId="0" borderId="0" xfId="0" applyNumberFormat="1" applyFont="1" applyAlignment="1">
      <alignment horizontal="center"/>
    </xf>
    <xf numFmtId="0" fontId="5" fillId="2" borderId="0" xfId="0" applyFont="1" applyFill="1" applyAlignment="1">
      <alignment horizontal="center"/>
    </xf>
    <xf numFmtId="8" fontId="5" fillId="2" borderId="0" xfId="0" applyNumberFormat="1" applyFont="1" applyFill="1" applyAlignment="1">
      <alignment horizontal="center"/>
    </xf>
    <xf numFmtId="3" fontId="0" fillId="0" borderId="0" xfId="0" applyNumberFormat="1"/>
    <xf numFmtId="0" fontId="6" fillId="0" borderId="0" xfId="0" applyFont="1"/>
    <xf numFmtId="0" fontId="0" fillId="0" borderId="0" xfId="0" applyAlignment="1">
      <alignment horizontal="center"/>
    </xf>
    <xf numFmtId="8" fontId="0" fillId="0" borderId="0" xfId="0" applyNumberFormat="1"/>
    <xf numFmtId="3" fontId="6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3" fontId="8" fillId="0" borderId="0" xfId="0" applyNumberFormat="1" applyFont="1"/>
    <xf numFmtId="3" fontId="7" fillId="0" borderId="0" xfId="0" applyNumberFormat="1" applyFont="1"/>
    <xf numFmtId="0" fontId="10" fillId="0" borderId="0" xfId="0" applyFont="1"/>
    <xf numFmtId="0" fontId="10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left"/>
    </xf>
    <xf numFmtId="0" fontId="8" fillId="2" borderId="0" xfId="0" applyFont="1" applyFill="1"/>
    <xf numFmtId="0" fontId="9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1463B-0306-1E4E-A939-F4CCE19E6FB5}">
  <dimension ref="A1:I108"/>
  <sheetViews>
    <sheetView tabSelected="1" workbookViewId="0">
      <selection activeCell="D5" sqref="D5"/>
    </sheetView>
  </sheetViews>
  <sheetFormatPr baseColWidth="10" defaultRowHeight="20" x14ac:dyDescent="0.25"/>
  <cols>
    <col min="1" max="1" width="10.83203125" style="26"/>
    <col min="2" max="2" width="20.83203125" style="26" customWidth="1"/>
    <col min="3" max="3" width="12.1640625" style="26" customWidth="1"/>
    <col min="4" max="4" width="84.83203125" style="26" bestFit="1" customWidth="1"/>
    <col min="5" max="5" width="21" style="26" bestFit="1" customWidth="1"/>
    <col min="6" max="16384" width="10.83203125" style="26"/>
  </cols>
  <sheetData>
    <row r="1" spans="1:8" ht="21" x14ac:dyDescent="0.25">
      <c r="A1" s="24" t="s">
        <v>201</v>
      </c>
      <c r="B1" s="24"/>
      <c r="C1" s="24"/>
      <c r="D1" s="25"/>
      <c r="E1" s="25"/>
      <c r="F1" s="25"/>
      <c r="G1" s="24"/>
    </row>
    <row r="2" spans="1:8" ht="21" x14ac:dyDescent="0.25">
      <c r="A2" s="24" t="s">
        <v>0</v>
      </c>
      <c r="B2" s="24"/>
      <c r="C2" s="24"/>
      <c r="D2" s="27"/>
      <c r="E2" s="25"/>
      <c r="F2" s="25"/>
      <c r="G2" s="28"/>
    </row>
    <row r="3" spans="1:8" ht="21" x14ac:dyDescent="0.25">
      <c r="A3" s="24" t="s">
        <v>1</v>
      </c>
      <c r="B3" s="24"/>
      <c r="C3" s="24"/>
      <c r="D3" s="27"/>
      <c r="E3" s="27"/>
      <c r="F3" s="27"/>
      <c r="G3" s="24"/>
    </row>
    <row r="4" spans="1:8" ht="21" x14ac:dyDescent="0.25">
      <c r="A4" s="29" t="s">
        <v>2</v>
      </c>
      <c r="B4" s="29"/>
      <c r="C4" s="29"/>
      <c r="D4" s="25"/>
      <c r="E4" s="25"/>
      <c r="F4" s="25"/>
      <c r="G4" s="29"/>
    </row>
    <row r="5" spans="1:8" ht="21" x14ac:dyDescent="0.25">
      <c r="A5" s="29" t="s">
        <v>3</v>
      </c>
      <c r="B5" s="29" t="s">
        <v>4</v>
      </c>
      <c r="C5" s="29" t="s">
        <v>5</v>
      </c>
      <c r="D5" s="29" t="s">
        <v>7</v>
      </c>
      <c r="E5" s="30" t="s">
        <v>8</v>
      </c>
      <c r="F5" s="30"/>
      <c r="G5" s="30"/>
    </row>
    <row r="6" spans="1:8" ht="21" x14ac:dyDescent="0.25">
      <c r="A6" s="31">
        <v>7205</v>
      </c>
      <c r="B6" s="32" t="s">
        <v>9</v>
      </c>
      <c r="C6" s="32">
        <v>7205</v>
      </c>
      <c r="D6" s="25" t="s">
        <v>10</v>
      </c>
      <c r="E6" s="25">
        <v>266402</v>
      </c>
      <c r="G6" s="25"/>
      <c r="H6" s="25"/>
    </row>
    <row r="7" spans="1:8" ht="21" x14ac:dyDescent="0.25">
      <c r="A7" s="31">
        <v>7205</v>
      </c>
      <c r="B7" s="32" t="s">
        <v>9</v>
      </c>
      <c r="C7" s="32">
        <v>7205</v>
      </c>
      <c r="D7" s="25" t="s">
        <v>11</v>
      </c>
      <c r="E7" s="25">
        <v>221417</v>
      </c>
      <c r="G7" s="25"/>
      <c r="H7" s="25"/>
    </row>
    <row r="8" spans="1:8" ht="21" x14ac:dyDescent="0.25">
      <c r="A8" s="31">
        <v>7205</v>
      </c>
      <c r="B8" s="32" t="s">
        <v>9</v>
      </c>
      <c r="C8" s="32">
        <v>7205</v>
      </c>
      <c r="D8" s="25" t="s">
        <v>12</v>
      </c>
      <c r="E8" s="25">
        <v>203371</v>
      </c>
      <c r="G8" s="25"/>
      <c r="H8" s="25"/>
    </row>
    <row r="9" spans="1:8" ht="21" x14ac:dyDescent="0.25">
      <c r="A9" s="31">
        <v>7205</v>
      </c>
      <c r="B9" s="32" t="s">
        <v>9</v>
      </c>
      <c r="C9" s="32">
        <v>7205</v>
      </c>
      <c r="D9" s="25" t="s">
        <v>13</v>
      </c>
      <c r="E9" s="25">
        <v>192582</v>
      </c>
      <c r="G9" s="25"/>
      <c r="H9" s="25"/>
    </row>
    <row r="10" spans="1:8" ht="21" x14ac:dyDescent="0.25">
      <c r="A10" s="31">
        <v>7205</v>
      </c>
      <c r="B10" s="32" t="s">
        <v>9</v>
      </c>
      <c r="C10" s="32">
        <v>7205</v>
      </c>
      <c r="D10" s="25" t="s">
        <v>14</v>
      </c>
      <c r="E10" s="25">
        <v>187293</v>
      </c>
      <c r="G10" s="25"/>
      <c r="H10" s="25"/>
    </row>
    <row r="11" spans="1:8" ht="21" x14ac:dyDescent="0.25">
      <c r="A11" s="34">
        <v>7206</v>
      </c>
      <c r="B11" s="33" t="s">
        <v>32</v>
      </c>
      <c r="C11" s="33">
        <v>7206</v>
      </c>
      <c r="D11" s="25" t="s">
        <v>33</v>
      </c>
      <c r="E11" s="33">
        <v>182767</v>
      </c>
      <c r="G11" s="25"/>
      <c r="H11" s="25"/>
    </row>
    <row r="12" spans="1:8" ht="21" x14ac:dyDescent="0.25">
      <c r="A12" s="34">
        <v>7206</v>
      </c>
      <c r="B12" s="33" t="s">
        <v>32</v>
      </c>
      <c r="C12" s="33">
        <v>7206</v>
      </c>
      <c r="D12" s="25" t="s">
        <v>34</v>
      </c>
      <c r="E12" s="33">
        <v>170361</v>
      </c>
      <c r="G12" s="25"/>
      <c r="H12" s="25"/>
    </row>
    <row r="13" spans="1:8" ht="21" x14ac:dyDescent="0.25">
      <c r="A13" s="34">
        <v>7206</v>
      </c>
      <c r="B13" s="33" t="s">
        <v>32</v>
      </c>
      <c r="C13" s="33">
        <v>7206</v>
      </c>
      <c r="D13" s="25" t="s">
        <v>36</v>
      </c>
      <c r="E13" s="33">
        <v>126676</v>
      </c>
      <c r="G13" s="25"/>
      <c r="H13" s="25"/>
    </row>
    <row r="14" spans="1:8" ht="21" x14ac:dyDescent="0.25">
      <c r="A14" s="34">
        <v>7206</v>
      </c>
      <c r="B14" s="33" t="s">
        <v>32</v>
      </c>
      <c r="C14" s="33">
        <v>7206</v>
      </c>
      <c r="D14" s="25" t="s">
        <v>35</v>
      </c>
      <c r="E14" s="33">
        <v>124579</v>
      </c>
      <c r="G14" s="25"/>
      <c r="H14" s="25"/>
    </row>
    <row r="15" spans="1:8" ht="21" x14ac:dyDescent="0.25">
      <c r="A15" s="34">
        <v>7206</v>
      </c>
      <c r="B15" s="33" t="s">
        <v>32</v>
      </c>
      <c r="C15" s="33">
        <v>7206</v>
      </c>
      <c r="D15" s="25" t="s">
        <v>52</v>
      </c>
      <c r="E15" s="33">
        <v>122866</v>
      </c>
      <c r="G15" s="25"/>
      <c r="H15" s="25"/>
    </row>
    <row r="16" spans="1:8" ht="21" x14ac:dyDescent="0.25">
      <c r="A16" s="34">
        <v>7206</v>
      </c>
      <c r="B16" s="33" t="s">
        <v>32</v>
      </c>
      <c r="C16" s="33">
        <v>7206</v>
      </c>
      <c r="D16" s="25" t="s">
        <v>37</v>
      </c>
      <c r="E16" s="33">
        <v>121405</v>
      </c>
      <c r="G16" s="25"/>
      <c r="H16" s="25"/>
    </row>
    <row r="17" spans="1:9" ht="21" x14ac:dyDescent="0.25">
      <c r="A17" s="31">
        <v>7205</v>
      </c>
      <c r="B17" s="32" t="s">
        <v>9</v>
      </c>
      <c r="C17" s="32">
        <v>7205</v>
      </c>
      <c r="D17" s="25" t="s">
        <v>15</v>
      </c>
      <c r="E17" s="25">
        <v>121216</v>
      </c>
      <c r="G17" s="25"/>
      <c r="H17" s="25"/>
    </row>
    <row r="18" spans="1:9" ht="21" x14ac:dyDescent="0.25">
      <c r="A18" s="34">
        <v>7206</v>
      </c>
      <c r="B18" s="33" t="s">
        <v>32</v>
      </c>
      <c r="C18" s="33">
        <v>7206</v>
      </c>
      <c r="D18" s="25" t="s">
        <v>39</v>
      </c>
      <c r="E18" s="33">
        <v>114310</v>
      </c>
      <c r="G18" s="25"/>
      <c r="H18" s="25"/>
    </row>
    <row r="19" spans="1:9" ht="21" x14ac:dyDescent="0.25">
      <c r="A19" s="31">
        <v>7205</v>
      </c>
      <c r="B19" s="32" t="s">
        <v>9</v>
      </c>
      <c r="C19" s="32">
        <v>7205</v>
      </c>
      <c r="D19" s="25" t="s">
        <v>16</v>
      </c>
      <c r="E19" s="25">
        <v>103451</v>
      </c>
      <c r="G19" s="25"/>
      <c r="H19" s="25"/>
    </row>
    <row r="20" spans="1:9" ht="21" x14ac:dyDescent="0.25">
      <c r="A20" s="34">
        <v>7206</v>
      </c>
      <c r="B20" s="33" t="s">
        <v>32</v>
      </c>
      <c r="C20" s="33">
        <v>7206</v>
      </c>
      <c r="D20" s="25" t="s">
        <v>40</v>
      </c>
      <c r="E20" s="33">
        <v>102645</v>
      </c>
      <c r="G20" s="25"/>
      <c r="H20" s="25"/>
    </row>
    <row r="21" spans="1:9" ht="21" x14ac:dyDescent="0.25">
      <c r="A21" s="34">
        <v>7206</v>
      </c>
      <c r="B21" s="33" t="s">
        <v>32</v>
      </c>
      <c r="C21" s="33">
        <v>7206</v>
      </c>
      <c r="D21" s="25" t="s">
        <v>38</v>
      </c>
      <c r="E21" s="33">
        <v>100806</v>
      </c>
      <c r="G21" s="25"/>
      <c r="H21" s="25"/>
    </row>
    <row r="22" spans="1:9" ht="21" x14ac:dyDescent="0.25">
      <c r="A22" s="34">
        <v>7206</v>
      </c>
      <c r="B22" s="33" t="s">
        <v>32</v>
      </c>
      <c r="C22" s="33">
        <v>7206</v>
      </c>
      <c r="D22" s="25" t="s">
        <v>46</v>
      </c>
      <c r="E22" s="33">
        <v>100693</v>
      </c>
      <c r="G22" s="25"/>
      <c r="H22" s="25"/>
    </row>
    <row r="23" spans="1:9" ht="21" x14ac:dyDescent="0.25">
      <c r="A23" s="34">
        <v>7206</v>
      </c>
      <c r="B23" s="33" t="s">
        <v>32</v>
      </c>
      <c r="C23" s="33">
        <v>7206</v>
      </c>
      <c r="D23" s="25" t="s">
        <v>42</v>
      </c>
      <c r="E23" s="33">
        <v>96230</v>
      </c>
      <c r="G23" s="25"/>
      <c r="H23" s="25"/>
    </row>
    <row r="24" spans="1:9" ht="21" x14ac:dyDescent="0.25">
      <c r="A24" s="31">
        <v>7205</v>
      </c>
      <c r="B24" s="32" t="s">
        <v>9</v>
      </c>
      <c r="C24" s="32">
        <v>7205</v>
      </c>
      <c r="D24" s="25" t="s">
        <v>17</v>
      </c>
      <c r="E24" s="25">
        <v>88593</v>
      </c>
      <c r="G24" s="33"/>
      <c r="H24" s="25"/>
    </row>
    <row r="25" spans="1:9" ht="21" x14ac:dyDescent="0.25">
      <c r="A25" s="34">
        <v>7206</v>
      </c>
      <c r="B25" s="33" t="s">
        <v>32</v>
      </c>
      <c r="C25" s="33">
        <v>7206</v>
      </c>
      <c r="D25" s="25" t="s">
        <v>44</v>
      </c>
      <c r="E25" s="33">
        <v>85968</v>
      </c>
      <c r="G25" s="25"/>
      <c r="H25" s="25"/>
    </row>
    <row r="26" spans="1:9" ht="21" x14ac:dyDescent="0.25">
      <c r="A26" s="34">
        <v>7206</v>
      </c>
      <c r="B26" s="33" t="s">
        <v>32</v>
      </c>
      <c r="C26" s="33">
        <v>7206</v>
      </c>
      <c r="D26" s="25" t="s">
        <v>41</v>
      </c>
      <c r="E26" s="33">
        <v>82809</v>
      </c>
      <c r="G26" s="25"/>
      <c r="H26" s="25"/>
    </row>
    <row r="27" spans="1:9" ht="21" x14ac:dyDescent="0.25">
      <c r="A27" s="34">
        <v>7206</v>
      </c>
      <c r="B27" s="33" t="s">
        <v>32</v>
      </c>
      <c r="C27" s="33">
        <v>7206</v>
      </c>
      <c r="D27" s="25" t="s">
        <v>48</v>
      </c>
      <c r="E27" s="33">
        <v>71954</v>
      </c>
      <c r="H27" s="33"/>
      <c r="I27" s="33"/>
    </row>
    <row r="28" spans="1:9" ht="21" x14ac:dyDescent="0.25">
      <c r="A28" s="34">
        <v>7206</v>
      </c>
      <c r="B28" s="33" t="s">
        <v>32</v>
      </c>
      <c r="C28" s="33">
        <v>7206</v>
      </c>
      <c r="D28" s="25" t="s">
        <v>60</v>
      </c>
      <c r="E28" s="33">
        <v>70817</v>
      </c>
      <c r="H28" s="33"/>
      <c r="I28" s="33"/>
    </row>
    <row r="29" spans="1:9" ht="21" x14ac:dyDescent="0.25">
      <c r="A29" s="31">
        <v>7205</v>
      </c>
      <c r="B29" s="32" t="s">
        <v>9</v>
      </c>
      <c r="C29" s="32">
        <v>7205</v>
      </c>
      <c r="D29" s="25" t="s">
        <v>18</v>
      </c>
      <c r="E29" s="25">
        <v>66615</v>
      </c>
      <c r="H29" s="33"/>
      <c r="I29" s="33"/>
    </row>
    <row r="30" spans="1:9" ht="21" x14ac:dyDescent="0.25">
      <c r="A30" s="34">
        <v>7206</v>
      </c>
      <c r="B30" s="33" t="s">
        <v>32</v>
      </c>
      <c r="C30" s="33">
        <v>7206</v>
      </c>
      <c r="D30" s="25" t="s">
        <v>62</v>
      </c>
      <c r="E30" s="33">
        <v>62980</v>
      </c>
      <c r="H30" s="33"/>
      <c r="I30" s="33"/>
    </row>
    <row r="31" spans="1:9" ht="21" x14ac:dyDescent="0.25">
      <c r="A31" s="34">
        <v>7206</v>
      </c>
      <c r="B31" s="33" t="s">
        <v>32</v>
      </c>
      <c r="C31" s="33">
        <v>7206</v>
      </c>
      <c r="D31" s="25" t="s">
        <v>78</v>
      </c>
      <c r="E31" s="33">
        <v>61738</v>
      </c>
      <c r="H31" s="33"/>
      <c r="I31" s="33"/>
    </row>
    <row r="32" spans="1:9" ht="21" x14ac:dyDescent="0.25">
      <c r="A32" s="34">
        <v>7206</v>
      </c>
      <c r="B32" s="33" t="s">
        <v>32</v>
      </c>
      <c r="C32" s="33">
        <v>7206</v>
      </c>
      <c r="D32" s="25" t="s">
        <v>64</v>
      </c>
      <c r="E32" s="33">
        <v>60697</v>
      </c>
      <c r="H32" s="33"/>
      <c r="I32" s="33"/>
    </row>
    <row r="33" spans="1:9" ht="21" x14ac:dyDescent="0.25">
      <c r="A33" s="34">
        <v>7206</v>
      </c>
      <c r="B33" s="33" t="s">
        <v>32</v>
      </c>
      <c r="C33" s="33">
        <v>7206</v>
      </c>
      <c r="D33" s="25" t="s">
        <v>50</v>
      </c>
      <c r="E33" s="33">
        <v>60217</v>
      </c>
      <c r="H33" s="33"/>
      <c r="I33" s="33"/>
    </row>
    <row r="34" spans="1:9" ht="21" x14ac:dyDescent="0.25">
      <c r="A34" s="34">
        <v>7206</v>
      </c>
      <c r="B34" s="33" t="s">
        <v>32</v>
      </c>
      <c r="C34" s="33">
        <v>7206</v>
      </c>
      <c r="D34" s="25" t="s">
        <v>58</v>
      </c>
      <c r="E34" s="33">
        <v>60096</v>
      </c>
      <c r="H34" s="33"/>
      <c r="I34" s="33"/>
    </row>
    <row r="35" spans="1:9" ht="21" x14ac:dyDescent="0.25">
      <c r="A35" s="34">
        <v>7206</v>
      </c>
      <c r="B35" s="33" t="s">
        <v>32</v>
      </c>
      <c r="C35" s="33">
        <v>7206</v>
      </c>
      <c r="D35" s="25" t="s">
        <v>56</v>
      </c>
      <c r="E35" s="33">
        <v>60039</v>
      </c>
      <c r="H35" s="33"/>
      <c r="I35" s="33"/>
    </row>
    <row r="36" spans="1:9" ht="21" x14ac:dyDescent="0.25">
      <c r="A36" s="34">
        <v>7206</v>
      </c>
      <c r="B36" s="33" t="s">
        <v>32</v>
      </c>
      <c r="C36" s="33">
        <v>7206</v>
      </c>
      <c r="D36" s="25" t="s">
        <v>54</v>
      </c>
      <c r="E36" s="33">
        <v>59051</v>
      </c>
      <c r="H36" s="33"/>
      <c r="I36" s="33"/>
    </row>
    <row r="37" spans="1:9" ht="21" x14ac:dyDescent="0.25">
      <c r="A37" s="34">
        <v>7206</v>
      </c>
      <c r="B37" s="33" t="s">
        <v>32</v>
      </c>
      <c r="C37" s="33">
        <v>7206</v>
      </c>
      <c r="D37" s="25" t="s">
        <v>66</v>
      </c>
      <c r="E37" s="33">
        <v>51384</v>
      </c>
      <c r="H37" s="33"/>
      <c r="I37" s="33"/>
    </row>
    <row r="38" spans="1:9" ht="21" x14ac:dyDescent="0.25">
      <c r="A38" s="34">
        <v>7206</v>
      </c>
      <c r="B38" s="33" t="s">
        <v>32</v>
      </c>
      <c r="C38" s="33">
        <v>7206</v>
      </c>
      <c r="D38" s="25" t="s">
        <v>68</v>
      </c>
      <c r="E38" s="33">
        <v>46714</v>
      </c>
      <c r="H38" s="33"/>
      <c r="I38" s="33"/>
    </row>
    <row r="39" spans="1:9" ht="21" x14ac:dyDescent="0.25">
      <c r="A39" s="34">
        <v>7206</v>
      </c>
      <c r="B39" s="33" t="s">
        <v>32</v>
      </c>
      <c r="C39" s="33">
        <v>7206</v>
      </c>
      <c r="D39" s="25" t="s">
        <v>47</v>
      </c>
      <c r="E39" s="33">
        <v>46460</v>
      </c>
      <c r="H39" s="33"/>
      <c r="I39" s="33"/>
    </row>
    <row r="40" spans="1:9" ht="21" x14ac:dyDescent="0.25">
      <c r="A40" s="34">
        <v>7206</v>
      </c>
      <c r="B40" s="33" t="s">
        <v>32</v>
      </c>
      <c r="C40" s="33">
        <v>7206</v>
      </c>
      <c r="D40" s="25" t="s">
        <v>45</v>
      </c>
      <c r="E40" s="33">
        <v>44505</v>
      </c>
      <c r="H40" s="33"/>
      <c r="I40" s="33"/>
    </row>
    <row r="41" spans="1:9" ht="21" x14ac:dyDescent="0.25">
      <c r="A41" s="34">
        <v>7206</v>
      </c>
      <c r="B41" s="33" t="s">
        <v>32</v>
      </c>
      <c r="C41" s="33">
        <v>7206</v>
      </c>
      <c r="D41" s="25" t="s">
        <v>76</v>
      </c>
      <c r="E41" s="33">
        <v>42235</v>
      </c>
      <c r="H41" s="33"/>
      <c r="I41" s="33"/>
    </row>
    <row r="42" spans="1:9" ht="21" x14ac:dyDescent="0.25">
      <c r="A42" s="31">
        <v>7205</v>
      </c>
      <c r="B42" s="32" t="s">
        <v>9</v>
      </c>
      <c r="C42" s="32">
        <v>7205</v>
      </c>
      <c r="D42" s="25" t="s">
        <v>19</v>
      </c>
      <c r="E42" s="25">
        <v>41246</v>
      </c>
      <c r="H42" s="33"/>
      <c r="I42" s="33"/>
    </row>
    <row r="43" spans="1:9" ht="21" x14ac:dyDescent="0.25">
      <c r="A43" s="31">
        <v>7205</v>
      </c>
      <c r="B43" s="32" t="s">
        <v>9</v>
      </c>
      <c r="C43" s="32">
        <v>7205</v>
      </c>
      <c r="D43" s="25" t="s">
        <v>20</v>
      </c>
      <c r="E43" s="25">
        <v>40516</v>
      </c>
      <c r="H43" s="33"/>
      <c r="I43" s="33"/>
    </row>
    <row r="44" spans="1:9" ht="21" x14ac:dyDescent="0.25">
      <c r="A44" s="34">
        <v>7206</v>
      </c>
      <c r="B44" s="33" t="s">
        <v>32</v>
      </c>
      <c r="C44" s="33">
        <v>7206</v>
      </c>
      <c r="D44" s="25" t="s">
        <v>80</v>
      </c>
      <c r="E44" s="33">
        <v>40267</v>
      </c>
      <c r="H44" s="33"/>
      <c r="I44" s="33"/>
    </row>
    <row r="45" spans="1:9" ht="21" x14ac:dyDescent="0.25">
      <c r="A45" s="34">
        <v>7206</v>
      </c>
      <c r="B45" s="33" t="s">
        <v>32</v>
      </c>
      <c r="C45" s="33">
        <v>7206</v>
      </c>
      <c r="D45" s="25" t="s">
        <v>43</v>
      </c>
      <c r="E45" s="33">
        <v>39945</v>
      </c>
      <c r="H45" s="33"/>
      <c r="I45" s="33"/>
    </row>
    <row r="46" spans="1:9" ht="21" x14ac:dyDescent="0.25">
      <c r="A46" s="34">
        <v>7206</v>
      </c>
      <c r="B46" s="33" t="s">
        <v>32</v>
      </c>
      <c r="C46" s="33">
        <v>7206</v>
      </c>
      <c r="D46" s="25" t="s">
        <v>72</v>
      </c>
      <c r="E46" s="33">
        <v>39931</v>
      </c>
      <c r="H46" s="33"/>
      <c r="I46" s="33"/>
    </row>
    <row r="47" spans="1:9" ht="21" x14ac:dyDescent="0.25">
      <c r="A47" s="34">
        <v>7206</v>
      </c>
      <c r="B47" s="33" t="s">
        <v>32</v>
      </c>
      <c r="C47" s="33">
        <v>7206</v>
      </c>
      <c r="D47" s="25" t="s">
        <v>49</v>
      </c>
      <c r="E47" s="33">
        <v>37613</v>
      </c>
      <c r="H47" s="33"/>
      <c r="I47" s="33"/>
    </row>
    <row r="48" spans="1:9" ht="21" x14ac:dyDescent="0.25">
      <c r="A48" s="34">
        <v>7206</v>
      </c>
      <c r="B48" s="33" t="s">
        <v>32</v>
      </c>
      <c r="C48" s="33">
        <v>7206</v>
      </c>
      <c r="D48" s="25" t="s">
        <v>57</v>
      </c>
      <c r="E48" s="33">
        <v>36777</v>
      </c>
      <c r="H48" s="33"/>
      <c r="I48" s="33"/>
    </row>
    <row r="49" spans="1:9" ht="21" x14ac:dyDescent="0.25">
      <c r="A49" s="34">
        <v>7206</v>
      </c>
      <c r="B49" s="33" t="s">
        <v>32</v>
      </c>
      <c r="C49" s="33">
        <v>7206</v>
      </c>
      <c r="D49" s="25" t="s">
        <v>51</v>
      </c>
      <c r="E49" s="33">
        <v>33509</v>
      </c>
      <c r="H49" s="33"/>
      <c r="I49" s="33"/>
    </row>
    <row r="50" spans="1:9" ht="21" x14ac:dyDescent="0.25">
      <c r="A50" s="34">
        <v>7206</v>
      </c>
      <c r="B50" s="33" t="s">
        <v>32</v>
      </c>
      <c r="C50" s="33">
        <v>7206</v>
      </c>
      <c r="D50" s="25" t="s">
        <v>59</v>
      </c>
      <c r="E50" s="33">
        <v>31337</v>
      </c>
      <c r="H50" s="33"/>
      <c r="I50" s="33"/>
    </row>
    <row r="51" spans="1:9" ht="21" x14ac:dyDescent="0.25">
      <c r="A51" s="34">
        <v>7206</v>
      </c>
      <c r="B51" s="33" t="s">
        <v>32</v>
      </c>
      <c r="C51" s="33">
        <v>7206</v>
      </c>
      <c r="D51" s="25" t="s">
        <v>82</v>
      </c>
      <c r="E51" s="33">
        <v>30591</v>
      </c>
      <c r="H51" s="33"/>
      <c r="I51" s="33"/>
    </row>
    <row r="52" spans="1:9" ht="21" x14ac:dyDescent="0.25">
      <c r="A52" s="31">
        <v>7205</v>
      </c>
      <c r="B52" s="32" t="s">
        <v>9</v>
      </c>
      <c r="C52" s="32">
        <v>7205</v>
      </c>
      <c r="D52" s="25" t="s">
        <v>21</v>
      </c>
      <c r="E52" s="25">
        <v>27872</v>
      </c>
      <c r="H52" s="33"/>
      <c r="I52" s="33"/>
    </row>
    <row r="53" spans="1:9" ht="21" x14ac:dyDescent="0.25">
      <c r="A53" s="34">
        <v>7206</v>
      </c>
      <c r="B53" s="33" t="s">
        <v>32</v>
      </c>
      <c r="C53" s="33">
        <v>7206</v>
      </c>
      <c r="D53" s="25" t="s">
        <v>55</v>
      </c>
      <c r="E53" s="33">
        <v>27820</v>
      </c>
      <c r="H53" s="33"/>
      <c r="I53" s="33"/>
    </row>
    <row r="54" spans="1:9" ht="21" x14ac:dyDescent="0.25">
      <c r="A54" s="34">
        <v>7206</v>
      </c>
      <c r="B54" s="33" t="s">
        <v>32</v>
      </c>
      <c r="C54" s="33">
        <v>7206</v>
      </c>
      <c r="D54" s="25" t="s">
        <v>53</v>
      </c>
      <c r="E54" s="33">
        <v>26792</v>
      </c>
      <c r="H54" s="33"/>
      <c r="I54" s="33"/>
    </row>
    <row r="55" spans="1:9" ht="21" x14ac:dyDescent="0.25">
      <c r="A55" s="34">
        <v>7206</v>
      </c>
      <c r="B55" s="33" t="s">
        <v>32</v>
      </c>
      <c r="C55" s="33">
        <v>7206</v>
      </c>
      <c r="D55" s="25" t="s">
        <v>74</v>
      </c>
      <c r="E55" s="33">
        <v>26641</v>
      </c>
      <c r="H55" s="33"/>
      <c r="I55" s="33"/>
    </row>
    <row r="56" spans="1:9" ht="21" x14ac:dyDescent="0.25">
      <c r="A56" s="34">
        <v>7206</v>
      </c>
      <c r="B56" s="33" t="s">
        <v>32</v>
      </c>
      <c r="C56" s="33">
        <v>7206</v>
      </c>
      <c r="D56" s="25" t="s">
        <v>70</v>
      </c>
      <c r="E56" s="33">
        <v>25954</v>
      </c>
      <c r="H56" s="33"/>
      <c r="I56" s="33"/>
    </row>
    <row r="57" spans="1:9" ht="21" x14ac:dyDescent="0.25">
      <c r="A57" s="34">
        <v>7206</v>
      </c>
      <c r="B57" s="33" t="s">
        <v>32</v>
      </c>
      <c r="C57" s="33">
        <v>7206</v>
      </c>
      <c r="D57" s="25" t="s">
        <v>61</v>
      </c>
      <c r="E57" s="33">
        <v>20807</v>
      </c>
      <c r="H57" s="33"/>
      <c r="I57" s="33"/>
    </row>
    <row r="58" spans="1:9" ht="21" x14ac:dyDescent="0.25">
      <c r="A58" s="31">
        <v>7205</v>
      </c>
      <c r="B58" s="32" t="s">
        <v>9</v>
      </c>
      <c r="C58" s="32">
        <v>7205</v>
      </c>
      <c r="D58" s="25" t="s">
        <v>22</v>
      </c>
      <c r="E58" s="25">
        <v>19612</v>
      </c>
      <c r="H58" s="33"/>
      <c r="I58" s="33"/>
    </row>
    <row r="59" spans="1:9" ht="21" x14ac:dyDescent="0.25">
      <c r="A59" s="34">
        <v>7206</v>
      </c>
      <c r="B59" s="33" t="s">
        <v>32</v>
      </c>
      <c r="C59" s="33">
        <v>7206</v>
      </c>
      <c r="D59" s="25" t="s">
        <v>63</v>
      </c>
      <c r="E59" s="33">
        <v>18571</v>
      </c>
      <c r="H59" s="33"/>
      <c r="I59" s="33"/>
    </row>
    <row r="60" spans="1:9" ht="21" x14ac:dyDescent="0.25">
      <c r="A60" s="34">
        <v>7206</v>
      </c>
      <c r="B60" s="33" t="s">
        <v>32</v>
      </c>
      <c r="C60" s="33">
        <v>7206</v>
      </c>
      <c r="D60" s="25" t="s">
        <v>79</v>
      </c>
      <c r="E60" s="33">
        <v>16727</v>
      </c>
      <c r="H60" s="33"/>
      <c r="I60" s="33"/>
    </row>
    <row r="61" spans="1:9" ht="21" x14ac:dyDescent="0.25">
      <c r="A61" s="34">
        <v>7206</v>
      </c>
      <c r="B61" s="33" t="s">
        <v>32</v>
      </c>
      <c r="C61" s="33">
        <v>7206</v>
      </c>
      <c r="D61" s="25" t="s">
        <v>65</v>
      </c>
      <c r="E61" s="33">
        <v>16123</v>
      </c>
      <c r="H61" s="33"/>
      <c r="I61" s="33"/>
    </row>
    <row r="62" spans="1:9" ht="21" x14ac:dyDescent="0.25">
      <c r="A62" s="31">
        <v>7205</v>
      </c>
      <c r="B62" s="32" t="s">
        <v>9</v>
      </c>
      <c r="C62" s="32">
        <v>7205</v>
      </c>
      <c r="D62" s="25" t="s">
        <v>23</v>
      </c>
      <c r="E62" s="25">
        <v>15891</v>
      </c>
      <c r="H62" s="33"/>
      <c r="I62" s="33"/>
    </row>
    <row r="63" spans="1:9" ht="21" x14ac:dyDescent="0.25">
      <c r="A63" s="34">
        <v>7206</v>
      </c>
      <c r="B63" s="33" t="s">
        <v>32</v>
      </c>
      <c r="C63" s="33">
        <v>7206</v>
      </c>
      <c r="D63" s="25" t="s">
        <v>77</v>
      </c>
      <c r="E63" s="33">
        <v>15411</v>
      </c>
      <c r="H63" s="33"/>
      <c r="I63" s="33"/>
    </row>
    <row r="64" spans="1:9" ht="21" x14ac:dyDescent="0.25">
      <c r="A64" s="34">
        <v>7206</v>
      </c>
      <c r="B64" s="33" t="s">
        <v>32</v>
      </c>
      <c r="C64" s="33">
        <v>7206</v>
      </c>
      <c r="D64" s="25" t="s">
        <v>67</v>
      </c>
      <c r="E64" s="33">
        <v>14746</v>
      </c>
      <c r="H64" s="33"/>
      <c r="I64" s="33"/>
    </row>
    <row r="65" spans="1:9" ht="21" x14ac:dyDescent="0.25">
      <c r="A65" s="31">
        <v>7205</v>
      </c>
      <c r="B65" s="32" t="s">
        <v>9</v>
      </c>
      <c r="C65" s="32">
        <v>7205</v>
      </c>
      <c r="D65" s="25" t="s">
        <v>24</v>
      </c>
      <c r="E65" s="25">
        <v>10814</v>
      </c>
      <c r="H65" s="33"/>
      <c r="I65" s="33"/>
    </row>
    <row r="66" spans="1:9" ht="21" x14ac:dyDescent="0.25">
      <c r="A66" s="34">
        <v>7206</v>
      </c>
      <c r="B66" s="33" t="s">
        <v>32</v>
      </c>
      <c r="C66" s="33">
        <v>7206</v>
      </c>
      <c r="D66" s="25" t="s">
        <v>106</v>
      </c>
      <c r="E66" s="33">
        <v>9619</v>
      </c>
      <c r="H66" s="33"/>
      <c r="I66" s="33"/>
    </row>
    <row r="67" spans="1:9" ht="21" x14ac:dyDescent="0.25">
      <c r="A67" s="34">
        <v>7206</v>
      </c>
      <c r="B67" s="33" t="s">
        <v>32</v>
      </c>
      <c r="C67" s="33">
        <v>7206</v>
      </c>
      <c r="D67" s="25" t="s">
        <v>97</v>
      </c>
      <c r="E67" s="33">
        <v>9083</v>
      </c>
      <c r="H67" s="33"/>
      <c r="I67" s="33"/>
    </row>
    <row r="68" spans="1:9" ht="21" x14ac:dyDescent="0.25">
      <c r="A68" s="31">
        <v>7205</v>
      </c>
      <c r="B68" s="32" t="s">
        <v>9</v>
      </c>
      <c r="C68" s="32">
        <v>7205</v>
      </c>
      <c r="D68" s="25" t="s">
        <v>25</v>
      </c>
      <c r="E68" s="25">
        <v>8117</v>
      </c>
      <c r="H68" s="33"/>
      <c r="I68" s="33"/>
    </row>
    <row r="69" spans="1:9" ht="21" x14ac:dyDescent="0.25">
      <c r="A69" s="34">
        <v>7206</v>
      </c>
      <c r="B69" s="33" t="s">
        <v>32</v>
      </c>
      <c r="C69" s="33">
        <v>7206</v>
      </c>
      <c r="D69" s="25" t="s">
        <v>102</v>
      </c>
      <c r="E69" s="33">
        <v>7688</v>
      </c>
      <c r="H69" s="33"/>
      <c r="I69" s="33"/>
    </row>
    <row r="70" spans="1:9" ht="21" x14ac:dyDescent="0.25">
      <c r="A70" s="34">
        <v>7206</v>
      </c>
      <c r="B70" s="33" t="s">
        <v>32</v>
      </c>
      <c r="C70" s="33">
        <v>7206</v>
      </c>
      <c r="D70" s="25" t="s">
        <v>104</v>
      </c>
      <c r="E70" s="33">
        <v>7509</v>
      </c>
      <c r="H70" s="33"/>
      <c r="I70" s="33"/>
    </row>
    <row r="71" spans="1:9" ht="21" x14ac:dyDescent="0.25">
      <c r="A71" s="34">
        <v>7206</v>
      </c>
      <c r="B71" s="33" t="s">
        <v>32</v>
      </c>
      <c r="C71" s="33">
        <v>7206</v>
      </c>
      <c r="D71" s="25" t="s">
        <v>69</v>
      </c>
      <c r="E71" s="33">
        <v>7416</v>
      </c>
      <c r="H71" s="33"/>
      <c r="I71" s="33"/>
    </row>
    <row r="72" spans="1:9" ht="21" x14ac:dyDescent="0.25">
      <c r="A72" s="34">
        <v>7206</v>
      </c>
      <c r="B72" s="33" t="s">
        <v>32</v>
      </c>
      <c r="C72" s="33">
        <v>7206</v>
      </c>
      <c r="D72" s="25" t="s">
        <v>87</v>
      </c>
      <c r="E72" s="33">
        <v>6641</v>
      </c>
      <c r="H72" s="33"/>
      <c r="I72" s="33"/>
    </row>
    <row r="73" spans="1:9" ht="21" x14ac:dyDescent="0.25">
      <c r="A73" s="34">
        <v>7206</v>
      </c>
      <c r="B73" s="33" t="s">
        <v>32</v>
      </c>
      <c r="C73" s="33">
        <v>7206</v>
      </c>
      <c r="D73" s="25" t="s">
        <v>73</v>
      </c>
      <c r="E73" s="33">
        <v>6227</v>
      </c>
      <c r="H73" s="33"/>
      <c r="I73" s="33"/>
    </row>
    <row r="74" spans="1:9" ht="21" x14ac:dyDescent="0.25">
      <c r="A74" s="34">
        <v>7206</v>
      </c>
      <c r="B74" s="33" t="s">
        <v>32</v>
      </c>
      <c r="C74" s="33">
        <v>7206</v>
      </c>
      <c r="D74" s="25" t="s">
        <v>71</v>
      </c>
      <c r="E74" s="33">
        <v>5984</v>
      </c>
      <c r="H74" s="33"/>
      <c r="I74" s="33"/>
    </row>
    <row r="75" spans="1:9" ht="21" x14ac:dyDescent="0.25">
      <c r="A75" s="31">
        <v>7205</v>
      </c>
      <c r="B75" s="32" t="s">
        <v>9</v>
      </c>
      <c r="C75" s="32">
        <v>7205</v>
      </c>
      <c r="D75" s="25" t="s">
        <v>26</v>
      </c>
      <c r="E75" s="25">
        <v>5892</v>
      </c>
      <c r="H75" s="33"/>
      <c r="I75" s="33"/>
    </row>
    <row r="76" spans="1:9" ht="21" x14ac:dyDescent="0.25">
      <c r="A76" s="34">
        <v>7206</v>
      </c>
      <c r="B76" s="33" t="s">
        <v>32</v>
      </c>
      <c r="C76" s="33">
        <v>7206</v>
      </c>
      <c r="D76" s="25" t="s">
        <v>95</v>
      </c>
      <c r="E76" s="33">
        <v>5876</v>
      </c>
      <c r="H76" s="33"/>
      <c r="I76" s="33"/>
    </row>
    <row r="77" spans="1:9" ht="21" x14ac:dyDescent="0.25">
      <c r="A77" s="34">
        <v>7206</v>
      </c>
      <c r="B77" s="33" t="s">
        <v>32</v>
      </c>
      <c r="C77" s="33">
        <v>7206</v>
      </c>
      <c r="D77" s="25" t="s">
        <v>75</v>
      </c>
      <c r="E77" s="33">
        <v>5672</v>
      </c>
      <c r="H77" s="33"/>
      <c r="I77" s="33"/>
    </row>
    <row r="78" spans="1:9" ht="21" x14ac:dyDescent="0.25">
      <c r="A78" s="34">
        <v>7206</v>
      </c>
      <c r="B78" s="33" t="s">
        <v>32</v>
      </c>
      <c r="C78" s="33">
        <v>7206</v>
      </c>
      <c r="D78" s="25" t="s">
        <v>85</v>
      </c>
      <c r="E78" s="33">
        <v>5339</v>
      </c>
      <c r="H78" s="33"/>
      <c r="I78" s="33"/>
    </row>
    <row r="79" spans="1:9" ht="21" x14ac:dyDescent="0.25">
      <c r="A79" s="34">
        <v>7206</v>
      </c>
      <c r="B79" s="33" t="s">
        <v>32</v>
      </c>
      <c r="C79" s="33">
        <v>7206</v>
      </c>
      <c r="D79" s="25" t="s">
        <v>83</v>
      </c>
      <c r="E79" s="33">
        <v>5006</v>
      </c>
      <c r="H79" s="33"/>
      <c r="I79" s="33"/>
    </row>
    <row r="80" spans="1:9" ht="21" x14ac:dyDescent="0.25">
      <c r="A80" s="31">
        <v>7205</v>
      </c>
      <c r="B80" s="32" t="s">
        <v>9</v>
      </c>
      <c r="C80" s="32">
        <v>7205</v>
      </c>
      <c r="D80" s="25" t="s">
        <v>27</v>
      </c>
      <c r="E80" s="25">
        <v>4371</v>
      </c>
      <c r="H80" s="33"/>
      <c r="I80" s="33"/>
    </row>
    <row r="81" spans="1:9" ht="21" x14ac:dyDescent="0.25">
      <c r="A81" s="34">
        <v>7206</v>
      </c>
      <c r="B81" s="33" t="s">
        <v>32</v>
      </c>
      <c r="C81" s="33">
        <v>7206</v>
      </c>
      <c r="D81" s="25" t="s">
        <v>98</v>
      </c>
      <c r="E81" s="33">
        <v>4120</v>
      </c>
      <c r="H81" s="33"/>
      <c r="I81" s="33"/>
    </row>
    <row r="82" spans="1:9" ht="21" x14ac:dyDescent="0.25">
      <c r="A82" s="34">
        <v>7206</v>
      </c>
      <c r="B82" s="33" t="s">
        <v>32</v>
      </c>
      <c r="C82" s="33">
        <v>7206</v>
      </c>
      <c r="D82" s="25" t="s">
        <v>92</v>
      </c>
      <c r="E82" s="33">
        <v>3986</v>
      </c>
      <c r="H82" s="33"/>
      <c r="I82" s="33"/>
    </row>
    <row r="83" spans="1:9" ht="21" x14ac:dyDescent="0.25">
      <c r="A83" s="34">
        <v>7206</v>
      </c>
      <c r="B83" s="33" t="s">
        <v>32</v>
      </c>
      <c r="C83" s="33">
        <v>7206</v>
      </c>
      <c r="D83" s="25" t="s">
        <v>84</v>
      </c>
      <c r="E83" s="33">
        <v>3213</v>
      </c>
      <c r="H83" s="33"/>
      <c r="I83" s="33"/>
    </row>
    <row r="84" spans="1:9" ht="21" x14ac:dyDescent="0.25">
      <c r="A84" s="34">
        <v>7206</v>
      </c>
      <c r="B84" s="33" t="s">
        <v>32</v>
      </c>
      <c r="C84" s="33">
        <v>7206</v>
      </c>
      <c r="D84" s="25" t="s">
        <v>100</v>
      </c>
      <c r="E84" s="33">
        <v>3007</v>
      </c>
      <c r="H84" s="33"/>
      <c r="I84" s="33"/>
    </row>
    <row r="85" spans="1:9" ht="21" x14ac:dyDescent="0.25">
      <c r="A85" s="34">
        <v>7206</v>
      </c>
      <c r="B85" s="33" t="s">
        <v>32</v>
      </c>
      <c r="C85" s="33">
        <v>7206</v>
      </c>
      <c r="D85" s="25" t="s">
        <v>99</v>
      </c>
      <c r="E85" s="33">
        <v>2965</v>
      </c>
      <c r="H85" s="33"/>
      <c r="I85" s="33"/>
    </row>
    <row r="86" spans="1:9" ht="21" x14ac:dyDescent="0.25">
      <c r="A86" s="34">
        <v>7206</v>
      </c>
      <c r="B86" s="33" t="s">
        <v>32</v>
      </c>
      <c r="C86" s="33">
        <v>7206</v>
      </c>
      <c r="D86" s="25" t="s">
        <v>81</v>
      </c>
      <c r="E86" s="33">
        <v>2643</v>
      </c>
      <c r="H86" s="33"/>
      <c r="I86" s="33"/>
    </row>
    <row r="87" spans="1:9" ht="21" x14ac:dyDescent="0.25">
      <c r="A87" s="34">
        <v>7206</v>
      </c>
      <c r="B87" s="33" t="s">
        <v>32</v>
      </c>
      <c r="C87" s="33">
        <v>7206</v>
      </c>
      <c r="D87" s="25" t="s">
        <v>86</v>
      </c>
      <c r="E87" s="33">
        <v>2410</v>
      </c>
      <c r="H87" s="33"/>
      <c r="I87" s="33"/>
    </row>
    <row r="88" spans="1:9" ht="21" x14ac:dyDescent="0.25">
      <c r="A88" s="31">
        <v>7205</v>
      </c>
      <c r="B88" s="32" t="s">
        <v>9</v>
      </c>
      <c r="C88" s="32">
        <v>7205</v>
      </c>
      <c r="D88" s="33" t="s">
        <v>28</v>
      </c>
      <c r="E88" s="33">
        <v>2403</v>
      </c>
      <c r="H88" s="33"/>
      <c r="I88" s="33"/>
    </row>
    <row r="89" spans="1:9" ht="21" x14ac:dyDescent="0.25">
      <c r="A89" s="34">
        <v>7206</v>
      </c>
      <c r="B89" s="33" t="s">
        <v>32</v>
      </c>
      <c r="C89" s="33">
        <v>7206</v>
      </c>
      <c r="D89" s="25" t="s">
        <v>94</v>
      </c>
      <c r="E89" s="33">
        <v>2396</v>
      </c>
      <c r="H89" s="33"/>
      <c r="I89" s="33"/>
    </row>
    <row r="90" spans="1:9" ht="21" x14ac:dyDescent="0.25">
      <c r="A90" s="31">
        <v>7205</v>
      </c>
      <c r="B90" s="32" t="s">
        <v>9</v>
      </c>
      <c r="C90" s="32">
        <v>7205</v>
      </c>
      <c r="D90" s="25" t="s">
        <v>29</v>
      </c>
      <c r="E90" s="25">
        <v>2284</v>
      </c>
      <c r="H90" s="33"/>
      <c r="I90" s="33"/>
    </row>
    <row r="91" spans="1:9" ht="21" x14ac:dyDescent="0.25">
      <c r="A91" s="34">
        <v>7206</v>
      </c>
      <c r="B91" s="33" t="s">
        <v>32</v>
      </c>
      <c r="C91" s="33">
        <v>7206</v>
      </c>
      <c r="D91" s="25" t="s">
        <v>111</v>
      </c>
      <c r="E91" s="33">
        <v>2276</v>
      </c>
      <c r="H91" s="33"/>
      <c r="I91" s="33"/>
    </row>
    <row r="92" spans="1:9" ht="21" x14ac:dyDescent="0.25">
      <c r="A92" s="34">
        <v>7206</v>
      </c>
      <c r="B92" s="33" t="s">
        <v>32</v>
      </c>
      <c r="C92" s="33">
        <v>7206</v>
      </c>
      <c r="D92" s="25" t="s">
        <v>88</v>
      </c>
      <c r="E92" s="33">
        <v>2134</v>
      </c>
      <c r="H92" s="33"/>
      <c r="I92" s="33"/>
    </row>
    <row r="93" spans="1:9" ht="21" x14ac:dyDescent="0.25">
      <c r="A93" s="34">
        <v>7206</v>
      </c>
      <c r="B93" s="33" t="s">
        <v>32</v>
      </c>
      <c r="C93" s="33">
        <v>7206</v>
      </c>
      <c r="D93" s="25" t="s">
        <v>89</v>
      </c>
      <c r="E93" s="33">
        <v>2088</v>
      </c>
      <c r="H93" s="33"/>
      <c r="I93" s="33"/>
    </row>
    <row r="94" spans="1:9" ht="21" x14ac:dyDescent="0.25">
      <c r="A94" s="34">
        <v>7206</v>
      </c>
      <c r="B94" s="33" t="s">
        <v>32</v>
      </c>
      <c r="C94" s="33">
        <v>7206</v>
      </c>
      <c r="D94" s="25" t="s">
        <v>113</v>
      </c>
      <c r="E94" s="33">
        <v>1999</v>
      </c>
      <c r="H94" s="33"/>
      <c r="I94" s="33"/>
    </row>
    <row r="95" spans="1:9" ht="21" x14ac:dyDescent="0.25">
      <c r="A95" s="34">
        <v>7206</v>
      </c>
      <c r="B95" s="33" t="s">
        <v>32</v>
      </c>
      <c r="C95" s="33">
        <v>7206</v>
      </c>
      <c r="D95" s="25" t="s">
        <v>93</v>
      </c>
      <c r="E95" s="33">
        <v>1937</v>
      </c>
      <c r="H95" s="33"/>
      <c r="I95" s="33"/>
    </row>
    <row r="96" spans="1:9" ht="21" x14ac:dyDescent="0.25">
      <c r="A96" s="34">
        <v>7206</v>
      </c>
      <c r="B96" s="33" t="s">
        <v>32</v>
      </c>
      <c r="C96" s="33">
        <v>7206</v>
      </c>
      <c r="D96" s="25" t="s">
        <v>101</v>
      </c>
      <c r="E96" s="33">
        <v>1503</v>
      </c>
      <c r="H96" s="33"/>
      <c r="I96" s="33"/>
    </row>
    <row r="97" spans="1:9" ht="21" x14ac:dyDescent="0.25">
      <c r="A97" s="34">
        <v>7206</v>
      </c>
      <c r="B97" s="33" t="s">
        <v>32</v>
      </c>
      <c r="C97" s="33">
        <v>7206</v>
      </c>
      <c r="D97" s="25" t="s">
        <v>108</v>
      </c>
      <c r="E97" s="33">
        <v>1472</v>
      </c>
      <c r="H97" s="33"/>
      <c r="I97" s="33"/>
    </row>
    <row r="98" spans="1:9" ht="21" x14ac:dyDescent="0.25">
      <c r="A98" s="34">
        <v>7206</v>
      </c>
      <c r="B98" s="33" t="s">
        <v>32</v>
      </c>
      <c r="C98" s="33">
        <v>7206</v>
      </c>
      <c r="D98" s="25" t="s">
        <v>103</v>
      </c>
      <c r="E98" s="33">
        <v>1428</v>
      </c>
      <c r="H98" s="33"/>
      <c r="I98" s="33"/>
    </row>
    <row r="99" spans="1:9" ht="21" x14ac:dyDescent="0.25">
      <c r="A99" s="34">
        <v>7206</v>
      </c>
      <c r="B99" s="33" t="s">
        <v>32</v>
      </c>
      <c r="C99" s="33">
        <v>7206</v>
      </c>
      <c r="D99" s="25" t="s">
        <v>110</v>
      </c>
      <c r="E99" s="33">
        <v>1387</v>
      </c>
      <c r="H99" s="33"/>
      <c r="I99" s="33"/>
    </row>
    <row r="100" spans="1:9" ht="21" x14ac:dyDescent="0.25">
      <c r="A100" s="34">
        <v>7206</v>
      </c>
      <c r="B100" s="33" t="s">
        <v>32</v>
      </c>
      <c r="C100" s="33">
        <v>7206</v>
      </c>
      <c r="D100" s="25" t="s">
        <v>96</v>
      </c>
      <c r="E100" s="33">
        <v>1274</v>
      </c>
      <c r="H100" s="33"/>
      <c r="I100" s="33"/>
    </row>
    <row r="101" spans="1:9" ht="21" x14ac:dyDescent="0.25">
      <c r="A101" s="34">
        <v>7206</v>
      </c>
      <c r="B101" s="33" t="s">
        <v>32</v>
      </c>
      <c r="C101" s="33">
        <v>7206</v>
      </c>
      <c r="D101" s="25" t="s">
        <v>91</v>
      </c>
      <c r="E101" s="33">
        <v>1211</v>
      </c>
      <c r="H101" s="33"/>
      <c r="I101" s="33"/>
    </row>
    <row r="102" spans="1:9" ht="21" x14ac:dyDescent="0.25">
      <c r="A102" s="34">
        <v>7206</v>
      </c>
      <c r="B102" s="33" t="s">
        <v>32</v>
      </c>
      <c r="C102" s="33">
        <v>7206</v>
      </c>
      <c r="D102" s="25" t="s">
        <v>90</v>
      </c>
      <c r="E102" s="33">
        <v>1126</v>
      </c>
      <c r="H102" s="33"/>
      <c r="I102" s="33"/>
    </row>
    <row r="103" spans="1:9" ht="21" x14ac:dyDescent="0.25">
      <c r="A103" s="34">
        <v>7206</v>
      </c>
      <c r="B103" s="33" t="s">
        <v>32</v>
      </c>
      <c r="C103" s="33">
        <v>7206</v>
      </c>
      <c r="D103" s="25" t="s">
        <v>107</v>
      </c>
      <c r="E103" s="33">
        <v>997</v>
      </c>
      <c r="H103" s="33"/>
      <c r="I103" s="33"/>
    </row>
    <row r="104" spans="1:9" ht="21" x14ac:dyDescent="0.25">
      <c r="A104" s="34">
        <v>7206</v>
      </c>
      <c r="B104" s="33" t="s">
        <v>32</v>
      </c>
      <c r="C104" s="33">
        <v>7206</v>
      </c>
      <c r="D104" s="25" t="s">
        <v>105</v>
      </c>
      <c r="E104" s="33">
        <v>764</v>
      </c>
      <c r="H104" s="33"/>
      <c r="I104" s="33"/>
    </row>
    <row r="105" spans="1:9" ht="21" x14ac:dyDescent="0.25">
      <c r="A105" s="34">
        <v>7206</v>
      </c>
      <c r="B105" s="33" t="s">
        <v>32</v>
      </c>
      <c r="C105" s="33">
        <v>7206</v>
      </c>
      <c r="D105" s="25" t="s">
        <v>109</v>
      </c>
      <c r="E105" s="33">
        <v>510</v>
      </c>
      <c r="H105" s="33"/>
      <c r="I105" s="33"/>
    </row>
    <row r="106" spans="1:9" ht="21" x14ac:dyDescent="0.25">
      <c r="A106" s="34">
        <v>7206</v>
      </c>
      <c r="B106" s="33" t="s">
        <v>32</v>
      </c>
      <c r="C106" s="33">
        <v>7206</v>
      </c>
      <c r="D106" s="25" t="s">
        <v>112</v>
      </c>
      <c r="E106" s="33">
        <v>332</v>
      </c>
      <c r="H106" s="33"/>
      <c r="I106" s="33"/>
    </row>
    <row r="107" spans="1:9" ht="21" x14ac:dyDescent="0.25">
      <c r="A107" s="31">
        <v>7205</v>
      </c>
      <c r="B107" s="32" t="s">
        <v>9</v>
      </c>
      <c r="C107" s="32">
        <v>7205</v>
      </c>
      <c r="D107" s="25" t="s">
        <v>30</v>
      </c>
      <c r="E107" s="25">
        <v>27</v>
      </c>
      <c r="H107" s="33"/>
      <c r="I107" s="33"/>
    </row>
    <row r="108" spans="1:9" ht="21" x14ac:dyDescent="0.25">
      <c r="A108" s="26" t="s">
        <v>226</v>
      </c>
      <c r="C108" s="26" t="s">
        <v>226</v>
      </c>
      <c r="D108" s="35" t="s">
        <v>31</v>
      </c>
      <c r="E108" s="36">
        <f>SUM(E6:E107)</f>
        <v>4589787</v>
      </c>
    </row>
  </sheetData>
  <autoFilter ref="A5:E107" xr:uid="{4841463B-0306-1E4E-A939-F4CCE19E6FB5}">
    <sortState xmlns:xlrd2="http://schemas.microsoft.com/office/spreadsheetml/2017/richdata2" ref="A6:E107">
      <sortCondition descending="1" ref="E5:E107"/>
    </sortState>
  </autoFilter>
  <sortState xmlns:xlrd2="http://schemas.microsoft.com/office/spreadsheetml/2017/richdata2" ref="D27:E107">
    <sortCondition descending="1" ref="E27:E10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77A2A-9A29-354B-B2FF-5DC8718C13A1}">
  <dimension ref="A1:M63"/>
  <sheetViews>
    <sheetView workbookViewId="0">
      <selection activeCell="J13" sqref="J13"/>
    </sheetView>
  </sheetViews>
  <sheetFormatPr baseColWidth="10" defaultRowHeight="15" x14ac:dyDescent="0.2"/>
  <cols>
    <col min="1" max="1" width="23" customWidth="1"/>
    <col min="2" max="2" width="31.1640625" customWidth="1"/>
    <col min="3" max="3" width="42.83203125" customWidth="1"/>
    <col min="4" max="4" width="19.33203125" customWidth="1"/>
    <col min="5" max="5" width="22.33203125" customWidth="1"/>
  </cols>
  <sheetData>
    <row r="1" spans="1:9" x14ac:dyDescent="0.2">
      <c r="A1" s="1" t="s">
        <v>201</v>
      </c>
      <c r="B1" s="1"/>
      <c r="C1" s="1"/>
      <c r="D1" s="1"/>
      <c r="E1" s="1"/>
      <c r="F1" s="1"/>
      <c r="G1" s="1"/>
    </row>
    <row r="2" spans="1:9" x14ac:dyDescent="0.2">
      <c r="A2" s="1" t="s">
        <v>0</v>
      </c>
      <c r="B2" s="1"/>
      <c r="C2" s="1"/>
      <c r="D2" s="1"/>
      <c r="E2" s="1"/>
      <c r="F2" s="1"/>
      <c r="G2" s="1"/>
    </row>
    <row r="3" spans="1:9" x14ac:dyDescent="0.2">
      <c r="A3" s="1" t="s">
        <v>114</v>
      </c>
      <c r="B3" s="1"/>
      <c r="C3" s="1"/>
      <c r="D3" s="1"/>
      <c r="E3" s="1"/>
      <c r="F3" s="1"/>
      <c r="G3" s="3"/>
    </row>
    <row r="4" spans="1:9" x14ac:dyDescent="0.2">
      <c r="A4" s="1" t="s">
        <v>115</v>
      </c>
      <c r="B4" s="1"/>
      <c r="C4" s="1"/>
      <c r="D4" s="1"/>
      <c r="E4" s="1"/>
      <c r="F4" s="1"/>
      <c r="G4" s="1"/>
    </row>
    <row r="5" spans="1:9" x14ac:dyDescent="0.2">
      <c r="A5" s="5" t="s">
        <v>3</v>
      </c>
      <c r="B5" s="5" t="s">
        <v>4</v>
      </c>
      <c r="C5" s="5" t="s">
        <v>6</v>
      </c>
      <c r="D5" s="5" t="s">
        <v>116</v>
      </c>
      <c r="E5" s="6" t="s">
        <v>8</v>
      </c>
      <c r="F5" s="6"/>
      <c r="G5" s="6"/>
    </row>
    <row r="6" spans="1:9" x14ac:dyDescent="0.2">
      <c r="A6" s="7" t="s">
        <v>117</v>
      </c>
      <c r="B6" s="7" t="s">
        <v>118</v>
      </c>
      <c r="C6" s="7" t="s">
        <v>223</v>
      </c>
      <c r="D6" s="2" t="s">
        <v>119</v>
      </c>
      <c r="E6" s="7">
        <v>386989</v>
      </c>
      <c r="F6" s="2"/>
      <c r="G6" s="2"/>
      <c r="H6" s="2"/>
    </row>
    <row r="7" spans="1:9" x14ac:dyDescent="0.2">
      <c r="A7" s="7" t="s">
        <v>117</v>
      </c>
      <c r="B7" s="7" t="s">
        <v>118</v>
      </c>
      <c r="C7" s="7" t="s">
        <v>223</v>
      </c>
      <c r="D7" s="2" t="s">
        <v>120</v>
      </c>
      <c r="E7" s="7">
        <v>360691</v>
      </c>
      <c r="F7" s="2"/>
      <c r="G7" s="2"/>
      <c r="H7" s="2"/>
    </row>
    <row r="8" spans="1:9" x14ac:dyDescent="0.2">
      <c r="A8" s="7" t="s">
        <v>117</v>
      </c>
      <c r="B8" s="7" t="s">
        <v>118</v>
      </c>
      <c r="C8" s="7" t="s">
        <v>223</v>
      </c>
      <c r="D8" s="2" t="s">
        <v>121</v>
      </c>
      <c r="E8" s="7">
        <v>354225</v>
      </c>
      <c r="F8" s="2"/>
      <c r="G8" s="2"/>
      <c r="H8" s="2"/>
    </row>
    <row r="9" spans="1:9" x14ac:dyDescent="0.2">
      <c r="A9" s="7" t="s">
        <v>117</v>
      </c>
      <c r="B9" s="7" t="s">
        <v>118</v>
      </c>
      <c r="C9" s="7" t="s">
        <v>223</v>
      </c>
      <c r="D9" s="7" t="s">
        <v>122</v>
      </c>
      <c r="E9" s="7">
        <v>345618</v>
      </c>
      <c r="F9" s="7"/>
      <c r="G9" s="2"/>
      <c r="H9" s="2"/>
      <c r="I9" s="2"/>
    </row>
    <row r="10" spans="1:9" x14ac:dyDescent="0.2">
      <c r="A10" s="7" t="s">
        <v>117</v>
      </c>
      <c r="B10" s="7" t="s">
        <v>118</v>
      </c>
      <c r="C10" s="7" t="s">
        <v>223</v>
      </c>
      <c r="D10" s="7" t="s">
        <v>123</v>
      </c>
      <c r="E10" s="7">
        <v>337209</v>
      </c>
      <c r="F10" s="7"/>
      <c r="G10" s="2"/>
      <c r="H10" s="2"/>
    </row>
    <row r="11" spans="1:9" x14ac:dyDescent="0.2">
      <c r="A11" s="7" t="s">
        <v>117</v>
      </c>
      <c r="B11" s="7" t="s">
        <v>118</v>
      </c>
      <c r="C11" s="7" t="s">
        <v>223</v>
      </c>
      <c r="D11" s="7" t="s">
        <v>125</v>
      </c>
      <c r="E11" s="7">
        <v>291274</v>
      </c>
      <c r="F11" s="7"/>
      <c r="G11" s="2"/>
      <c r="H11" s="2"/>
    </row>
    <row r="12" spans="1:9" x14ac:dyDescent="0.2">
      <c r="A12" s="7" t="s">
        <v>117</v>
      </c>
      <c r="B12" s="7" t="s">
        <v>118</v>
      </c>
      <c r="C12" s="7" t="s">
        <v>223</v>
      </c>
      <c r="D12" s="7" t="s">
        <v>124</v>
      </c>
      <c r="E12" s="7">
        <v>269183</v>
      </c>
      <c r="F12" s="7"/>
      <c r="G12" s="2"/>
      <c r="H12" s="2"/>
    </row>
    <row r="13" spans="1:9" x14ac:dyDescent="0.2">
      <c r="A13" s="7" t="s">
        <v>117</v>
      </c>
      <c r="B13" s="7" t="s">
        <v>118</v>
      </c>
      <c r="C13" s="7" t="s">
        <v>223</v>
      </c>
      <c r="D13" s="7" t="s">
        <v>127</v>
      </c>
      <c r="E13" s="7">
        <v>237705</v>
      </c>
      <c r="F13" s="7"/>
      <c r="G13" s="2"/>
      <c r="H13" s="2"/>
    </row>
    <row r="14" spans="1:9" x14ac:dyDescent="0.2">
      <c r="A14" s="7" t="s">
        <v>117</v>
      </c>
      <c r="B14" s="7" t="s">
        <v>118</v>
      </c>
      <c r="C14" s="7" t="s">
        <v>223</v>
      </c>
      <c r="D14" s="7" t="s">
        <v>126</v>
      </c>
      <c r="E14" s="7">
        <v>234111</v>
      </c>
      <c r="F14" s="7"/>
      <c r="G14" s="2"/>
      <c r="H14" s="2"/>
    </row>
    <row r="15" spans="1:9" x14ac:dyDescent="0.2">
      <c r="A15" s="7" t="s">
        <v>117</v>
      </c>
      <c r="B15" s="7" t="s">
        <v>118</v>
      </c>
      <c r="C15" s="7" t="s">
        <v>223</v>
      </c>
      <c r="D15" s="7" t="s">
        <v>129</v>
      </c>
      <c r="E15" s="7">
        <v>200258</v>
      </c>
      <c r="F15" s="7"/>
      <c r="G15" s="2"/>
      <c r="H15" s="2"/>
      <c r="I15" s="7"/>
    </row>
    <row r="16" spans="1:9" x14ac:dyDescent="0.2">
      <c r="A16" s="7" t="s">
        <v>117</v>
      </c>
      <c r="B16" s="7" t="s">
        <v>118</v>
      </c>
      <c r="C16" s="7" t="s">
        <v>223</v>
      </c>
      <c r="D16" s="7" t="s">
        <v>128</v>
      </c>
      <c r="E16" s="7">
        <v>195627</v>
      </c>
      <c r="F16" s="7"/>
      <c r="G16" s="2"/>
      <c r="H16" s="2"/>
    </row>
    <row r="17" spans="1:9" x14ac:dyDescent="0.2">
      <c r="A17" s="7" t="s">
        <v>117</v>
      </c>
      <c r="B17" s="7" t="s">
        <v>118</v>
      </c>
      <c r="C17" s="7" t="s">
        <v>223</v>
      </c>
      <c r="D17" s="7" t="s">
        <v>130</v>
      </c>
      <c r="E17" s="7">
        <v>185861</v>
      </c>
      <c r="F17" s="7"/>
      <c r="G17" s="2"/>
      <c r="H17" s="2"/>
    </row>
    <row r="18" spans="1:9" x14ac:dyDescent="0.2">
      <c r="A18" s="7" t="s">
        <v>117</v>
      </c>
      <c r="B18" s="7" t="s">
        <v>118</v>
      </c>
      <c r="C18" s="7" t="s">
        <v>223</v>
      </c>
      <c r="D18" s="7" t="s">
        <v>132</v>
      </c>
      <c r="E18" s="7">
        <v>171276</v>
      </c>
      <c r="F18" s="7"/>
      <c r="G18" s="2"/>
      <c r="H18" s="2"/>
    </row>
    <row r="19" spans="1:9" x14ac:dyDescent="0.2">
      <c r="A19" s="7" t="s">
        <v>117</v>
      </c>
      <c r="B19" s="7" t="s">
        <v>118</v>
      </c>
      <c r="C19" s="7" t="s">
        <v>223</v>
      </c>
      <c r="D19" s="7" t="s">
        <v>131</v>
      </c>
      <c r="E19" s="7">
        <v>164308</v>
      </c>
      <c r="F19" s="7"/>
      <c r="G19" s="2"/>
      <c r="H19" s="2"/>
    </row>
    <row r="20" spans="1:9" x14ac:dyDescent="0.2">
      <c r="A20" s="7" t="s">
        <v>117</v>
      </c>
      <c r="B20" s="7" t="s">
        <v>118</v>
      </c>
      <c r="C20" s="7" t="s">
        <v>223</v>
      </c>
      <c r="D20" s="7" t="s">
        <v>135</v>
      </c>
      <c r="E20" s="7">
        <v>140527</v>
      </c>
      <c r="F20" s="7"/>
      <c r="G20" s="2"/>
      <c r="H20" s="2"/>
    </row>
    <row r="21" spans="1:9" x14ac:dyDescent="0.2">
      <c r="A21" s="7" t="s">
        <v>117</v>
      </c>
      <c r="B21" s="7" t="s">
        <v>118</v>
      </c>
      <c r="C21" s="7" t="s">
        <v>223</v>
      </c>
      <c r="D21" s="7" t="s">
        <v>134</v>
      </c>
      <c r="E21" s="7">
        <v>132216</v>
      </c>
      <c r="F21" s="7"/>
      <c r="G21" s="2"/>
      <c r="H21" s="2"/>
    </row>
    <row r="22" spans="1:9" x14ac:dyDescent="0.2">
      <c r="A22" s="7" t="s">
        <v>117</v>
      </c>
      <c r="B22" s="7" t="s">
        <v>118</v>
      </c>
      <c r="C22" s="7" t="s">
        <v>223</v>
      </c>
      <c r="D22" s="7" t="s">
        <v>133</v>
      </c>
      <c r="E22" s="7">
        <v>124003</v>
      </c>
      <c r="F22" s="7"/>
      <c r="G22" s="2"/>
      <c r="H22" s="2"/>
    </row>
    <row r="23" spans="1:9" x14ac:dyDescent="0.2">
      <c r="A23" s="7" t="s">
        <v>117</v>
      </c>
      <c r="B23" s="7" t="s">
        <v>118</v>
      </c>
      <c r="C23" s="7" t="s">
        <v>223</v>
      </c>
      <c r="D23" s="2" t="s">
        <v>136</v>
      </c>
      <c r="E23" s="7">
        <v>91548</v>
      </c>
      <c r="F23" s="2"/>
      <c r="G23" s="2"/>
      <c r="H23" s="2"/>
    </row>
    <row r="24" spans="1:9" x14ac:dyDescent="0.2">
      <c r="A24" s="7" t="s">
        <v>117</v>
      </c>
      <c r="B24" s="7" t="s">
        <v>118</v>
      </c>
      <c r="C24" s="7" t="s">
        <v>223</v>
      </c>
      <c r="D24" s="2" t="s">
        <v>137</v>
      </c>
      <c r="E24" s="7">
        <v>76372</v>
      </c>
      <c r="F24" s="2"/>
      <c r="G24" s="2"/>
      <c r="H24" s="2"/>
      <c r="I24" s="2"/>
    </row>
    <row r="25" spans="1:9" x14ac:dyDescent="0.2">
      <c r="A25" s="7" t="s">
        <v>117</v>
      </c>
      <c r="B25" s="7" t="s">
        <v>118</v>
      </c>
      <c r="C25" s="7" t="s">
        <v>223</v>
      </c>
      <c r="D25" s="2" t="s">
        <v>138</v>
      </c>
      <c r="E25" s="7">
        <v>65117</v>
      </c>
      <c r="F25" s="2"/>
      <c r="G25" s="2"/>
      <c r="H25" s="2"/>
    </row>
    <row r="26" spans="1:9" x14ac:dyDescent="0.2">
      <c r="A26" s="7" t="s">
        <v>117</v>
      </c>
      <c r="B26" s="7" t="s">
        <v>118</v>
      </c>
      <c r="C26" s="7" t="s">
        <v>223</v>
      </c>
      <c r="D26" s="2" t="s">
        <v>139</v>
      </c>
      <c r="E26" s="7">
        <v>53901</v>
      </c>
      <c r="F26" s="2"/>
      <c r="G26" s="2"/>
      <c r="H26" s="2"/>
    </row>
    <row r="27" spans="1:9" x14ac:dyDescent="0.2">
      <c r="A27" s="7" t="s">
        <v>117</v>
      </c>
      <c r="B27" s="7" t="s">
        <v>118</v>
      </c>
      <c r="C27" s="7" t="s">
        <v>223</v>
      </c>
      <c r="D27" s="2" t="s">
        <v>140</v>
      </c>
      <c r="E27" s="7">
        <v>52074</v>
      </c>
      <c r="F27" s="2"/>
      <c r="G27" s="2"/>
      <c r="H27" s="2"/>
      <c r="I27" s="2"/>
    </row>
    <row r="28" spans="1:9" x14ac:dyDescent="0.2">
      <c r="A28" s="7" t="s">
        <v>117</v>
      </c>
      <c r="B28" s="7" t="s">
        <v>118</v>
      </c>
      <c r="C28" s="7" t="s">
        <v>223</v>
      </c>
      <c r="D28" s="2" t="s">
        <v>141</v>
      </c>
      <c r="E28" s="7">
        <v>45172</v>
      </c>
      <c r="F28" s="2"/>
      <c r="G28" s="2"/>
      <c r="H28" s="2"/>
    </row>
    <row r="29" spans="1:9" x14ac:dyDescent="0.2">
      <c r="A29" s="7" t="s">
        <v>117</v>
      </c>
      <c r="B29" s="7" t="s">
        <v>118</v>
      </c>
      <c r="C29" s="7" t="s">
        <v>223</v>
      </c>
      <c r="D29" s="2" t="s">
        <v>142</v>
      </c>
      <c r="E29" s="7">
        <v>32266</v>
      </c>
      <c r="F29" s="2"/>
      <c r="G29" s="2"/>
      <c r="H29" s="2"/>
    </row>
    <row r="30" spans="1:9" x14ac:dyDescent="0.2">
      <c r="A30" s="7" t="s">
        <v>117</v>
      </c>
      <c r="B30" s="7" t="s">
        <v>118</v>
      </c>
      <c r="C30" s="7" t="s">
        <v>223</v>
      </c>
      <c r="D30" s="2" t="s">
        <v>143</v>
      </c>
      <c r="E30" s="7">
        <v>24103</v>
      </c>
      <c r="F30" s="2"/>
      <c r="G30" s="2"/>
      <c r="H30" s="2"/>
    </row>
    <row r="31" spans="1:9" x14ac:dyDescent="0.2">
      <c r="A31" s="7" t="s">
        <v>117</v>
      </c>
      <c r="B31" s="7" t="s">
        <v>118</v>
      </c>
      <c r="C31" s="7" t="s">
        <v>223</v>
      </c>
      <c r="D31" s="2" t="s">
        <v>144</v>
      </c>
      <c r="E31" s="7">
        <v>18153</v>
      </c>
      <c r="F31" s="2"/>
      <c r="G31" s="2"/>
      <c r="H31" s="2"/>
    </row>
    <row r="32" spans="1:9" x14ac:dyDescent="0.2">
      <c r="E32" s="8">
        <f>SUM(E6:E31)</f>
        <v>4589787</v>
      </c>
    </row>
    <row r="35" spans="2:13" x14ac:dyDescent="0.2">
      <c r="G35" s="19"/>
    </row>
    <row r="37" spans="2:13" x14ac:dyDescent="0.2">
      <c r="B37" s="7"/>
      <c r="C37" s="7"/>
      <c r="E37" s="2"/>
      <c r="F37" s="2"/>
      <c r="J37" s="7"/>
      <c r="L37" s="7"/>
      <c r="M37" s="21"/>
    </row>
    <row r="38" spans="2:13" x14ac:dyDescent="0.2">
      <c r="B38" s="7"/>
      <c r="C38" s="7"/>
      <c r="E38" s="2"/>
      <c r="F38" s="2"/>
      <c r="J38" s="7"/>
      <c r="L38" s="7"/>
      <c r="M38" s="21"/>
    </row>
    <row r="39" spans="2:13" x14ac:dyDescent="0.2">
      <c r="B39" s="7"/>
      <c r="C39" s="7"/>
      <c r="E39" s="2"/>
      <c r="F39" s="2"/>
      <c r="J39" s="7"/>
      <c r="L39" s="7"/>
      <c r="M39" s="21"/>
    </row>
    <row r="40" spans="2:13" x14ac:dyDescent="0.2">
      <c r="B40" s="7"/>
      <c r="C40" s="7"/>
      <c r="E40" s="7"/>
      <c r="F40" s="7"/>
      <c r="J40" s="7"/>
      <c r="L40" s="7"/>
      <c r="M40" s="21"/>
    </row>
    <row r="41" spans="2:13" x14ac:dyDescent="0.2">
      <c r="B41" s="7"/>
      <c r="C41" s="7"/>
      <c r="E41" s="7"/>
      <c r="F41" s="7"/>
      <c r="J41" s="7"/>
      <c r="L41" s="7"/>
      <c r="M41" s="21"/>
    </row>
    <row r="42" spans="2:13" x14ac:dyDescent="0.2">
      <c r="B42" s="7"/>
      <c r="C42" s="7"/>
      <c r="E42" s="7"/>
      <c r="F42" s="7"/>
      <c r="J42" s="7"/>
      <c r="L42" s="7"/>
      <c r="M42" s="21"/>
    </row>
    <row r="43" spans="2:13" x14ac:dyDescent="0.2">
      <c r="B43" s="7"/>
      <c r="C43" s="7"/>
      <c r="E43" s="7"/>
      <c r="F43" s="7"/>
      <c r="J43" s="7"/>
      <c r="L43" s="7"/>
      <c r="M43" s="21"/>
    </row>
    <row r="44" spans="2:13" x14ac:dyDescent="0.2">
      <c r="B44" s="7"/>
      <c r="C44" s="7"/>
      <c r="E44" s="7"/>
      <c r="F44" s="7"/>
      <c r="J44" s="7"/>
      <c r="L44" s="7"/>
      <c r="M44" s="21"/>
    </row>
    <row r="45" spans="2:13" x14ac:dyDescent="0.2">
      <c r="B45" s="7"/>
      <c r="C45" s="7"/>
      <c r="E45" s="7"/>
      <c r="F45" s="7"/>
      <c r="J45" s="7"/>
      <c r="L45" s="7"/>
      <c r="M45" s="21"/>
    </row>
    <row r="46" spans="2:13" x14ac:dyDescent="0.2">
      <c r="B46" s="7"/>
      <c r="C46" s="7"/>
      <c r="E46" s="7"/>
      <c r="F46" s="7"/>
      <c r="J46" s="7"/>
      <c r="L46" s="7"/>
      <c r="M46" s="21"/>
    </row>
    <row r="47" spans="2:13" x14ac:dyDescent="0.2">
      <c r="B47" s="7"/>
      <c r="C47" s="7"/>
      <c r="E47" s="7"/>
      <c r="F47" s="7"/>
      <c r="J47" s="7"/>
      <c r="L47" s="7"/>
      <c r="M47" s="21"/>
    </row>
    <row r="48" spans="2:13" x14ac:dyDescent="0.2">
      <c r="B48" s="7"/>
      <c r="C48" s="7"/>
      <c r="E48" s="7"/>
      <c r="F48" s="7"/>
      <c r="J48" s="7"/>
      <c r="L48" s="7"/>
      <c r="M48" s="21"/>
    </row>
    <row r="49" spans="2:13" x14ac:dyDescent="0.2">
      <c r="B49" s="7"/>
      <c r="C49" s="7"/>
      <c r="E49" s="7"/>
      <c r="F49" s="7"/>
      <c r="J49" s="7"/>
      <c r="L49" s="7"/>
      <c r="M49" s="21"/>
    </row>
    <row r="50" spans="2:13" x14ac:dyDescent="0.2">
      <c r="B50" s="7"/>
      <c r="C50" s="7"/>
      <c r="E50" s="7"/>
      <c r="F50" s="7"/>
      <c r="J50" s="7"/>
      <c r="L50" s="7"/>
      <c r="M50" s="21"/>
    </row>
    <row r="51" spans="2:13" x14ac:dyDescent="0.2">
      <c r="B51" s="7"/>
      <c r="C51" s="7"/>
      <c r="E51" s="7"/>
      <c r="F51" s="7"/>
      <c r="J51" s="7"/>
      <c r="L51" s="7"/>
      <c r="M51" s="21"/>
    </row>
    <row r="52" spans="2:13" x14ac:dyDescent="0.2">
      <c r="B52" s="7"/>
      <c r="C52" s="7"/>
      <c r="E52" s="7"/>
      <c r="F52" s="7"/>
      <c r="J52" s="7"/>
      <c r="L52" s="7"/>
      <c r="M52" s="21"/>
    </row>
    <row r="53" spans="2:13" x14ac:dyDescent="0.2">
      <c r="B53" s="7"/>
      <c r="C53" s="7"/>
      <c r="E53" s="7"/>
      <c r="F53" s="7"/>
      <c r="J53" s="7"/>
      <c r="L53" s="7"/>
      <c r="M53" s="21"/>
    </row>
    <row r="54" spans="2:13" x14ac:dyDescent="0.2">
      <c r="B54" s="7"/>
      <c r="C54" s="7"/>
      <c r="E54" s="2"/>
      <c r="F54" s="2"/>
      <c r="J54" s="7"/>
      <c r="L54" s="7"/>
      <c r="M54" s="21"/>
    </row>
    <row r="55" spans="2:13" x14ac:dyDescent="0.2">
      <c r="B55" s="7"/>
      <c r="C55" s="7"/>
      <c r="E55" s="2"/>
      <c r="F55" s="2"/>
      <c r="J55" s="7"/>
      <c r="L55" s="7"/>
      <c r="M55" s="21"/>
    </row>
    <row r="56" spans="2:13" x14ac:dyDescent="0.2">
      <c r="B56" s="7"/>
      <c r="C56" s="7"/>
      <c r="E56" s="2"/>
      <c r="F56" s="2"/>
      <c r="J56" s="7"/>
      <c r="L56" s="7"/>
      <c r="M56" s="21"/>
    </row>
    <row r="57" spans="2:13" x14ac:dyDescent="0.2">
      <c r="B57" s="7"/>
      <c r="C57" s="7"/>
      <c r="E57" s="2"/>
      <c r="F57" s="2"/>
      <c r="J57" s="7"/>
      <c r="L57" s="7"/>
      <c r="M57" s="21"/>
    </row>
    <row r="58" spans="2:13" x14ac:dyDescent="0.2">
      <c r="B58" s="7"/>
      <c r="C58" s="7"/>
      <c r="E58" s="2"/>
      <c r="F58" s="2"/>
      <c r="J58" s="7"/>
      <c r="L58" s="7"/>
      <c r="M58" s="21"/>
    </row>
    <row r="59" spans="2:13" x14ac:dyDescent="0.2">
      <c r="B59" s="7"/>
      <c r="C59" s="7"/>
      <c r="E59" s="2"/>
      <c r="F59" s="2"/>
      <c r="J59" s="7"/>
      <c r="L59" s="7"/>
      <c r="M59" s="21"/>
    </row>
    <row r="60" spans="2:13" x14ac:dyDescent="0.2">
      <c r="B60" s="7"/>
      <c r="C60" s="7"/>
      <c r="E60" s="2"/>
      <c r="F60" s="2"/>
      <c r="J60" s="7"/>
      <c r="L60" s="7"/>
      <c r="M60" s="21"/>
    </row>
    <row r="61" spans="2:13" x14ac:dyDescent="0.2">
      <c r="B61" s="7"/>
      <c r="C61" s="7"/>
      <c r="E61" s="2"/>
      <c r="F61" s="2"/>
      <c r="J61" s="7"/>
      <c r="L61" s="7"/>
      <c r="M61" s="21"/>
    </row>
    <row r="62" spans="2:13" x14ac:dyDescent="0.2">
      <c r="B62" s="7"/>
      <c r="C62" s="7"/>
      <c r="E62" s="2"/>
      <c r="F62" s="2"/>
      <c r="J62" s="7"/>
      <c r="L62" s="7"/>
      <c r="M62" s="21"/>
    </row>
    <row r="63" spans="2:13" x14ac:dyDescent="0.2">
      <c r="J63" s="7"/>
      <c r="M63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B4A45-F464-4E4C-A888-B0A0537F72FB}">
  <dimension ref="A1:K37"/>
  <sheetViews>
    <sheetView topLeftCell="A3" workbookViewId="0">
      <selection activeCell="J18" sqref="J18"/>
    </sheetView>
  </sheetViews>
  <sheetFormatPr baseColWidth="10" defaultRowHeight="15" x14ac:dyDescent="0.2"/>
  <cols>
    <col min="1" max="1" width="16.33203125" customWidth="1"/>
    <col min="2" max="2" width="25.33203125" customWidth="1"/>
    <col min="3" max="3" width="43" customWidth="1"/>
    <col min="4" max="4" width="14" customWidth="1"/>
    <col min="5" max="5" width="18" customWidth="1"/>
    <col min="6" max="6" width="17" customWidth="1"/>
  </cols>
  <sheetData>
    <row r="1" spans="1:11" x14ac:dyDescent="0.2">
      <c r="A1" s="1" t="s">
        <v>201</v>
      </c>
      <c r="B1" s="1"/>
      <c r="C1" s="1"/>
      <c r="D1" s="1"/>
      <c r="E1" s="1"/>
    </row>
    <row r="2" spans="1:11" x14ac:dyDescent="0.2">
      <c r="A2" s="1" t="s">
        <v>0</v>
      </c>
      <c r="B2" s="1"/>
      <c r="C2" s="1"/>
      <c r="D2" s="1"/>
      <c r="E2" s="10"/>
    </row>
    <row r="3" spans="1:11" x14ac:dyDescent="0.2">
      <c r="A3" s="1" t="s">
        <v>114</v>
      </c>
      <c r="B3" s="1"/>
      <c r="C3" s="1"/>
      <c r="D3" s="1"/>
      <c r="E3" s="3"/>
      <c r="G3" s="19"/>
    </row>
    <row r="4" spans="1:11" x14ac:dyDescent="0.2">
      <c r="A4" s="1" t="s">
        <v>145</v>
      </c>
      <c r="B4" s="1"/>
      <c r="C4" s="1"/>
      <c r="D4" s="1"/>
      <c r="E4" s="1"/>
    </row>
    <row r="5" spans="1:11" x14ac:dyDescent="0.2">
      <c r="A5" s="5" t="s">
        <v>3</v>
      </c>
      <c r="B5" s="5" t="s">
        <v>4</v>
      </c>
      <c r="C5" s="5" t="s">
        <v>6</v>
      </c>
      <c r="D5" s="11" t="s">
        <v>146</v>
      </c>
      <c r="E5" s="12" t="s">
        <v>8</v>
      </c>
      <c r="F5" s="13" t="s">
        <v>147</v>
      </c>
    </row>
    <row r="6" spans="1:11" x14ac:dyDescent="0.2">
      <c r="A6" s="7" t="s">
        <v>117</v>
      </c>
      <c r="B6" s="7" t="s">
        <v>118</v>
      </c>
      <c r="C6" s="7" t="s">
        <v>175</v>
      </c>
      <c r="D6" s="14">
        <v>45931</v>
      </c>
      <c r="E6" s="15">
        <v>65839</v>
      </c>
      <c r="F6" s="16">
        <v>1381.72</v>
      </c>
    </row>
    <row r="7" spans="1:11" x14ac:dyDescent="0.2">
      <c r="A7" s="7" t="s">
        <v>117</v>
      </c>
      <c r="B7" s="7" t="s">
        <v>118</v>
      </c>
      <c r="C7" s="7" t="s">
        <v>176</v>
      </c>
      <c r="D7" s="14">
        <v>45932</v>
      </c>
      <c r="E7" s="15">
        <v>189099</v>
      </c>
      <c r="F7" s="16">
        <v>3968.49</v>
      </c>
    </row>
    <row r="8" spans="1:11" x14ac:dyDescent="0.2">
      <c r="A8" s="7" t="s">
        <v>117</v>
      </c>
      <c r="B8" s="7" t="s">
        <v>118</v>
      </c>
      <c r="C8" s="7" t="s">
        <v>177</v>
      </c>
      <c r="D8" s="14">
        <v>45933</v>
      </c>
      <c r="E8" s="15">
        <v>189068</v>
      </c>
      <c r="F8" s="16">
        <v>3967.84</v>
      </c>
    </row>
    <row r="9" spans="1:11" x14ac:dyDescent="0.2">
      <c r="A9" s="7" t="s">
        <v>117</v>
      </c>
      <c r="B9" s="7" t="s">
        <v>118</v>
      </c>
      <c r="C9" s="7" t="s">
        <v>178</v>
      </c>
      <c r="D9" s="14">
        <v>45934</v>
      </c>
      <c r="E9" s="15">
        <v>189101</v>
      </c>
      <c r="F9" s="16">
        <v>3968.53</v>
      </c>
      <c r="I9" s="16"/>
      <c r="K9" s="16"/>
    </row>
    <row r="10" spans="1:11" x14ac:dyDescent="0.2">
      <c r="A10" s="7" t="s">
        <v>117</v>
      </c>
      <c r="B10" s="7" t="s">
        <v>118</v>
      </c>
      <c r="C10" s="7" t="s">
        <v>179</v>
      </c>
      <c r="D10" s="14">
        <v>45935</v>
      </c>
      <c r="E10" s="15">
        <v>189074</v>
      </c>
      <c r="F10" s="16">
        <v>3967.97</v>
      </c>
      <c r="I10" s="16"/>
      <c r="K10" s="16"/>
    </row>
    <row r="11" spans="1:11" x14ac:dyDescent="0.2">
      <c r="A11" s="7" t="s">
        <v>117</v>
      </c>
      <c r="B11" s="7" t="s">
        <v>118</v>
      </c>
      <c r="C11" s="7" t="s">
        <v>180</v>
      </c>
      <c r="D11" s="14">
        <v>45936</v>
      </c>
      <c r="E11" s="15">
        <v>190168</v>
      </c>
      <c r="F11" s="16">
        <v>3991.52</v>
      </c>
      <c r="I11" s="16"/>
      <c r="K11" s="16"/>
    </row>
    <row r="12" spans="1:11" x14ac:dyDescent="0.2">
      <c r="A12" s="7" t="s">
        <v>117</v>
      </c>
      <c r="B12" s="7" t="s">
        <v>118</v>
      </c>
      <c r="C12" s="7" t="s">
        <v>181</v>
      </c>
      <c r="D12" s="14">
        <v>45937</v>
      </c>
      <c r="E12" s="15">
        <v>61371</v>
      </c>
      <c r="F12" s="16">
        <v>1288.1400000000001</v>
      </c>
      <c r="I12" s="16"/>
      <c r="K12" s="16"/>
    </row>
    <row r="13" spans="1:11" x14ac:dyDescent="0.2">
      <c r="A13" s="7" t="s">
        <v>117</v>
      </c>
      <c r="B13" s="7" t="s">
        <v>118</v>
      </c>
      <c r="C13" s="7" t="s">
        <v>182</v>
      </c>
      <c r="D13" s="14">
        <v>45938</v>
      </c>
      <c r="E13" s="15">
        <v>59766</v>
      </c>
      <c r="F13" s="16">
        <v>1254.46</v>
      </c>
      <c r="I13" s="16"/>
      <c r="K13" s="16"/>
    </row>
    <row r="14" spans="1:11" x14ac:dyDescent="0.2">
      <c r="A14" s="7" t="s">
        <v>117</v>
      </c>
      <c r="B14" s="7" t="s">
        <v>118</v>
      </c>
      <c r="C14" s="7" t="s">
        <v>183</v>
      </c>
      <c r="D14" s="14">
        <v>45939</v>
      </c>
      <c r="E14" s="15">
        <v>190182</v>
      </c>
      <c r="F14" s="16">
        <v>3991.81</v>
      </c>
      <c r="I14" s="16"/>
      <c r="K14" s="16"/>
    </row>
    <row r="15" spans="1:11" x14ac:dyDescent="0.2">
      <c r="A15" s="7" t="s">
        <v>117</v>
      </c>
      <c r="B15" s="7" t="s">
        <v>118</v>
      </c>
      <c r="C15" s="7" t="s">
        <v>184</v>
      </c>
      <c r="D15" s="14">
        <v>45940</v>
      </c>
      <c r="E15" s="15">
        <v>190171</v>
      </c>
      <c r="F15" s="16">
        <v>3991.58</v>
      </c>
      <c r="I15" s="16"/>
      <c r="K15" s="16"/>
    </row>
    <row r="16" spans="1:11" x14ac:dyDescent="0.2">
      <c r="A16" s="7" t="s">
        <v>117</v>
      </c>
      <c r="B16" s="7" t="s">
        <v>118</v>
      </c>
      <c r="C16" s="7" t="s">
        <v>185</v>
      </c>
      <c r="D16" s="14">
        <v>45941</v>
      </c>
      <c r="E16" s="15">
        <v>190179</v>
      </c>
      <c r="F16" s="16">
        <v>3991.75</v>
      </c>
      <c r="I16" s="16"/>
      <c r="K16" s="22"/>
    </row>
    <row r="17" spans="1:11" x14ac:dyDescent="0.2">
      <c r="A17" s="7" t="s">
        <v>117</v>
      </c>
      <c r="B17" s="7" t="s">
        <v>118</v>
      </c>
      <c r="C17" s="7" t="s">
        <v>186</v>
      </c>
      <c r="D17" s="14">
        <v>45942</v>
      </c>
      <c r="E17" s="15">
        <v>190172</v>
      </c>
      <c r="F17" s="16">
        <v>3991.62</v>
      </c>
      <c r="I17" s="16"/>
    </row>
    <row r="18" spans="1:11" x14ac:dyDescent="0.2">
      <c r="A18" s="7" t="s">
        <v>117</v>
      </c>
      <c r="B18" s="7" t="s">
        <v>118</v>
      </c>
      <c r="C18" s="7" t="s">
        <v>187</v>
      </c>
      <c r="D18" s="14">
        <v>45943</v>
      </c>
      <c r="E18" s="15">
        <v>190154</v>
      </c>
      <c r="F18" s="16">
        <v>3991.55</v>
      </c>
      <c r="I18" s="16"/>
      <c r="K18" s="16"/>
    </row>
    <row r="19" spans="1:11" x14ac:dyDescent="0.2">
      <c r="A19" s="7" t="s">
        <v>117</v>
      </c>
      <c r="B19" s="7" t="s">
        <v>118</v>
      </c>
      <c r="C19" s="7" t="s">
        <v>188</v>
      </c>
      <c r="D19" s="14">
        <v>45944</v>
      </c>
      <c r="E19" s="15">
        <v>60904</v>
      </c>
      <c r="F19" s="16">
        <v>1278.3399999999999</v>
      </c>
      <c r="I19" s="16"/>
      <c r="K19" s="16"/>
    </row>
    <row r="20" spans="1:11" x14ac:dyDescent="0.2">
      <c r="A20" s="7" t="s">
        <v>117</v>
      </c>
      <c r="B20" s="7" t="s">
        <v>118</v>
      </c>
      <c r="C20" s="7" t="s">
        <v>189</v>
      </c>
      <c r="D20" s="14">
        <v>45945</v>
      </c>
      <c r="E20" s="15">
        <v>60132</v>
      </c>
      <c r="F20" s="16">
        <v>1262.1400000000001</v>
      </c>
      <c r="I20" s="16"/>
      <c r="K20" s="16"/>
    </row>
    <row r="21" spans="1:11" x14ac:dyDescent="0.2">
      <c r="A21" s="7" t="s">
        <v>117</v>
      </c>
      <c r="B21" s="7" t="s">
        <v>118</v>
      </c>
      <c r="C21" s="7" t="s">
        <v>190</v>
      </c>
      <c r="D21" s="14">
        <v>45946</v>
      </c>
      <c r="E21" s="15">
        <v>190174</v>
      </c>
      <c r="F21" s="16">
        <v>3991.97</v>
      </c>
      <c r="I21" s="16"/>
      <c r="K21" s="16"/>
    </row>
    <row r="22" spans="1:11" x14ac:dyDescent="0.2">
      <c r="A22" s="7" t="s">
        <v>117</v>
      </c>
      <c r="B22" s="7" t="s">
        <v>118</v>
      </c>
      <c r="C22" s="7" t="s">
        <v>191</v>
      </c>
      <c r="D22" s="14">
        <v>45947</v>
      </c>
      <c r="E22" s="15">
        <v>190118</v>
      </c>
      <c r="F22" s="16">
        <v>3990.89</v>
      </c>
      <c r="I22" s="16"/>
      <c r="K22" s="16"/>
    </row>
    <row r="23" spans="1:11" x14ac:dyDescent="0.2">
      <c r="A23" s="7" t="s">
        <v>117</v>
      </c>
      <c r="B23" s="7" t="s">
        <v>118</v>
      </c>
      <c r="C23" s="7" t="s">
        <v>192</v>
      </c>
      <c r="D23" s="14">
        <v>45948</v>
      </c>
      <c r="E23" s="15">
        <v>190137</v>
      </c>
      <c r="F23" s="16">
        <v>3991.19</v>
      </c>
      <c r="I23" s="22"/>
      <c r="K23" s="16"/>
    </row>
    <row r="24" spans="1:11" x14ac:dyDescent="0.2">
      <c r="A24" s="7" t="s">
        <v>117</v>
      </c>
      <c r="B24" s="7" t="s">
        <v>118</v>
      </c>
      <c r="C24" s="7" t="s">
        <v>193</v>
      </c>
      <c r="D24" s="14">
        <v>45949</v>
      </c>
      <c r="E24" s="15">
        <v>190149</v>
      </c>
      <c r="F24" s="16">
        <v>3991.44</v>
      </c>
      <c r="K24" s="16"/>
    </row>
    <row r="25" spans="1:11" x14ac:dyDescent="0.2">
      <c r="A25" s="7" t="s">
        <v>117</v>
      </c>
      <c r="B25" s="7" t="s">
        <v>118</v>
      </c>
      <c r="C25" s="7" t="s">
        <v>194</v>
      </c>
      <c r="D25" s="14">
        <v>45950</v>
      </c>
      <c r="E25" s="15">
        <v>190527</v>
      </c>
      <c r="F25" s="16">
        <v>4000.02</v>
      </c>
      <c r="K25" s="16"/>
    </row>
    <row r="26" spans="1:11" x14ac:dyDescent="0.2">
      <c r="A26" s="7" t="s">
        <v>117</v>
      </c>
      <c r="B26" s="7" t="s">
        <v>118</v>
      </c>
      <c r="C26" s="7" t="s">
        <v>195</v>
      </c>
      <c r="D26" s="14">
        <v>45951</v>
      </c>
      <c r="E26" s="15">
        <v>59394</v>
      </c>
      <c r="F26" s="16">
        <v>1246.95</v>
      </c>
      <c r="K26" s="16"/>
    </row>
    <row r="27" spans="1:11" x14ac:dyDescent="0.2">
      <c r="A27" s="7" t="s">
        <v>117</v>
      </c>
      <c r="B27" s="7" t="s">
        <v>118</v>
      </c>
      <c r="C27" s="7" t="s">
        <v>196</v>
      </c>
      <c r="D27" s="14">
        <v>45952</v>
      </c>
      <c r="E27" s="15">
        <v>59558</v>
      </c>
      <c r="F27" s="16">
        <v>1250.3900000000001</v>
      </c>
      <c r="K27" s="16"/>
    </row>
    <row r="28" spans="1:11" x14ac:dyDescent="0.2">
      <c r="A28" s="7" t="s">
        <v>117</v>
      </c>
      <c r="B28" s="7" t="s">
        <v>118</v>
      </c>
      <c r="C28" s="7" t="s">
        <v>197</v>
      </c>
      <c r="D28" s="14">
        <v>45953</v>
      </c>
      <c r="E28" s="15">
        <v>190549</v>
      </c>
      <c r="F28" s="16">
        <v>4000.48</v>
      </c>
      <c r="K28" s="16"/>
    </row>
    <row r="29" spans="1:11" x14ac:dyDescent="0.2">
      <c r="A29" s="7" t="s">
        <v>117</v>
      </c>
      <c r="B29" s="7" t="s">
        <v>118</v>
      </c>
      <c r="C29" s="7" t="s">
        <v>198</v>
      </c>
      <c r="D29" s="14">
        <v>45954</v>
      </c>
      <c r="E29" s="15">
        <v>190541</v>
      </c>
      <c r="F29" s="16">
        <v>4000.32</v>
      </c>
      <c r="K29" s="16"/>
    </row>
    <row r="30" spans="1:11" x14ac:dyDescent="0.2">
      <c r="A30" s="7" t="s">
        <v>117</v>
      </c>
      <c r="B30" s="7" t="s">
        <v>118</v>
      </c>
      <c r="C30" s="7" t="s">
        <v>199</v>
      </c>
      <c r="D30" s="14">
        <v>45955</v>
      </c>
      <c r="E30" s="15">
        <v>190552</v>
      </c>
      <c r="F30" s="16">
        <v>4000.55</v>
      </c>
      <c r="K30" s="16"/>
    </row>
    <row r="31" spans="1:11" x14ac:dyDescent="0.2">
      <c r="A31" s="7" t="s">
        <v>117</v>
      </c>
      <c r="B31" s="7" t="s">
        <v>118</v>
      </c>
      <c r="C31" s="7" t="s">
        <v>200</v>
      </c>
      <c r="D31" s="14">
        <v>45956</v>
      </c>
      <c r="E31" s="15">
        <v>190521</v>
      </c>
      <c r="F31" s="16">
        <v>3999.9</v>
      </c>
      <c r="K31" s="16"/>
    </row>
    <row r="32" spans="1:11" x14ac:dyDescent="0.2">
      <c r="A32" s="7" t="s">
        <v>117</v>
      </c>
      <c r="B32" s="7" t="s">
        <v>118</v>
      </c>
      <c r="C32" s="7" t="s">
        <v>148</v>
      </c>
      <c r="D32" s="14">
        <v>45957</v>
      </c>
      <c r="E32" s="15">
        <v>152896</v>
      </c>
      <c r="F32" s="16">
        <v>3207.71</v>
      </c>
    </row>
    <row r="33" spans="1:6" x14ac:dyDescent="0.2">
      <c r="A33" s="7" t="s">
        <v>117</v>
      </c>
      <c r="B33" s="7" t="s">
        <v>118</v>
      </c>
      <c r="C33" s="7" t="s">
        <v>149</v>
      </c>
      <c r="D33" s="14">
        <v>45958</v>
      </c>
      <c r="E33" s="15">
        <v>47116</v>
      </c>
      <c r="F33" s="16">
        <v>988.49</v>
      </c>
    </row>
    <row r="34" spans="1:6" x14ac:dyDescent="0.2">
      <c r="A34" s="7" t="s">
        <v>117</v>
      </c>
      <c r="B34" s="7" t="s">
        <v>118</v>
      </c>
      <c r="C34" s="7" t="s">
        <v>150</v>
      </c>
      <c r="D34" s="14">
        <v>45959</v>
      </c>
      <c r="E34" s="15">
        <v>46401</v>
      </c>
      <c r="F34" s="16">
        <v>973.47</v>
      </c>
    </row>
    <row r="35" spans="1:6" x14ac:dyDescent="0.2">
      <c r="A35" s="7" t="s">
        <v>117</v>
      </c>
      <c r="B35" s="7" t="s">
        <v>118</v>
      </c>
      <c r="C35" s="7" t="s">
        <v>151</v>
      </c>
      <c r="D35" s="14">
        <v>45960</v>
      </c>
      <c r="E35" s="15">
        <v>152879</v>
      </c>
      <c r="F35" s="16">
        <v>3207.35</v>
      </c>
    </row>
    <row r="36" spans="1:6" x14ac:dyDescent="0.2">
      <c r="A36" s="7" t="s">
        <v>117</v>
      </c>
      <c r="B36" s="7" t="s">
        <v>118</v>
      </c>
      <c r="C36" s="7" t="s">
        <v>152</v>
      </c>
      <c r="D36" s="14">
        <v>45961</v>
      </c>
      <c r="E36" s="15">
        <v>152895</v>
      </c>
      <c r="F36" s="16">
        <v>3207.69</v>
      </c>
    </row>
    <row r="37" spans="1:6" x14ac:dyDescent="0.2">
      <c r="A37" s="8" t="s">
        <v>31</v>
      </c>
      <c r="E37" s="17">
        <f>SUM(E6:E36)</f>
        <v>4589787</v>
      </c>
      <c r="F37" s="18">
        <f>SUM(F6:F36)</f>
        <v>96336.270000000019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62616-FE69-574D-886F-18C2D92BCA33}">
  <dimension ref="A1:I150"/>
  <sheetViews>
    <sheetView topLeftCell="A57" workbookViewId="0">
      <selection activeCell="F2" sqref="F2"/>
    </sheetView>
  </sheetViews>
  <sheetFormatPr baseColWidth="10" defaultRowHeight="15" x14ac:dyDescent="0.2"/>
  <cols>
    <col min="2" max="2" width="23.5" customWidth="1"/>
    <col min="3" max="3" width="13.33203125" customWidth="1"/>
    <col min="4" max="4" width="34.6640625" customWidth="1"/>
    <col min="5" max="5" width="52.83203125" customWidth="1"/>
    <col min="6" max="6" width="29" customWidth="1"/>
  </cols>
  <sheetData>
    <row r="1" spans="1:9" x14ac:dyDescent="0.2">
      <c r="A1" s="1" t="s">
        <v>201</v>
      </c>
      <c r="B1" s="1"/>
      <c r="C1" s="1"/>
      <c r="D1" s="1"/>
      <c r="E1" s="4"/>
      <c r="F1" s="4"/>
      <c r="G1" s="4"/>
      <c r="H1" s="1"/>
      <c r="I1" s="1"/>
    </row>
    <row r="2" spans="1:9" x14ac:dyDescent="0.2">
      <c r="A2" s="1" t="s">
        <v>0</v>
      </c>
      <c r="B2" s="1"/>
      <c r="C2" s="1"/>
      <c r="D2" s="1"/>
      <c r="E2" s="2"/>
      <c r="F2" s="2"/>
      <c r="G2" s="2"/>
      <c r="H2" s="3"/>
      <c r="I2" s="1"/>
    </row>
    <row r="3" spans="1:9" x14ac:dyDescent="0.2">
      <c r="A3" s="1" t="s">
        <v>153</v>
      </c>
      <c r="B3" s="1"/>
      <c r="C3" s="1"/>
      <c r="D3" s="1"/>
      <c r="E3" s="2"/>
      <c r="F3" s="2"/>
      <c r="G3" s="2"/>
      <c r="H3" s="1"/>
      <c r="I3" s="1"/>
    </row>
    <row r="4" spans="1:9" x14ac:dyDescent="0.2">
      <c r="A4" s="5" t="s">
        <v>2</v>
      </c>
      <c r="B4" s="5"/>
      <c r="C4" s="5"/>
      <c r="D4" s="5"/>
      <c r="E4" s="2"/>
      <c r="F4" s="2"/>
      <c r="G4" s="2"/>
      <c r="H4" s="5"/>
      <c r="I4" s="1"/>
    </row>
    <row r="5" spans="1:9" x14ac:dyDescent="0.2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6" t="s">
        <v>8</v>
      </c>
      <c r="G5" s="6"/>
      <c r="H5" s="6"/>
      <c r="I5" s="1"/>
    </row>
    <row r="6" spans="1:9" x14ac:dyDescent="0.2">
      <c r="A6" s="9">
        <v>7207</v>
      </c>
      <c r="B6" s="7" t="s">
        <v>156</v>
      </c>
      <c r="C6" s="7">
        <v>7207</v>
      </c>
      <c r="D6" s="7" t="s">
        <v>224</v>
      </c>
      <c r="E6" s="2" t="s">
        <v>33</v>
      </c>
      <c r="F6" s="2">
        <v>47804</v>
      </c>
    </row>
    <row r="7" spans="1:9" x14ac:dyDescent="0.2">
      <c r="A7" s="9">
        <v>7207</v>
      </c>
      <c r="B7" s="7" t="s">
        <v>156</v>
      </c>
      <c r="C7" s="7">
        <v>7207</v>
      </c>
      <c r="D7" s="7" t="s">
        <v>224</v>
      </c>
      <c r="E7" s="2" t="s">
        <v>36</v>
      </c>
      <c r="F7" s="7">
        <v>45848</v>
      </c>
    </row>
    <row r="8" spans="1:9" x14ac:dyDescent="0.2">
      <c r="A8" s="9">
        <v>7207</v>
      </c>
      <c r="B8" s="7" t="s">
        <v>156</v>
      </c>
      <c r="C8" s="7">
        <v>7207</v>
      </c>
      <c r="D8" s="7" t="s">
        <v>224</v>
      </c>
      <c r="E8" s="2" t="s">
        <v>58</v>
      </c>
      <c r="F8" s="7">
        <v>43472</v>
      </c>
    </row>
    <row r="9" spans="1:9" x14ac:dyDescent="0.2">
      <c r="A9" s="9">
        <v>7207</v>
      </c>
      <c r="B9" s="7" t="s">
        <v>156</v>
      </c>
      <c r="C9" s="7">
        <v>7207</v>
      </c>
      <c r="D9" s="7" t="s">
        <v>224</v>
      </c>
      <c r="E9" s="2" t="s">
        <v>48</v>
      </c>
      <c r="F9" s="7">
        <v>42418</v>
      </c>
    </row>
    <row r="10" spans="1:9" x14ac:dyDescent="0.2">
      <c r="A10" s="9">
        <v>7207</v>
      </c>
      <c r="B10" s="7" t="s">
        <v>156</v>
      </c>
      <c r="C10" s="7">
        <v>7207</v>
      </c>
      <c r="D10" s="7" t="s">
        <v>224</v>
      </c>
      <c r="E10" s="2" t="s">
        <v>40</v>
      </c>
      <c r="F10" s="7">
        <v>39828</v>
      </c>
    </row>
    <row r="11" spans="1:9" x14ac:dyDescent="0.2">
      <c r="A11" s="9">
        <v>7207</v>
      </c>
      <c r="B11" s="7" t="s">
        <v>156</v>
      </c>
      <c r="C11" s="7">
        <v>7207</v>
      </c>
      <c r="D11" s="7" t="s">
        <v>224</v>
      </c>
      <c r="E11" s="2" t="s">
        <v>42</v>
      </c>
      <c r="F11" s="7">
        <v>35167</v>
      </c>
    </row>
    <row r="12" spans="1:9" x14ac:dyDescent="0.2">
      <c r="A12" s="9">
        <v>7207</v>
      </c>
      <c r="B12" s="7" t="s">
        <v>156</v>
      </c>
      <c r="C12" s="7">
        <v>7207</v>
      </c>
      <c r="D12" s="7" t="s">
        <v>224</v>
      </c>
      <c r="E12" s="2" t="s">
        <v>64</v>
      </c>
      <c r="F12" s="7">
        <v>32235</v>
      </c>
    </row>
    <row r="13" spans="1:9" x14ac:dyDescent="0.2">
      <c r="A13" s="9">
        <v>7207</v>
      </c>
      <c r="B13" s="7" t="s">
        <v>156</v>
      </c>
      <c r="C13" s="7">
        <v>7207</v>
      </c>
      <c r="D13" s="7" t="s">
        <v>224</v>
      </c>
      <c r="E13" s="2" t="s">
        <v>38</v>
      </c>
      <c r="F13" s="7">
        <v>31219</v>
      </c>
    </row>
    <row r="14" spans="1:9" x14ac:dyDescent="0.2">
      <c r="A14" s="9">
        <v>7207</v>
      </c>
      <c r="B14" s="7" t="s">
        <v>156</v>
      </c>
      <c r="C14" s="7">
        <v>7207</v>
      </c>
      <c r="D14" s="7" t="s">
        <v>224</v>
      </c>
      <c r="E14" s="2" t="s">
        <v>80</v>
      </c>
      <c r="F14" s="7">
        <v>30203</v>
      </c>
    </row>
    <row r="15" spans="1:9" x14ac:dyDescent="0.2">
      <c r="A15" s="9">
        <v>7207</v>
      </c>
      <c r="B15" s="7" t="s">
        <v>156</v>
      </c>
      <c r="C15" s="7">
        <v>7207</v>
      </c>
      <c r="D15" s="7" t="s">
        <v>224</v>
      </c>
      <c r="E15" s="2" t="s">
        <v>35</v>
      </c>
      <c r="F15" s="7">
        <v>29004</v>
      </c>
    </row>
    <row r="16" spans="1:9" x14ac:dyDescent="0.2">
      <c r="A16" s="9">
        <v>7207</v>
      </c>
      <c r="B16" s="7" t="s">
        <v>156</v>
      </c>
      <c r="C16" s="7">
        <v>7207</v>
      </c>
      <c r="D16" s="7" t="s">
        <v>224</v>
      </c>
      <c r="E16" s="2" t="s">
        <v>47</v>
      </c>
      <c r="F16" s="7">
        <v>27002</v>
      </c>
    </row>
    <row r="17" spans="1:6" x14ac:dyDescent="0.2">
      <c r="A17" s="9">
        <v>7207</v>
      </c>
      <c r="B17" s="7" t="s">
        <v>156</v>
      </c>
      <c r="C17" s="7">
        <v>7207</v>
      </c>
      <c r="D17" s="7" t="s">
        <v>224</v>
      </c>
      <c r="E17" s="2" t="s">
        <v>37</v>
      </c>
      <c r="F17" s="7">
        <v>24196</v>
      </c>
    </row>
    <row r="18" spans="1:6" x14ac:dyDescent="0.2">
      <c r="A18" s="9">
        <v>7207</v>
      </c>
      <c r="B18" s="7" t="s">
        <v>156</v>
      </c>
      <c r="C18" s="7">
        <v>7207</v>
      </c>
      <c r="D18" s="7" t="s">
        <v>224</v>
      </c>
      <c r="E18" s="2" t="s">
        <v>66</v>
      </c>
      <c r="F18" s="7">
        <v>23227</v>
      </c>
    </row>
    <row r="19" spans="1:6" x14ac:dyDescent="0.2">
      <c r="A19" s="9">
        <v>7207</v>
      </c>
      <c r="B19" s="7" t="s">
        <v>156</v>
      </c>
      <c r="C19" s="7">
        <v>7207</v>
      </c>
      <c r="D19" s="7" t="s">
        <v>224</v>
      </c>
      <c r="E19" s="2" t="s">
        <v>50</v>
      </c>
      <c r="F19" s="7">
        <v>19964</v>
      </c>
    </row>
    <row r="20" spans="1:6" x14ac:dyDescent="0.2">
      <c r="A20" s="9">
        <v>7207</v>
      </c>
      <c r="B20" s="7" t="s">
        <v>156</v>
      </c>
      <c r="C20" s="7">
        <v>7207</v>
      </c>
      <c r="D20" s="7" t="s">
        <v>224</v>
      </c>
      <c r="E20" s="2" t="s">
        <v>46</v>
      </c>
      <c r="F20" s="7">
        <v>18363</v>
      </c>
    </row>
    <row r="21" spans="1:6" x14ac:dyDescent="0.2">
      <c r="A21" s="9">
        <v>7207</v>
      </c>
      <c r="B21" s="7" t="s">
        <v>156</v>
      </c>
      <c r="C21" s="7">
        <v>7207</v>
      </c>
      <c r="D21" s="7" t="s">
        <v>224</v>
      </c>
      <c r="E21" s="2" t="s">
        <v>62</v>
      </c>
      <c r="F21" s="7">
        <v>17362</v>
      </c>
    </row>
    <row r="22" spans="1:6" x14ac:dyDescent="0.2">
      <c r="A22" s="9">
        <v>7207</v>
      </c>
      <c r="B22" s="7" t="s">
        <v>156</v>
      </c>
      <c r="C22" s="7">
        <v>7207</v>
      </c>
      <c r="D22" s="7" t="s">
        <v>224</v>
      </c>
      <c r="E22" s="2" t="s">
        <v>154</v>
      </c>
      <c r="F22" s="7">
        <v>17046</v>
      </c>
    </row>
    <row r="23" spans="1:6" x14ac:dyDescent="0.2">
      <c r="A23" s="9">
        <v>7207</v>
      </c>
      <c r="B23" s="7" t="s">
        <v>156</v>
      </c>
      <c r="C23" s="7">
        <v>7207</v>
      </c>
      <c r="D23" s="7" t="s">
        <v>224</v>
      </c>
      <c r="E23" s="2" t="s">
        <v>34</v>
      </c>
      <c r="F23" s="7">
        <v>17003</v>
      </c>
    </row>
    <row r="24" spans="1:6" x14ac:dyDescent="0.2">
      <c r="A24" s="9">
        <v>7207</v>
      </c>
      <c r="B24" s="7" t="s">
        <v>156</v>
      </c>
      <c r="C24" s="7">
        <v>7207</v>
      </c>
      <c r="D24" s="7" t="s">
        <v>224</v>
      </c>
      <c r="E24" s="2" t="s">
        <v>56</v>
      </c>
      <c r="F24" s="7">
        <v>16316</v>
      </c>
    </row>
    <row r="25" spans="1:6" x14ac:dyDescent="0.2">
      <c r="A25" s="9">
        <v>7207</v>
      </c>
      <c r="B25" s="7" t="s">
        <v>156</v>
      </c>
      <c r="C25" s="7">
        <v>7207</v>
      </c>
      <c r="D25" s="7" t="s">
        <v>224</v>
      </c>
      <c r="E25" s="2" t="s">
        <v>72</v>
      </c>
      <c r="F25" s="7">
        <v>16152</v>
      </c>
    </row>
    <row r="26" spans="1:6" x14ac:dyDescent="0.2">
      <c r="A26" s="9">
        <v>7207</v>
      </c>
      <c r="B26" s="7" t="s">
        <v>156</v>
      </c>
      <c r="C26" s="7">
        <v>7207</v>
      </c>
      <c r="D26" s="7" t="s">
        <v>224</v>
      </c>
      <c r="E26" s="2" t="s">
        <v>79</v>
      </c>
      <c r="F26" s="7">
        <v>15279</v>
      </c>
    </row>
    <row r="27" spans="1:6" x14ac:dyDescent="0.2">
      <c r="A27" s="9">
        <v>7207</v>
      </c>
      <c r="B27" s="7" t="s">
        <v>156</v>
      </c>
      <c r="C27" s="7">
        <v>7207</v>
      </c>
      <c r="D27" s="7" t="s">
        <v>224</v>
      </c>
      <c r="E27" s="2" t="s">
        <v>92</v>
      </c>
      <c r="F27" s="7">
        <v>12816</v>
      </c>
    </row>
    <row r="28" spans="1:6" x14ac:dyDescent="0.2">
      <c r="A28" s="9">
        <v>7207</v>
      </c>
      <c r="B28" s="7" t="s">
        <v>156</v>
      </c>
      <c r="C28" s="7">
        <v>7207</v>
      </c>
      <c r="D28" s="7" t="s">
        <v>224</v>
      </c>
      <c r="E28" s="2" t="s">
        <v>41</v>
      </c>
      <c r="F28" s="7">
        <v>9538</v>
      </c>
    </row>
    <row r="29" spans="1:6" x14ac:dyDescent="0.2">
      <c r="A29" s="9">
        <v>7207</v>
      </c>
      <c r="B29" s="7" t="s">
        <v>156</v>
      </c>
      <c r="C29" s="7">
        <v>7207</v>
      </c>
      <c r="D29" s="7" t="s">
        <v>224</v>
      </c>
      <c r="E29" s="2" t="s">
        <v>78</v>
      </c>
      <c r="F29" s="7">
        <v>9259</v>
      </c>
    </row>
    <row r="30" spans="1:6" x14ac:dyDescent="0.2">
      <c r="A30" s="9">
        <v>7207</v>
      </c>
      <c r="B30" s="7" t="s">
        <v>156</v>
      </c>
      <c r="C30" s="7">
        <v>7207</v>
      </c>
      <c r="D30" s="7" t="s">
        <v>224</v>
      </c>
      <c r="E30" s="2" t="s">
        <v>93</v>
      </c>
      <c r="F30" s="7">
        <v>8746</v>
      </c>
    </row>
    <row r="31" spans="1:6" x14ac:dyDescent="0.2">
      <c r="A31" s="9">
        <v>7207</v>
      </c>
      <c r="B31" s="7" t="s">
        <v>156</v>
      </c>
      <c r="C31" s="7">
        <v>7207</v>
      </c>
      <c r="D31" s="7" t="s">
        <v>224</v>
      </c>
      <c r="E31" s="2" t="s">
        <v>44</v>
      </c>
      <c r="F31" s="7">
        <v>8103</v>
      </c>
    </row>
    <row r="32" spans="1:6" x14ac:dyDescent="0.2">
      <c r="A32" s="9">
        <v>7207</v>
      </c>
      <c r="B32" s="7" t="s">
        <v>156</v>
      </c>
      <c r="C32" s="7">
        <v>7207</v>
      </c>
      <c r="D32" s="7" t="s">
        <v>224</v>
      </c>
      <c r="E32" s="2" t="s">
        <v>60</v>
      </c>
      <c r="F32" s="7">
        <v>7753</v>
      </c>
    </row>
    <row r="33" spans="1:6" x14ac:dyDescent="0.2">
      <c r="A33" s="9">
        <v>7207</v>
      </c>
      <c r="B33" s="7" t="s">
        <v>156</v>
      </c>
      <c r="C33" s="7">
        <v>7207</v>
      </c>
      <c r="D33" s="7" t="s">
        <v>224</v>
      </c>
      <c r="E33" s="2" t="s">
        <v>155</v>
      </c>
      <c r="F33" s="7">
        <v>7461</v>
      </c>
    </row>
    <row r="34" spans="1:6" x14ac:dyDescent="0.2">
      <c r="A34" s="9">
        <v>7207</v>
      </c>
      <c r="B34" s="7" t="s">
        <v>156</v>
      </c>
      <c r="C34" s="7">
        <v>7207</v>
      </c>
      <c r="D34" s="7" t="s">
        <v>224</v>
      </c>
      <c r="E34" s="2" t="s">
        <v>68</v>
      </c>
      <c r="F34" s="7">
        <v>7319</v>
      </c>
    </row>
    <row r="35" spans="1:6" x14ac:dyDescent="0.2">
      <c r="A35" s="9">
        <v>7207</v>
      </c>
      <c r="B35" s="7" t="s">
        <v>156</v>
      </c>
      <c r="C35" s="7">
        <v>7207</v>
      </c>
      <c r="D35" s="7" t="s">
        <v>224</v>
      </c>
      <c r="E35" s="2" t="s">
        <v>75</v>
      </c>
      <c r="F35" s="7">
        <v>7033</v>
      </c>
    </row>
    <row r="36" spans="1:6" x14ac:dyDescent="0.2">
      <c r="A36" s="9">
        <v>7207</v>
      </c>
      <c r="B36" s="7" t="s">
        <v>156</v>
      </c>
      <c r="C36" s="7">
        <v>7207</v>
      </c>
      <c r="D36" s="7" t="s">
        <v>224</v>
      </c>
      <c r="E36" s="2" t="s">
        <v>74</v>
      </c>
      <c r="F36" s="7">
        <v>7022</v>
      </c>
    </row>
    <row r="37" spans="1:6" x14ac:dyDescent="0.2">
      <c r="A37" s="9">
        <v>7207</v>
      </c>
      <c r="B37" s="7" t="s">
        <v>156</v>
      </c>
      <c r="C37" s="7">
        <v>7207</v>
      </c>
      <c r="D37" s="7" t="s">
        <v>224</v>
      </c>
      <c r="E37" s="2" t="s">
        <v>51</v>
      </c>
      <c r="F37" s="7">
        <v>6496</v>
      </c>
    </row>
    <row r="38" spans="1:6" x14ac:dyDescent="0.2">
      <c r="A38" s="9">
        <v>7207</v>
      </c>
      <c r="B38" s="7" t="s">
        <v>156</v>
      </c>
      <c r="C38" s="7">
        <v>7207</v>
      </c>
      <c r="D38" s="7" t="s">
        <v>224</v>
      </c>
      <c r="E38" s="2" t="s">
        <v>54</v>
      </c>
      <c r="F38" s="7">
        <v>6106</v>
      </c>
    </row>
    <row r="39" spans="1:6" x14ac:dyDescent="0.2">
      <c r="A39" s="9">
        <v>7207</v>
      </c>
      <c r="B39" s="7" t="s">
        <v>156</v>
      </c>
      <c r="C39" s="7">
        <v>7207</v>
      </c>
      <c r="D39" s="7" t="s">
        <v>224</v>
      </c>
      <c r="E39" s="2" t="s">
        <v>102</v>
      </c>
      <c r="F39" s="7">
        <v>5973</v>
      </c>
    </row>
    <row r="40" spans="1:6" x14ac:dyDescent="0.2">
      <c r="A40" s="9">
        <v>7207</v>
      </c>
      <c r="B40" s="7" t="s">
        <v>156</v>
      </c>
      <c r="C40" s="7">
        <v>7207</v>
      </c>
      <c r="D40" s="7" t="s">
        <v>224</v>
      </c>
      <c r="E40" s="2" t="s">
        <v>61</v>
      </c>
      <c r="F40" s="7">
        <v>5619</v>
      </c>
    </row>
    <row r="41" spans="1:6" x14ac:dyDescent="0.2">
      <c r="A41" s="9">
        <v>7207</v>
      </c>
      <c r="B41" s="7" t="s">
        <v>156</v>
      </c>
      <c r="C41" s="7">
        <v>7207</v>
      </c>
      <c r="D41" s="7" t="s">
        <v>224</v>
      </c>
      <c r="E41" s="2" t="s">
        <v>95</v>
      </c>
      <c r="F41" s="7">
        <v>5304</v>
      </c>
    </row>
    <row r="42" spans="1:6" x14ac:dyDescent="0.2">
      <c r="A42" s="9">
        <v>7207</v>
      </c>
      <c r="B42" s="7" t="s">
        <v>156</v>
      </c>
      <c r="C42" s="7">
        <v>7207</v>
      </c>
      <c r="D42" s="7" t="s">
        <v>224</v>
      </c>
      <c r="E42" s="2" t="s">
        <v>104</v>
      </c>
      <c r="F42" s="7">
        <v>4996</v>
      </c>
    </row>
    <row r="43" spans="1:6" x14ac:dyDescent="0.2">
      <c r="A43" s="9">
        <v>7207</v>
      </c>
      <c r="B43" s="7" t="s">
        <v>156</v>
      </c>
      <c r="C43" s="7">
        <v>7207</v>
      </c>
      <c r="D43" s="7" t="s">
        <v>224</v>
      </c>
      <c r="E43" s="2" t="s">
        <v>76</v>
      </c>
      <c r="F43" s="7">
        <v>4846</v>
      </c>
    </row>
    <row r="44" spans="1:6" x14ac:dyDescent="0.2">
      <c r="A44" s="9">
        <v>7207</v>
      </c>
      <c r="B44" s="7" t="s">
        <v>156</v>
      </c>
      <c r="C44" s="7">
        <v>7207</v>
      </c>
      <c r="D44" s="7" t="s">
        <v>224</v>
      </c>
      <c r="E44" s="2" t="s">
        <v>89</v>
      </c>
      <c r="F44" s="7">
        <v>4836</v>
      </c>
    </row>
    <row r="45" spans="1:6" x14ac:dyDescent="0.2">
      <c r="A45" s="9">
        <v>7207</v>
      </c>
      <c r="B45" s="7" t="s">
        <v>156</v>
      </c>
      <c r="C45" s="7">
        <v>7207</v>
      </c>
      <c r="D45" s="7" t="s">
        <v>224</v>
      </c>
      <c r="E45" s="2" t="s">
        <v>82</v>
      </c>
      <c r="F45" s="7">
        <v>4711</v>
      </c>
    </row>
    <row r="46" spans="1:6" x14ac:dyDescent="0.2">
      <c r="A46" s="9">
        <v>7207</v>
      </c>
      <c r="B46" s="7" t="s">
        <v>156</v>
      </c>
      <c r="C46" s="7">
        <v>7207</v>
      </c>
      <c r="D46" s="7" t="s">
        <v>224</v>
      </c>
      <c r="E46" s="2" t="s">
        <v>77</v>
      </c>
      <c r="F46" s="7">
        <v>4204</v>
      </c>
    </row>
    <row r="47" spans="1:6" x14ac:dyDescent="0.2">
      <c r="A47" s="9">
        <v>7207</v>
      </c>
      <c r="B47" s="7" t="s">
        <v>156</v>
      </c>
      <c r="C47" s="7">
        <v>7207</v>
      </c>
      <c r="D47" s="7" t="s">
        <v>224</v>
      </c>
      <c r="E47" s="2" t="s">
        <v>57</v>
      </c>
      <c r="F47" s="7">
        <v>3672</v>
      </c>
    </row>
    <row r="48" spans="1:6" x14ac:dyDescent="0.2">
      <c r="A48" s="9">
        <v>7207</v>
      </c>
      <c r="B48" s="7" t="s">
        <v>156</v>
      </c>
      <c r="C48" s="7">
        <v>7207</v>
      </c>
      <c r="D48" s="7" t="s">
        <v>224</v>
      </c>
      <c r="E48" s="2" t="s">
        <v>73</v>
      </c>
      <c r="F48" s="7">
        <v>3009</v>
      </c>
    </row>
    <row r="49" spans="1:6" x14ac:dyDescent="0.2">
      <c r="A49" s="9">
        <v>7207</v>
      </c>
      <c r="B49" s="7" t="s">
        <v>156</v>
      </c>
      <c r="C49" s="7">
        <v>7207</v>
      </c>
      <c r="D49" s="7" t="s">
        <v>224</v>
      </c>
      <c r="E49" s="2" t="s">
        <v>45</v>
      </c>
      <c r="F49" s="7">
        <v>2379</v>
      </c>
    </row>
    <row r="50" spans="1:6" x14ac:dyDescent="0.2">
      <c r="A50" s="9">
        <v>7207</v>
      </c>
      <c r="B50" s="7" t="s">
        <v>156</v>
      </c>
      <c r="C50" s="7">
        <v>7207</v>
      </c>
      <c r="D50" s="7" t="s">
        <v>224</v>
      </c>
      <c r="E50" s="2" t="s">
        <v>87</v>
      </c>
      <c r="F50" s="7">
        <v>2228</v>
      </c>
    </row>
    <row r="51" spans="1:6" x14ac:dyDescent="0.2">
      <c r="A51" s="9">
        <v>7207</v>
      </c>
      <c r="B51" s="7" t="s">
        <v>156</v>
      </c>
      <c r="C51" s="7">
        <v>7207</v>
      </c>
      <c r="D51" s="7" t="s">
        <v>224</v>
      </c>
      <c r="E51" s="2" t="s">
        <v>110</v>
      </c>
      <c r="F51" s="7">
        <v>2176</v>
      </c>
    </row>
    <row r="52" spans="1:6" x14ac:dyDescent="0.2">
      <c r="A52" s="9">
        <v>7207</v>
      </c>
      <c r="B52" s="7" t="s">
        <v>156</v>
      </c>
      <c r="C52" s="7">
        <v>7207</v>
      </c>
      <c r="D52" s="7" t="s">
        <v>224</v>
      </c>
      <c r="E52" s="2" t="s">
        <v>52</v>
      </c>
      <c r="F52" s="7">
        <v>2117</v>
      </c>
    </row>
    <row r="53" spans="1:6" x14ac:dyDescent="0.2">
      <c r="A53" s="9">
        <v>7207</v>
      </c>
      <c r="B53" s="7" t="s">
        <v>156</v>
      </c>
      <c r="C53" s="7">
        <v>7207</v>
      </c>
      <c r="D53" s="7" t="s">
        <v>224</v>
      </c>
      <c r="E53" s="2" t="s">
        <v>69</v>
      </c>
      <c r="F53" s="7">
        <v>2114</v>
      </c>
    </row>
    <row r="54" spans="1:6" x14ac:dyDescent="0.2">
      <c r="A54" s="9">
        <v>7207</v>
      </c>
      <c r="B54" s="7" t="s">
        <v>156</v>
      </c>
      <c r="C54" s="7">
        <v>7207</v>
      </c>
      <c r="D54" s="7" t="s">
        <v>224</v>
      </c>
      <c r="E54" s="2" t="s">
        <v>59</v>
      </c>
      <c r="F54" s="7">
        <v>2001</v>
      </c>
    </row>
    <row r="55" spans="1:6" x14ac:dyDescent="0.2">
      <c r="A55" s="9">
        <v>7207</v>
      </c>
      <c r="B55" s="7" t="s">
        <v>156</v>
      </c>
      <c r="C55" s="7">
        <v>7207</v>
      </c>
      <c r="D55" s="7" t="s">
        <v>224</v>
      </c>
      <c r="E55" s="2" t="s">
        <v>113</v>
      </c>
      <c r="F55" s="7">
        <v>1979</v>
      </c>
    </row>
    <row r="56" spans="1:6" x14ac:dyDescent="0.2">
      <c r="A56" s="9">
        <v>7207</v>
      </c>
      <c r="B56" s="7" t="s">
        <v>156</v>
      </c>
      <c r="C56" s="7">
        <v>7207</v>
      </c>
      <c r="D56" s="7" t="s">
        <v>224</v>
      </c>
      <c r="E56" s="2" t="s">
        <v>49</v>
      </c>
      <c r="F56" s="7">
        <v>1863</v>
      </c>
    </row>
    <row r="57" spans="1:6" x14ac:dyDescent="0.2">
      <c r="A57" s="9">
        <v>7207</v>
      </c>
      <c r="B57" s="7" t="s">
        <v>156</v>
      </c>
      <c r="C57" s="7">
        <v>7207</v>
      </c>
      <c r="D57" s="7" t="s">
        <v>224</v>
      </c>
      <c r="E57" s="2" t="s">
        <v>91</v>
      </c>
      <c r="F57" s="7">
        <v>1842</v>
      </c>
    </row>
    <row r="58" spans="1:6" x14ac:dyDescent="0.2">
      <c r="A58" s="9">
        <v>7207</v>
      </c>
      <c r="B58" s="7" t="s">
        <v>156</v>
      </c>
      <c r="C58" s="7">
        <v>7207</v>
      </c>
      <c r="D58" s="7" t="s">
        <v>224</v>
      </c>
      <c r="E58" s="2" t="s">
        <v>55</v>
      </c>
      <c r="F58" s="7">
        <v>1407</v>
      </c>
    </row>
    <row r="59" spans="1:6" x14ac:dyDescent="0.2">
      <c r="A59" s="9">
        <v>7207</v>
      </c>
      <c r="B59" s="7" t="s">
        <v>156</v>
      </c>
      <c r="C59" s="7">
        <v>7207</v>
      </c>
      <c r="D59" s="7" t="s">
        <v>224</v>
      </c>
      <c r="E59" s="2" t="s">
        <v>99</v>
      </c>
      <c r="F59" s="7">
        <v>1376</v>
      </c>
    </row>
    <row r="60" spans="1:6" x14ac:dyDescent="0.2">
      <c r="A60" s="9">
        <v>7207</v>
      </c>
      <c r="B60" s="7" t="s">
        <v>156</v>
      </c>
      <c r="C60" s="7">
        <v>7207</v>
      </c>
      <c r="D60" s="7" t="s">
        <v>224</v>
      </c>
      <c r="E60" s="2" t="s">
        <v>53</v>
      </c>
      <c r="F60" s="7">
        <v>1056</v>
      </c>
    </row>
    <row r="61" spans="1:6" x14ac:dyDescent="0.2">
      <c r="A61" s="9">
        <v>7207</v>
      </c>
      <c r="B61" s="7" t="s">
        <v>156</v>
      </c>
      <c r="C61" s="7">
        <v>7207</v>
      </c>
      <c r="D61" s="7" t="s">
        <v>224</v>
      </c>
      <c r="E61" s="2" t="s">
        <v>97</v>
      </c>
      <c r="F61" s="7">
        <v>1010</v>
      </c>
    </row>
    <row r="62" spans="1:6" x14ac:dyDescent="0.2">
      <c r="A62" s="9">
        <v>7207</v>
      </c>
      <c r="B62" s="7" t="s">
        <v>156</v>
      </c>
      <c r="C62" s="7">
        <v>7207</v>
      </c>
      <c r="D62" s="7" t="s">
        <v>224</v>
      </c>
      <c r="E62" s="2" t="s">
        <v>81</v>
      </c>
      <c r="F62" s="7">
        <v>985</v>
      </c>
    </row>
    <row r="63" spans="1:6" x14ac:dyDescent="0.2">
      <c r="A63" s="9">
        <v>7207</v>
      </c>
      <c r="B63" s="7" t="s">
        <v>156</v>
      </c>
      <c r="C63" s="7">
        <v>7207</v>
      </c>
      <c r="D63" s="7" t="s">
        <v>224</v>
      </c>
      <c r="E63" s="2" t="s">
        <v>70</v>
      </c>
      <c r="F63" s="7">
        <v>874</v>
      </c>
    </row>
    <row r="64" spans="1:6" x14ac:dyDescent="0.2">
      <c r="A64" s="9">
        <v>7207</v>
      </c>
      <c r="B64" s="7" t="s">
        <v>156</v>
      </c>
      <c r="C64" s="7">
        <v>7207</v>
      </c>
      <c r="D64" s="7" t="s">
        <v>224</v>
      </c>
      <c r="E64" s="2" t="s">
        <v>111</v>
      </c>
      <c r="F64" s="7">
        <v>862</v>
      </c>
    </row>
    <row r="65" spans="1:6" x14ac:dyDescent="0.2">
      <c r="A65" s="9">
        <v>7207</v>
      </c>
      <c r="B65" s="7" t="s">
        <v>156</v>
      </c>
      <c r="C65" s="7">
        <v>7207</v>
      </c>
      <c r="D65" s="7" t="s">
        <v>224</v>
      </c>
      <c r="E65" s="2" t="s">
        <v>71</v>
      </c>
      <c r="F65" s="7">
        <v>823</v>
      </c>
    </row>
    <row r="66" spans="1:6" x14ac:dyDescent="0.2">
      <c r="A66" s="9">
        <v>7207</v>
      </c>
      <c r="B66" s="7" t="s">
        <v>156</v>
      </c>
      <c r="C66" s="7">
        <v>7207</v>
      </c>
      <c r="D66" s="7" t="s">
        <v>224</v>
      </c>
      <c r="E66" s="2" t="s">
        <v>39</v>
      </c>
      <c r="F66" s="7">
        <v>796</v>
      </c>
    </row>
    <row r="67" spans="1:6" x14ac:dyDescent="0.2">
      <c r="A67" s="9">
        <v>7207</v>
      </c>
      <c r="B67" s="7" t="s">
        <v>156</v>
      </c>
      <c r="C67" s="7">
        <v>7207</v>
      </c>
      <c r="D67" s="7" t="s">
        <v>224</v>
      </c>
      <c r="E67" s="2" t="s">
        <v>85</v>
      </c>
      <c r="F67" s="7">
        <v>702</v>
      </c>
    </row>
    <row r="68" spans="1:6" x14ac:dyDescent="0.2">
      <c r="A68" s="9">
        <v>7207</v>
      </c>
      <c r="B68" s="7" t="s">
        <v>156</v>
      </c>
      <c r="C68" s="7">
        <v>7207</v>
      </c>
      <c r="D68" s="7" t="s">
        <v>224</v>
      </c>
      <c r="E68" s="2" t="s">
        <v>43</v>
      </c>
      <c r="F68" s="7">
        <v>622</v>
      </c>
    </row>
    <row r="69" spans="1:6" x14ac:dyDescent="0.2">
      <c r="A69" s="9">
        <v>7207</v>
      </c>
      <c r="B69" s="7" t="s">
        <v>156</v>
      </c>
      <c r="C69" s="7">
        <v>7207</v>
      </c>
      <c r="D69" s="7" t="s">
        <v>224</v>
      </c>
      <c r="E69" s="2" t="s">
        <v>65</v>
      </c>
      <c r="F69" s="7">
        <v>518</v>
      </c>
    </row>
    <row r="70" spans="1:6" x14ac:dyDescent="0.2">
      <c r="A70" s="9">
        <v>7207</v>
      </c>
      <c r="B70" s="7" t="s">
        <v>156</v>
      </c>
      <c r="C70" s="7">
        <v>7207</v>
      </c>
      <c r="D70" s="7" t="s">
        <v>224</v>
      </c>
      <c r="E70" s="2" t="s">
        <v>86</v>
      </c>
      <c r="F70" s="7">
        <v>506</v>
      </c>
    </row>
    <row r="71" spans="1:6" x14ac:dyDescent="0.2">
      <c r="A71" s="9">
        <v>7207</v>
      </c>
      <c r="B71" s="7" t="s">
        <v>156</v>
      </c>
      <c r="C71" s="7">
        <v>7207</v>
      </c>
      <c r="D71" s="7" t="s">
        <v>224</v>
      </c>
      <c r="E71" s="2" t="s">
        <v>67</v>
      </c>
      <c r="F71" s="7">
        <v>481</v>
      </c>
    </row>
    <row r="72" spans="1:6" x14ac:dyDescent="0.2">
      <c r="A72" s="9">
        <v>7207</v>
      </c>
      <c r="B72" s="7" t="s">
        <v>156</v>
      </c>
      <c r="C72" s="7">
        <v>7207</v>
      </c>
      <c r="D72" s="7" t="s">
        <v>224</v>
      </c>
      <c r="E72" s="2" t="s">
        <v>106</v>
      </c>
      <c r="F72" s="7">
        <v>464</v>
      </c>
    </row>
    <row r="73" spans="1:6" x14ac:dyDescent="0.2">
      <c r="A73" s="9">
        <v>7207</v>
      </c>
      <c r="B73" s="7" t="s">
        <v>156</v>
      </c>
      <c r="C73" s="7">
        <v>7207</v>
      </c>
      <c r="D73" s="7" t="s">
        <v>224</v>
      </c>
      <c r="E73" s="2" t="s">
        <v>83</v>
      </c>
      <c r="F73" s="7">
        <v>372</v>
      </c>
    </row>
    <row r="74" spans="1:6" x14ac:dyDescent="0.2">
      <c r="A74" s="9">
        <v>7207</v>
      </c>
      <c r="B74" s="7" t="s">
        <v>156</v>
      </c>
      <c r="C74" s="7">
        <v>7207</v>
      </c>
      <c r="D74" s="7" t="s">
        <v>224</v>
      </c>
      <c r="E74" s="2" t="s">
        <v>63</v>
      </c>
      <c r="F74" s="7">
        <v>311</v>
      </c>
    </row>
    <row r="75" spans="1:6" x14ac:dyDescent="0.2">
      <c r="A75" s="9">
        <v>7207</v>
      </c>
      <c r="B75" s="7" t="s">
        <v>156</v>
      </c>
      <c r="C75" s="7">
        <v>7207</v>
      </c>
      <c r="D75" s="7" t="s">
        <v>224</v>
      </c>
      <c r="E75" s="2" t="s">
        <v>90</v>
      </c>
      <c r="F75" s="7">
        <v>196</v>
      </c>
    </row>
    <row r="76" spans="1:6" x14ac:dyDescent="0.2">
      <c r="A76" s="8" t="s">
        <v>31</v>
      </c>
      <c r="E76" s="2"/>
      <c r="F76" s="8">
        <f>SUM(F6:F75)</f>
        <v>765990</v>
      </c>
    </row>
    <row r="77" spans="1:6" x14ac:dyDescent="0.2">
      <c r="E77" s="2"/>
    </row>
    <row r="78" spans="1:6" x14ac:dyDescent="0.2">
      <c r="E78" s="2"/>
    </row>
    <row r="79" spans="1:6" x14ac:dyDescent="0.2">
      <c r="E79" s="2"/>
    </row>
    <row r="80" spans="1:6" x14ac:dyDescent="0.2">
      <c r="E80" s="2"/>
    </row>
    <row r="81" spans="5:5" x14ac:dyDescent="0.2">
      <c r="E81" s="2"/>
    </row>
    <row r="82" spans="5:5" x14ac:dyDescent="0.2">
      <c r="E82" s="2"/>
    </row>
    <row r="83" spans="5:5" x14ac:dyDescent="0.2">
      <c r="E83" s="2"/>
    </row>
    <row r="84" spans="5:5" x14ac:dyDescent="0.2">
      <c r="E84" s="2"/>
    </row>
    <row r="85" spans="5:5" x14ac:dyDescent="0.2">
      <c r="E85" s="2"/>
    </row>
    <row r="86" spans="5:5" x14ac:dyDescent="0.2">
      <c r="E86" s="2"/>
    </row>
    <row r="87" spans="5:5" x14ac:dyDescent="0.2">
      <c r="E87" s="2"/>
    </row>
    <row r="88" spans="5:5" x14ac:dyDescent="0.2">
      <c r="E88" s="2"/>
    </row>
    <row r="89" spans="5:5" x14ac:dyDescent="0.2">
      <c r="E89" s="2"/>
    </row>
    <row r="90" spans="5:5" x14ac:dyDescent="0.2">
      <c r="E90" s="2"/>
    </row>
    <row r="91" spans="5:5" x14ac:dyDescent="0.2">
      <c r="E91" s="2"/>
    </row>
    <row r="92" spans="5:5" x14ac:dyDescent="0.2">
      <c r="E92" s="2"/>
    </row>
    <row r="93" spans="5:5" x14ac:dyDescent="0.2">
      <c r="E93" s="2"/>
    </row>
    <row r="94" spans="5:5" x14ac:dyDescent="0.2">
      <c r="E94" s="2"/>
    </row>
    <row r="95" spans="5:5" x14ac:dyDescent="0.2">
      <c r="E95" s="2"/>
    </row>
    <row r="96" spans="5:5" x14ac:dyDescent="0.2">
      <c r="E96" s="2"/>
    </row>
    <row r="97" spans="5:5" x14ac:dyDescent="0.2">
      <c r="E97" s="2"/>
    </row>
    <row r="98" spans="5:5" x14ac:dyDescent="0.2">
      <c r="E98" s="2"/>
    </row>
    <row r="99" spans="5:5" x14ac:dyDescent="0.2">
      <c r="E99" s="2"/>
    </row>
    <row r="100" spans="5:5" x14ac:dyDescent="0.2">
      <c r="E100" s="2"/>
    </row>
    <row r="101" spans="5:5" x14ac:dyDescent="0.2">
      <c r="E101" s="2"/>
    </row>
    <row r="102" spans="5:5" x14ac:dyDescent="0.2">
      <c r="E102" s="2"/>
    </row>
    <row r="103" spans="5:5" x14ac:dyDescent="0.2">
      <c r="E103" s="2"/>
    </row>
    <row r="104" spans="5:5" x14ac:dyDescent="0.2">
      <c r="E104" s="2"/>
    </row>
    <row r="105" spans="5:5" x14ac:dyDescent="0.2">
      <c r="E105" s="2"/>
    </row>
    <row r="106" spans="5:5" x14ac:dyDescent="0.2">
      <c r="E106" s="2"/>
    </row>
    <row r="107" spans="5:5" x14ac:dyDescent="0.2">
      <c r="E107" s="2"/>
    </row>
    <row r="108" spans="5:5" x14ac:dyDescent="0.2">
      <c r="E108" s="2"/>
    </row>
    <row r="109" spans="5:5" x14ac:dyDescent="0.2">
      <c r="E109" s="2"/>
    </row>
    <row r="110" spans="5:5" x14ac:dyDescent="0.2">
      <c r="E110" s="2"/>
    </row>
    <row r="111" spans="5:5" x14ac:dyDescent="0.2">
      <c r="E111" s="2"/>
    </row>
    <row r="112" spans="5:5" x14ac:dyDescent="0.2">
      <c r="E112" s="2"/>
    </row>
    <row r="113" spans="5:5" x14ac:dyDescent="0.2">
      <c r="E113" s="2"/>
    </row>
    <row r="114" spans="5:5" x14ac:dyDescent="0.2">
      <c r="E114" s="2"/>
    </row>
    <row r="115" spans="5:5" x14ac:dyDescent="0.2">
      <c r="E115" s="2"/>
    </row>
    <row r="116" spans="5:5" x14ac:dyDescent="0.2">
      <c r="E116" s="2"/>
    </row>
    <row r="117" spans="5:5" x14ac:dyDescent="0.2">
      <c r="E117" s="2"/>
    </row>
    <row r="118" spans="5:5" x14ac:dyDescent="0.2">
      <c r="E118" s="2"/>
    </row>
    <row r="119" spans="5:5" x14ac:dyDescent="0.2">
      <c r="E119" s="2"/>
    </row>
    <row r="120" spans="5:5" x14ac:dyDescent="0.2">
      <c r="E120" s="2"/>
    </row>
    <row r="121" spans="5:5" x14ac:dyDescent="0.2">
      <c r="E121" s="2"/>
    </row>
    <row r="122" spans="5:5" x14ac:dyDescent="0.2">
      <c r="E122" s="2"/>
    </row>
    <row r="123" spans="5:5" x14ac:dyDescent="0.2">
      <c r="E123" s="2"/>
    </row>
    <row r="124" spans="5:5" x14ac:dyDescent="0.2">
      <c r="E124" s="2"/>
    </row>
    <row r="125" spans="5:5" x14ac:dyDescent="0.2">
      <c r="E125" s="2"/>
    </row>
    <row r="126" spans="5:5" x14ac:dyDescent="0.2">
      <c r="E126" s="2"/>
    </row>
    <row r="127" spans="5:5" x14ac:dyDescent="0.2">
      <c r="E127" s="2"/>
    </row>
    <row r="128" spans="5:5" x14ac:dyDescent="0.2">
      <c r="E128" s="2"/>
    </row>
    <row r="129" spans="5:5" x14ac:dyDescent="0.2">
      <c r="E129" s="2"/>
    </row>
    <row r="130" spans="5:5" x14ac:dyDescent="0.2">
      <c r="E130" s="2"/>
    </row>
    <row r="131" spans="5:5" x14ac:dyDescent="0.2">
      <c r="E131" s="2"/>
    </row>
    <row r="132" spans="5:5" x14ac:dyDescent="0.2">
      <c r="E132" s="2"/>
    </row>
    <row r="133" spans="5:5" x14ac:dyDescent="0.2">
      <c r="E133" s="2"/>
    </row>
    <row r="134" spans="5:5" x14ac:dyDescent="0.2">
      <c r="E134" s="2"/>
    </row>
    <row r="135" spans="5:5" x14ac:dyDescent="0.2">
      <c r="E135" s="2"/>
    </row>
    <row r="136" spans="5:5" x14ac:dyDescent="0.2">
      <c r="E136" s="2"/>
    </row>
    <row r="137" spans="5:5" x14ac:dyDescent="0.2">
      <c r="E137" s="2"/>
    </row>
    <row r="138" spans="5:5" x14ac:dyDescent="0.2">
      <c r="E138" s="2"/>
    </row>
    <row r="139" spans="5:5" x14ac:dyDescent="0.2">
      <c r="E139" s="2"/>
    </row>
    <row r="140" spans="5:5" x14ac:dyDescent="0.2">
      <c r="E140" s="2"/>
    </row>
    <row r="141" spans="5:5" x14ac:dyDescent="0.2">
      <c r="E141" s="2"/>
    </row>
    <row r="142" spans="5:5" x14ac:dyDescent="0.2">
      <c r="E142" s="2"/>
    </row>
    <row r="143" spans="5:5" x14ac:dyDescent="0.2">
      <c r="E143" s="2"/>
    </row>
    <row r="144" spans="5:5" x14ac:dyDescent="0.2">
      <c r="E144" s="2"/>
    </row>
    <row r="145" spans="5:5" x14ac:dyDescent="0.2">
      <c r="E145" s="2"/>
    </row>
    <row r="146" spans="5:5" x14ac:dyDescent="0.2">
      <c r="E146" s="2"/>
    </row>
    <row r="147" spans="5:5" x14ac:dyDescent="0.2">
      <c r="E147" s="2"/>
    </row>
    <row r="148" spans="5:5" x14ac:dyDescent="0.2">
      <c r="E148" s="2"/>
    </row>
    <row r="149" spans="5:5" x14ac:dyDescent="0.2">
      <c r="E149" s="2"/>
    </row>
    <row r="150" spans="5:5" x14ac:dyDescent="0.2">
      <c r="E150" s="2"/>
    </row>
  </sheetData>
  <sortState xmlns:xlrd2="http://schemas.microsoft.com/office/spreadsheetml/2017/richdata2" ref="E7:H85">
    <sortCondition descending="1" ref="F6:F8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9BAB6-4184-7749-990C-64A83475CB69}">
  <dimension ref="A1:K44"/>
  <sheetViews>
    <sheetView workbookViewId="0">
      <selection activeCell="J17" sqref="J17"/>
    </sheetView>
  </sheetViews>
  <sheetFormatPr baseColWidth="10" defaultRowHeight="15" x14ac:dyDescent="0.2"/>
  <cols>
    <col min="2" max="2" width="22.5" customWidth="1"/>
    <col min="3" max="3" width="40" customWidth="1"/>
    <col min="4" max="4" width="22.5" customWidth="1"/>
    <col min="5" max="5" width="26.5" customWidth="1"/>
  </cols>
  <sheetData>
    <row r="1" spans="1:11" x14ac:dyDescent="0.2">
      <c r="A1" s="1" t="s">
        <v>201</v>
      </c>
      <c r="B1" s="1"/>
      <c r="C1" s="1"/>
      <c r="D1" s="1"/>
      <c r="E1" s="1"/>
      <c r="F1" s="1"/>
      <c r="G1" s="1"/>
    </row>
    <row r="2" spans="1:11" x14ac:dyDescent="0.2">
      <c r="A2" s="1" t="s">
        <v>0</v>
      </c>
      <c r="B2" s="1"/>
      <c r="C2" s="1"/>
      <c r="D2" s="23"/>
      <c r="E2" s="20"/>
      <c r="F2" s="20"/>
      <c r="G2" s="1"/>
    </row>
    <row r="3" spans="1:11" x14ac:dyDescent="0.2">
      <c r="A3" s="1" t="s">
        <v>157</v>
      </c>
      <c r="B3" s="1"/>
      <c r="C3" s="1"/>
      <c r="D3" s="1"/>
      <c r="E3" s="1"/>
      <c r="F3" s="1"/>
      <c r="G3" s="3"/>
    </row>
    <row r="4" spans="1:11" x14ac:dyDescent="0.2">
      <c r="A4" s="1" t="s">
        <v>115</v>
      </c>
      <c r="B4" s="1"/>
      <c r="C4" s="1"/>
      <c r="D4" s="1"/>
      <c r="E4" s="1"/>
      <c r="F4" s="1"/>
      <c r="G4" s="1"/>
    </row>
    <row r="5" spans="1:11" x14ac:dyDescent="0.2">
      <c r="A5" s="5" t="s">
        <v>3</v>
      </c>
      <c r="B5" s="5" t="s">
        <v>4</v>
      </c>
      <c r="C5" s="5" t="s">
        <v>6</v>
      </c>
      <c r="D5" s="5" t="s">
        <v>116</v>
      </c>
      <c r="E5" s="6" t="s">
        <v>8</v>
      </c>
      <c r="F5" s="6"/>
      <c r="G5" s="6"/>
    </row>
    <row r="6" spans="1:11" x14ac:dyDescent="0.2">
      <c r="A6" s="5"/>
      <c r="B6" s="5"/>
      <c r="C6" s="5"/>
      <c r="D6" s="5"/>
      <c r="E6" s="6"/>
      <c r="F6" s="6"/>
      <c r="G6" s="6"/>
    </row>
    <row r="7" spans="1:11" x14ac:dyDescent="0.2">
      <c r="A7" s="7" t="s">
        <v>158</v>
      </c>
      <c r="B7" s="7" t="s">
        <v>159</v>
      </c>
      <c r="C7" s="7" t="s">
        <v>225</v>
      </c>
      <c r="D7" s="2" t="s">
        <v>119</v>
      </c>
      <c r="E7" s="2">
        <v>102789</v>
      </c>
      <c r="F7" s="2"/>
      <c r="G7" s="2"/>
      <c r="H7" s="2"/>
    </row>
    <row r="8" spans="1:11" x14ac:dyDescent="0.2">
      <c r="A8" s="7" t="s">
        <v>158</v>
      </c>
      <c r="B8" s="7" t="s">
        <v>159</v>
      </c>
      <c r="C8" s="7" t="s">
        <v>225</v>
      </c>
      <c r="D8" s="2" t="s">
        <v>120</v>
      </c>
      <c r="E8" s="2">
        <v>85777</v>
      </c>
      <c r="F8" s="2"/>
      <c r="G8" s="2"/>
      <c r="H8" s="2"/>
    </row>
    <row r="9" spans="1:11" x14ac:dyDescent="0.2">
      <c r="A9" s="7" t="s">
        <v>158</v>
      </c>
      <c r="B9" s="7" t="s">
        <v>159</v>
      </c>
      <c r="C9" s="7" t="s">
        <v>225</v>
      </c>
      <c r="D9" s="2" t="s">
        <v>122</v>
      </c>
      <c r="E9" s="2">
        <v>73672</v>
      </c>
      <c r="F9" s="2"/>
      <c r="G9" s="2"/>
      <c r="H9" s="2"/>
      <c r="I9" s="2"/>
      <c r="K9" s="2"/>
    </row>
    <row r="10" spans="1:11" x14ac:dyDescent="0.2">
      <c r="A10" s="7" t="s">
        <v>158</v>
      </c>
      <c r="B10" s="7" t="s">
        <v>159</v>
      </c>
      <c r="C10" s="7" t="s">
        <v>225</v>
      </c>
      <c r="D10" s="2" t="s">
        <v>160</v>
      </c>
      <c r="E10" s="2">
        <v>67384</v>
      </c>
      <c r="F10" s="2"/>
      <c r="G10" s="2"/>
      <c r="H10" s="2"/>
    </row>
    <row r="11" spans="1:11" x14ac:dyDescent="0.2">
      <c r="A11" s="7" t="s">
        <v>158</v>
      </c>
      <c r="B11" s="7" t="s">
        <v>159</v>
      </c>
      <c r="C11" s="7" t="s">
        <v>225</v>
      </c>
      <c r="D11" s="2" t="s">
        <v>121</v>
      </c>
      <c r="E11" s="2">
        <v>59056</v>
      </c>
      <c r="F11" s="2"/>
      <c r="G11" s="2"/>
      <c r="H11" s="2"/>
    </row>
    <row r="12" spans="1:11" x14ac:dyDescent="0.2">
      <c r="A12" s="7" t="s">
        <v>158</v>
      </c>
      <c r="B12" s="7" t="s">
        <v>159</v>
      </c>
      <c r="C12" s="7" t="s">
        <v>225</v>
      </c>
      <c r="D12" s="2" t="s">
        <v>124</v>
      </c>
      <c r="E12" s="2">
        <v>50882</v>
      </c>
      <c r="F12" s="2"/>
      <c r="G12" s="2"/>
      <c r="H12" s="2"/>
    </row>
    <row r="13" spans="1:11" x14ac:dyDescent="0.2">
      <c r="A13" s="7" t="s">
        <v>158</v>
      </c>
      <c r="B13" s="7" t="s">
        <v>159</v>
      </c>
      <c r="C13" s="7" t="s">
        <v>225</v>
      </c>
      <c r="D13" s="2" t="s">
        <v>123</v>
      </c>
      <c r="E13" s="2">
        <v>42737</v>
      </c>
      <c r="F13" s="2"/>
      <c r="G13" s="2"/>
      <c r="H13" s="2"/>
      <c r="I13" s="2"/>
    </row>
    <row r="14" spans="1:11" x14ac:dyDescent="0.2">
      <c r="A14" s="7" t="s">
        <v>158</v>
      </c>
      <c r="B14" s="7" t="s">
        <v>159</v>
      </c>
      <c r="C14" s="7" t="s">
        <v>225</v>
      </c>
      <c r="D14" s="2" t="s">
        <v>161</v>
      </c>
      <c r="E14" s="2">
        <v>38892</v>
      </c>
      <c r="F14" s="2"/>
      <c r="G14" s="2"/>
      <c r="H14" s="2"/>
      <c r="I14" s="2"/>
      <c r="J14" s="2"/>
    </row>
    <row r="15" spans="1:11" x14ac:dyDescent="0.2">
      <c r="A15" s="7" t="s">
        <v>158</v>
      </c>
      <c r="B15" s="7" t="s">
        <v>159</v>
      </c>
      <c r="C15" s="7" t="s">
        <v>225</v>
      </c>
      <c r="D15" s="2" t="s">
        <v>133</v>
      </c>
      <c r="E15" s="2">
        <v>36226</v>
      </c>
      <c r="F15" s="2"/>
      <c r="G15" s="2"/>
      <c r="H15" s="2"/>
    </row>
    <row r="16" spans="1:11" x14ac:dyDescent="0.2">
      <c r="A16" s="7" t="s">
        <v>158</v>
      </c>
      <c r="B16" s="7" t="s">
        <v>159</v>
      </c>
      <c r="C16" s="7" t="s">
        <v>225</v>
      </c>
      <c r="D16" s="2" t="s">
        <v>162</v>
      </c>
      <c r="E16" s="2">
        <v>35183</v>
      </c>
      <c r="F16" s="2"/>
      <c r="G16" s="2"/>
      <c r="H16" s="2"/>
    </row>
    <row r="17" spans="1:10" x14ac:dyDescent="0.2">
      <c r="A17" s="7" t="s">
        <v>158</v>
      </c>
      <c r="B17" s="7" t="s">
        <v>159</v>
      </c>
      <c r="C17" s="7" t="s">
        <v>225</v>
      </c>
      <c r="D17" s="2" t="s">
        <v>164</v>
      </c>
      <c r="E17" s="2">
        <v>32713</v>
      </c>
      <c r="F17" s="2"/>
      <c r="G17" s="2"/>
      <c r="H17" s="2"/>
      <c r="I17" s="2"/>
    </row>
    <row r="18" spans="1:10" x14ac:dyDescent="0.2">
      <c r="A18" s="7" t="s">
        <v>158</v>
      </c>
      <c r="B18" s="7" t="s">
        <v>159</v>
      </c>
      <c r="C18" s="7" t="s">
        <v>225</v>
      </c>
      <c r="D18" s="2" t="s">
        <v>126</v>
      </c>
      <c r="E18" s="2">
        <v>30115</v>
      </c>
      <c r="F18" s="2"/>
      <c r="G18" s="2"/>
      <c r="H18" s="2"/>
      <c r="I18" s="2"/>
    </row>
    <row r="19" spans="1:10" x14ac:dyDescent="0.2">
      <c r="A19" s="7" t="s">
        <v>158</v>
      </c>
      <c r="B19" s="7" t="s">
        <v>159</v>
      </c>
      <c r="C19" s="7" t="s">
        <v>225</v>
      </c>
      <c r="D19" s="2" t="s">
        <v>163</v>
      </c>
      <c r="E19" s="2">
        <v>28481</v>
      </c>
      <c r="F19" s="2"/>
      <c r="G19" s="2"/>
      <c r="H19" s="2"/>
      <c r="I19" s="2"/>
    </row>
    <row r="20" spans="1:10" x14ac:dyDescent="0.2">
      <c r="A20" s="7" t="s">
        <v>158</v>
      </c>
      <c r="B20" s="7" t="s">
        <v>159</v>
      </c>
      <c r="C20" s="7" t="s">
        <v>225</v>
      </c>
      <c r="D20" s="2" t="s">
        <v>129</v>
      </c>
      <c r="E20" s="2">
        <v>26224</v>
      </c>
      <c r="F20" s="2"/>
      <c r="G20" s="2"/>
      <c r="H20" s="2"/>
      <c r="I20" s="2"/>
      <c r="J20" s="2"/>
    </row>
    <row r="21" spans="1:10" x14ac:dyDescent="0.2">
      <c r="A21" s="7" t="s">
        <v>158</v>
      </c>
      <c r="B21" s="7" t="s">
        <v>159</v>
      </c>
      <c r="C21" s="7" t="s">
        <v>225</v>
      </c>
      <c r="D21" s="2" t="s">
        <v>131</v>
      </c>
      <c r="E21" s="2">
        <v>23860</v>
      </c>
      <c r="F21" s="2"/>
      <c r="G21" s="2"/>
      <c r="H21" s="2"/>
      <c r="I21" s="2"/>
    </row>
    <row r="22" spans="1:10" x14ac:dyDescent="0.2">
      <c r="A22" s="7" t="s">
        <v>158</v>
      </c>
      <c r="B22" s="7" t="s">
        <v>159</v>
      </c>
      <c r="C22" s="7" t="s">
        <v>225</v>
      </c>
      <c r="D22" s="2" t="s">
        <v>127</v>
      </c>
      <c r="E22" s="2">
        <v>20261</v>
      </c>
      <c r="F22" s="2"/>
      <c r="G22" s="2"/>
      <c r="H22" s="2"/>
      <c r="I22" s="2"/>
    </row>
    <row r="23" spans="1:10" x14ac:dyDescent="0.2">
      <c r="A23" s="7" t="s">
        <v>158</v>
      </c>
      <c r="B23" s="7" t="s">
        <v>159</v>
      </c>
      <c r="C23" s="7" t="s">
        <v>225</v>
      </c>
      <c r="D23" s="2" t="s">
        <v>143</v>
      </c>
      <c r="E23" s="2">
        <v>11738</v>
      </c>
      <c r="F23" s="2"/>
      <c r="G23" s="2"/>
      <c r="H23" s="2"/>
      <c r="I23" s="2"/>
    </row>
    <row r="24" spans="1:10" x14ac:dyDescent="0.2">
      <c r="E24" s="8">
        <f>SUM(E7:E23)</f>
        <v>765990</v>
      </c>
    </row>
    <row r="28" spans="1:10" x14ac:dyDescent="0.2">
      <c r="C28" s="2"/>
      <c r="D28" s="2"/>
    </row>
    <row r="29" spans="1:10" x14ac:dyDescent="0.2">
      <c r="C29" s="2"/>
      <c r="D29" s="2"/>
    </row>
    <row r="30" spans="1:10" x14ac:dyDescent="0.2">
      <c r="C30" s="2"/>
      <c r="D30" s="2"/>
    </row>
    <row r="31" spans="1:10" x14ac:dyDescent="0.2">
      <c r="C31" s="2"/>
      <c r="D31" s="2"/>
    </row>
    <row r="32" spans="1:10" x14ac:dyDescent="0.2">
      <c r="C32" s="2"/>
      <c r="D32" s="2"/>
    </row>
    <row r="33" spans="3:4" x14ac:dyDescent="0.2">
      <c r="C33" s="2"/>
      <c r="D33" s="2"/>
    </row>
    <row r="34" spans="3:4" x14ac:dyDescent="0.2">
      <c r="C34" s="2"/>
      <c r="D34" s="2"/>
    </row>
    <row r="35" spans="3:4" x14ac:dyDescent="0.2">
      <c r="C35" s="2"/>
      <c r="D35" s="2"/>
    </row>
    <row r="36" spans="3:4" x14ac:dyDescent="0.2">
      <c r="C36" s="2"/>
      <c r="D36" s="2"/>
    </row>
    <row r="37" spans="3:4" x14ac:dyDescent="0.2">
      <c r="C37" s="2"/>
      <c r="D37" s="2"/>
    </row>
    <row r="38" spans="3:4" x14ac:dyDescent="0.2">
      <c r="C38" s="2"/>
      <c r="D38" s="2"/>
    </row>
    <row r="39" spans="3:4" x14ac:dyDescent="0.2">
      <c r="C39" s="2"/>
      <c r="D39" s="2"/>
    </row>
    <row r="40" spans="3:4" x14ac:dyDescent="0.2">
      <c r="C40" s="2"/>
      <c r="D40" s="2"/>
    </row>
    <row r="41" spans="3:4" x14ac:dyDescent="0.2">
      <c r="C41" s="2"/>
      <c r="D41" s="2"/>
    </row>
    <row r="42" spans="3:4" x14ac:dyDescent="0.2">
      <c r="C42" s="2"/>
      <c r="D42" s="2"/>
    </row>
    <row r="43" spans="3:4" x14ac:dyDescent="0.2">
      <c r="C43" s="2"/>
      <c r="D43" s="2"/>
    </row>
    <row r="44" spans="3:4" x14ac:dyDescent="0.2">
      <c r="C44" s="2"/>
      <c r="D44" s="2"/>
    </row>
  </sheetData>
  <sortState xmlns:xlrd2="http://schemas.microsoft.com/office/spreadsheetml/2017/richdata2" ref="A7:E23">
    <sortCondition descending="1" ref="E7:E2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93AA7-8CAB-E043-B167-CE715F04F6CD}">
  <dimension ref="A1:N37"/>
  <sheetViews>
    <sheetView topLeftCell="A3" workbookViewId="0">
      <selection activeCell="H31" sqref="H31"/>
    </sheetView>
  </sheetViews>
  <sheetFormatPr baseColWidth="10" defaultRowHeight="15" x14ac:dyDescent="0.2"/>
  <cols>
    <col min="2" max="2" width="22.5" customWidth="1"/>
    <col min="3" max="3" width="35.33203125" customWidth="1"/>
    <col min="4" max="4" width="15.83203125" customWidth="1"/>
    <col min="5" max="5" width="23.1640625" customWidth="1"/>
    <col min="6" max="6" width="15" customWidth="1"/>
  </cols>
  <sheetData>
    <row r="1" spans="1:14" x14ac:dyDescent="0.2">
      <c r="A1" s="1" t="s">
        <v>201</v>
      </c>
      <c r="B1" s="1"/>
      <c r="C1" s="1"/>
      <c r="D1" s="1"/>
      <c r="E1" s="1"/>
    </row>
    <row r="2" spans="1:14" x14ac:dyDescent="0.2">
      <c r="A2" s="1" t="s">
        <v>0</v>
      </c>
      <c r="B2" s="1"/>
      <c r="C2" s="1"/>
      <c r="D2" s="1"/>
    </row>
    <row r="3" spans="1:14" x14ac:dyDescent="0.2">
      <c r="A3" s="1" t="s">
        <v>157</v>
      </c>
      <c r="B3" s="1"/>
      <c r="C3" s="1"/>
      <c r="D3" s="1"/>
      <c r="E3" s="1"/>
      <c r="F3" s="19"/>
    </row>
    <row r="4" spans="1:14" x14ac:dyDescent="0.2">
      <c r="A4" s="1" t="s">
        <v>145</v>
      </c>
      <c r="B4" s="1"/>
      <c r="C4" s="1"/>
      <c r="D4" s="1"/>
      <c r="E4" s="1"/>
    </row>
    <row r="5" spans="1:14" x14ac:dyDescent="0.2">
      <c r="A5" s="5" t="s">
        <v>3</v>
      </c>
      <c r="B5" s="5" t="s">
        <v>4</v>
      </c>
      <c r="C5" s="5" t="s">
        <v>6</v>
      </c>
      <c r="D5" s="11" t="s">
        <v>146</v>
      </c>
      <c r="E5" s="12" t="s">
        <v>8</v>
      </c>
      <c r="F5" s="13" t="s">
        <v>147</v>
      </c>
    </row>
    <row r="6" spans="1:14" x14ac:dyDescent="0.2">
      <c r="A6" s="7" t="s">
        <v>158</v>
      </c>
      <c r="B6" s="7" t="s">
        <v>159</v>
      </c>
      <c r="C6" s="7" t="s">
        <v>165</v>
      </c>
      <c r="D6" s="14">
        <v>45931</v>
      </c>
      <c r="E6" s="15">
        <v>25549</v>
      </c>
      <c r="F6" s="16">
        <v>536.17999999999995</v>
      </c>
    </row>
    <row r="7" spans="1:14" x14ac:dyDescent="0.2">
      <c r="A7" s="7" t="s">
        <v>158</v>
      </c>
      <c r="B7" s="7" t="s">
        <v>159</v>
      </c>
      <c r="C7" s="7" t="s">
        <v>166</v>
      </c>
      <c r="D7" s="14">
        <v>45932</v>
      </c>
      <c r="E7" s="15">
        <v>25557</v>
      </c>
      <c r="F7" s="16">
        <v>536.35</v>
      </c>
    </row>
    <row r="8" spans="1:14" x14ac:dyDescent="0.2">
      <c r="A8" s="7" t="s">
        <v>158</v>
      </c>
      <c r="B8" s="7" t="s">
        <v>159</v>
      </c>
      <c r="C8" s="7" t="s">
        <v>167</v>
      </c>
      <c r="D8" s="14">
        <v>45933</v>
      </c>
      <c r="E8" s="15">
        <v>25550</v>
      </c>
      <c r="F8" s="16">
        <v>536.20000000000005</v>
      </c>
    </row>
    <row r="9" spans="1:14" x14ac:dyDescent="0.2">
      <c r="A9" s="7" t="s">
        <v>158</v>
      </c>
      <c r="B9" s="7" t="s">
        <v>159</v>
      </c>
      <c r="C9" s="7" t="s">
        <v>168</v>
      </c>
      <c r="D9" s="14">
        <v>45934</v>
      </c>
      <c r="E9" s="15">
        <v>25556</v>
      </c>
      <c r="F9" s="16">
        <v>536.33000000000004</v>
      </c>
      <c r="K9" s="16"/>
      <c r="M9" s="16"/>
    </row>
    <row r="10" spans="1:14" x14ac:dyDescent="0.2">
      <c r="A10" s="7" t="s">
        <v>158</v>
      </c>
      <c r="B10" s="7" t="s">
        <v>159</v>
      </c>
      <c r="C10" s="7" t="s">
        <v>169</v>
      </c>
      <c r="D10" s="14">
        <v>45935</v>
      </c>
      <c r="E10" s="15">
        <v>25547</v>
      </c>
      <c r="F10" s="16">
        <v>536.14</v>
      </c>
      <c r="K10" s="16"/>
      <c r="M10" s="16"/>
    </row>
    <row r="11" spans="1:14" x14ac:dyDescent="0.2">
      <c r="A11" s="7" t="s">
        <v>158</v>
      </c>
      <c r="B11" s="7" t="s">
        <v>159</v>
      </c>
      <c r="C11" s="7" t="s">
        <v>202</v>
      </c>
      <c r="D11" s="14">
        <v>45936</v>
      </c>
      <c r="E11" s="15">
        <v>25522</v>
      </c>
      <c r="F11" s="16">
        <v>535.69000000000005</v>
      </c>
      <c r="K11" s="16"/>
      <c r="M11" s="16"/>
    </row>
    <row r="12" spans="1:14" x14ac:dyDescent="0.2">
      <c r="A12" s="7" t="s">
        <v>158</v>
      </c>
      <c r="B12" s="7" t="s">
        <v>159</v>
      </c>
      <c r="C12" s="7" t="s">
        <v>203</v>
      </c>
      <c r="D12" s="14">
        <v>45937</v>
      </c>
      <c r="E12" s="15">
        <v>25515</v>
      </c>
      <c r="F12" s="16">
        <v>535.54999999999995</v>
      </c>
      <c r="K12" s="16"/>
      <c r="M12" s="16"/>
    </row>
    <row r="13" spans="1:14" x14ac:dyDescent="0.2">
      <c r="A13" s="7" t="s">
        <v>158</v>
      </c>
      <c r="B13" s="7" t="s">
        <v>159</v>
      </c>
      <c r="C13" s="7" t="s">
        <v>204</v>
      </c>
      <c r="D13" s="14">
        <v>45938</v>
      </c>
      <c r="E13" s="15">
        <v>25510</v>
      </c>
      <c r="F13" s="16">
        <v>535.44000000000005</v>
      </c>
      <c r="K13" s="16"/>
      <c r="M13" s="16"/>
    </row>
    <row r="14" spans="1:14" x14ac:dyDescent="0.2">
      <c r="A14" s="7" t="s">
        <v>158</v>
      </c>
      <c r="B14" s="7" t="s">
        <v>159</v>
      </c>
      <c r="C14" s="7" t="s">
        <v>205</v>
      </c>
      <c r="D14" s="14">
        <v>45939</v>
      </c>
      <c r="E14" s="15">
        <v>25518</v>
      </c>
      <c r="F14" s="16">
        <v>535.61</v>
      </c>
      <c r="K14" s="16"/>
      <c r="M14" s="16"/>
    </row>
    <row r="15" spans="1:14" x14ac:dyDescent="0.2">
      <c r="A15" s="7" t="s">
        <v>158</v>
      </c>
      <c r="B15" s="7" t="s">
        <v>159</v>
      </c>
      <c r="C15" s="7" t="s">
        <v>206</v>
      </c>
      <c r="D15" s="14">
        <v>45940</v>
      </c>
      <c r="E15" s="15">
        <v>25516</v>
      </c>
      <c r="F15" s="16">
        <v>535.57000000000005</v>
      </c>
      <c r="K15" s="16"/>
      <c r="M15" s="16"/>
    </row>
    <row r="16" spans="1:14" x14ac:dyDescent="0.2">
      <c r="A16" s="7" t="s">
        <v>158</v>
      </c>
      <c r="B16" s="7" t="s">
        <v>159</v>
      </c>
      <c r="C16" s="7" t="s">
        <v>207</v>
      </c>
      <c r="D16" s="14">
        <v>45941</v>
      </c>
      <c r="E16" s="15">
        <v>25521</v>
      </c>
      <c r="F16" s="16">
        <v>535.66999999999996</v>
      </c>
      <c r="K16" s="16"/>
      <c r="M16" s="22"/>
      <c r="N16" s="22"/>
    </row>
    <row r="17" spans="1:11" x14ac:dyDescent="0.2">
      <c r="A17" s="7" t="s">
        <v>158</v>
      </c>
      <c r="B17" s="7" t="s">
        <v>159</v>
      </c>
      <c r="C17" s="7" t="s">
        <v>208</v>
      </c>
      <c r="D17" s="14">
        <v>45942</v>
      </c>
      <c r="E17" s="15">
        <v>25517</v>
      </c>
      <c r="F17" s="16">
        <v>535.59</v>
      </c>
      <c r="K17" s="16"/>
    </row>
    <row r="18" spans="1:11" x14ac:dyDescent="0.2">
      <c r="A18" s="7" t="s">
        <v>158</v>
      </c>
      <c r="B18" s="7" t="s">
        <v>159</v>
      </c>
      <c r="C18" s="7" t="s">
        <v>209</v>
      </c>
      <c r="D18" s="14">
        <v>45943</v>
      </c>
      <c r="E18" s="15">
        <v>25537</v>
      </c>
      <c r="F18" s="16">
        <v>535.91999999999996</v>
      </c>
      <c r="K18" s="16"/>
    </row>
    <row r="19" spans="1:11" x14ac:dyDescent="0.2">
      <c r="A19" s="7" t="s">
        <v>158</v>
      </c>
      <c r="B19" s="7" t="s">
        <v>159</v>
      </c>
      <c r="C19" s="7" t="s">
        <v>210</v>
      </c>
      <c r="D19" s="14">
        <v>45944</v>
      </c>
      <c r="E19" s="15">
        <v>25538</v>
      </c>
      <c r="F19" s="16">
        <v>535.94000000000005</v>
      </c>
      <c r="K19" s="16"/>
    </row>
    <row r="20" spans="1:11" x14ac:dyDescent="0.2">
      <c r="A20" s="7" t="s">
        <v>158</v>
      </c>
      <c r="B20" s="7" t="s">
        <v>159</v>
      </c>
      <c r="C20" s="7" t="s">
        <v>211</v>
      </c>
      <c r="D20" s="14">
        <v>45945</v>
      </c>
      <c r="E20" s="15">
        <v>25533</v>
      </c>
      <c r="F20" s="16">
        <v>535.84</v>
      </c>
      <c r="K20" s="16"/>
    </row>
    <row r="21" spans="1:11" x14ac:dyDescent="0.2">
      <c r="A21" s="7" t="s">
        <v>158</v>
      </c>
      <c r="B21" s="7" t="s">
        <v>159</v>
      </c>
      <c r="C21" s="7" t="s">
        <v>212</v>
      </c>
      <c r="D21" s="14">
        <v>45946</v>
      </c>
      <c r="E21" s="15">
        <v>25530</v>
      </c>
      <c r="F21" s="16">
        <v>535.77</v>
      </c>
      <c r="K21" s="15"/>
    </row>
    <row r="22" spans="1:11" x14ac:dyDescent="0.2">
      <c r="A22" s="7" t="s">
        <v>158</v>
      </c>
      <c r="B22" s="7" t="s">
        <v>159</v>
      </c>
      <c r="C22" s="7" t="s">
        <v>213</v>
      </c>
      <c r="D22" s="14">
        <v>45947</v>
      </c>
      <c r="E22" s="15">
        <v>25526</v>
      </c>
      <c r="F22" s="16">
        <v>535.69000000000005</v>
      </c>
      <c r="K22" s="15"/>
    </row>
    <row r="23" spans="1:11" x14ac:dyDescent="0.2">
      <c r="A23" s="7" t="s">
        <v>158</v>
      </c>
      <c r="B23" s="7" t="s">
        <v>159</v>
      </c>
      <c r="C23" s="7" t="s">
        <v>214</v>
      </c>
      <c r="D23" s="14">
        <v>45948</v>
      </c>
      <c r="E23" s="15">
        <v>25529</v>
      </c>
      <c r="F23" s="16">
        <v>535.75</v>
      </c>
      <c r="K23" s="15"/>
    </row>
    <row r="24" spans="1:11" x14ac:dyDescent="0.2">
      <c r="A24" s="7" t="s">
        <v>158</v>
      </c>
      <c r="B24" s="7" t="s">
        <v>159</v>
      </c>
      <c r="C24" s="7" t="s">
        <v>215</v>
      </c>
      <c r="D24" s="14">
        <v>45949</v>
      </c>
      <c r="E24" s="15">
        <v>25520</v>
      </c>
      <c r="F24" s="16">
        <v>537.57000000000005</v>
      </c>
    </row>
    <row r="25" spans="1:11" x14ac:dyDescent="0.2">
      <c r="A25" s="7" t="s">
        <v>158</v>
      </c>
      <c r="B25" s="7" t="s">
        <v>159</v>
      </c>
      <c r="C25" s="7" t="s">
        <v>216</v>
      </c>
      <c r="D25" s="14">
        <v>45950</v>
      </c>
      <c r="E25" s="15">
        <v>25529</v>
      </c>
      <c r="F25" s="16">
        <v>535.97</v>
      </c>
    </row>
    <row r="26" spans="1:11" x14ac:dyDescent="0.2">
      <c r="A26" s="7" t="s">
        <v>158</v>
      </c>
      <c r="B26" s="7" t="s">
        <v>159</v>
      </c>
      <c r="C26" s="7" t="s">
        <v>217</v>
      </c>
      <c r="D26" s="14">
        <v>45951</v>
      </c>
      <c r="E26" s="15">
        <v>25522</v>
      </c>
      <c r="F26" s="16">
        <v>535.82000000000005</v>
      </c>
    </row>
    <row r="27" spans="1:11" x14ac:dyDescent="0.2">
      <c r="A27" s="7" t="s">
        <v>158</v>
      </c>
      <c r="B27" s="7" t="s">
        <v>159</v>
      </c>
      <c r="C27" s="7" t="s">
        <v>218</v>
      </c>
      <c r="D27" s="14">
        <v>45952</v>
      </c>
      <c r="E27" s="15">
        <v>25519</v>
      </c>
      <c r="F27" s="16">
        <v>535.76</v>
      </c>
    </row>
    <row r="28" spans="1:11" x14ac:dyDescent="0.2">
      <c r="A28" s="7" t="s">
        <v>158</v>
      </c>
      <c r="B28" s="7" t="s">
        <v>159</v>
      </c>
      <c r="C28" s="7" t="s">
        <v>219</v>
      </c>
      <c r="D28" s="14">
        <v>45953</v>
      </c>
      <c r="E28" s="15">
        <v>25526</v>
      </c>
      <c r="F28" s="16">
        <v>535.91</v>
      </c>
    </row>
    <row r="29" spans="1:11" x14ac:dyDescent="0.2">
      <c r="A29" s="7" t="s">
        <v>158</v>
      </c>
      <c r="B29" s="7" t="s">
        <v>159</v>
      </c>
      <c r="C29" s="7" t="s">
        <v>220</v>
      </c>
      <c r="D29" s="14">
        <v>45954</v>
      </c>
      <c r="E29" s="15">
        <v>25523</v>
      </c>
      <c r="F29" s="16">
        <v>535.84</v>
      </c>
    </row>
    <row r="30" spans="1:11" x14ac:dyDescent="0.2">
      <c r="A30" s="7" t="s">
        <v>158</v>
      </c>
      <c r="B30" s="7" t="s">
        <v>159</v>
      </c>
      <c r="C30" s="7" t="s">
        <v>221</v>
      </c>
      <c r="D30" s="14">
        <v>45955</v>
      </c>
      <c r="E30" s="15">
        <v>25535</v>
      </c>
      <c r="F30" s="16">
        <v>536.1</v>
      </c>
    </row>
    <row r="31" spans="1:11" x14ac:dyDescent="0.2">
      <c r="A31" s="7" t="s">
        <v>158</v>
      </c>
      <c r="B31" s="7" t="s">
        <v>159</v>
      </c>
      <c r="C31" s="7" t="s">
        <v>222</v>
      </c>
      <c r="D31" s="14">
        <v>45956</v>
      </c>
      <c r="E31" s="15">
        <v>25530</v>
      </c>
      <c r="F31" s="16">
        <v>535.99</v>
      </c>
    </row>
    <row r="32" spans="1:11" x14ac:dyDescent="0.2">
      <c r="A32" s="7" t="s">
        <v>158</v>
      </c>
      <c r="B32" s="7" t="s">
        <v>159</v>
      </c>
      <c r="C32" s="7" t="s">
        <v>170</v>
      </c>
      <c r="D32" s="14">
        <v>45957</v>
      </c>
      <c r="E32" s="15">
        <v>20447</v>
      </c>
      <c r="F32" s="16">
        <v>428.68</v>
      </c>
    </row>
    <row r="33" spans="1:6" x14ac:dyDescent="0.2">
      <c r="A33" s="7" t="s">
        <v>158</v>
      </c>
      <c r="B33" s="7" t="s">
        <v>159</v>
      </c>
      <c r="C33" s="7" t="s">
        <v>171</v>
      </c>
      <c r="D33" s="14">
        <v>45958</v>
      </c>
      <c r="E33" s="15">
        <v>20451</v>
      </c>
      <c r="F33" s="16">
        <v>428.75</v>
      </c>
    </row>
    <row r="34" spans="1:6" x14ac:dyDescent="0.2">
      <c r="A34" s="7" t="s">
        <v>158</v>
      </c>
      <c r="B34" s="7" t="s">
        <v>159</v>
      </c>
      <c r="C34" s="7" t="s">
        <v>172</v>
      </c>
      <c r="D34" s="14">
        <v>45959</v>
      </c>
      <c r="E34" s="15">
        <v>20437</v>
      </c>
      <c r="F34" s="16">
        <v>428.46</v>
      </c>
    </row>
    <row r="35" spans="1:6" x14ac:dyDescent="0.2">
      <c r="A35" s="7" t="s">
        <v>158</v>
      </c>
      <c r="B35" s="7" t="s">
        <v>159</v>
      </c>
      <c r="C35" s="7" t="s">
        <v>173</v>
      </c>
      <c r="D35" s="14">
        <v>45960</v>
      </c>
      <c r="E35" s="15">
        <v>20441</v>
      </c>
      <c r="F35" s="16">
        <v>428.54</v>
      </c>
    </row>
    <row r="36" spans="1:6" x14ac:dyDescent="0.2">
      <c r="A36" s="7" t="s">
        <v>158</v>
      </c>
      <c r="B36" s="7" t="s">
        <v>159</v>
      </c>
      <c r="C36" s="7" t="s">
        <v>174</v>
      </c>
      <c r="D36" s="14">
        <v>45961</v>
      </c>
      <c r="E36" s="15">
        <v>20439</v>
      </c>
      <c r="F36" s="16">
        <v>428.51</v>
      </c>
    </row>
    <row r="37" spans="1:6" x14ac:dyDescent="0.2">
      <c r="A37" s="8" t="s">
        <v>31</v>
      </c>
      <c r="E37" s="17">
        <f>SUM(E6:E36)</f>
        <v>765990</v>
      </c>
      <c r="F37" s="18">
        <f>SUM(F6:F36)</f>
        <v>16077.13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 10.1-10.31</vt:lpstr>
      <vt:lpstr>BASE (+) GEO 10.1-10.31</vt:lpstr>
      <vt:lpstr>BASE  DAILY SPND 10.1-10.31</vt:lpstr>
      <vt:lpstr>WC 10.1-10.31</vt:lpstr>
      <vt:lpstr>WC (+) GEO 10.1-10.31</vt:lpstr>
      <vt:lpstr>WC DAILY SPND. 10.1-10.31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Higgins</dc:creator>
  <cp:lastModifiedBy>Josh Peltz</cp:lastModifiedBy>
  <dcterms:created xsi:type="dcterms:W3CDTF">2025-10-31T19:28:53Z</dcterms:created>
  <dcterms:modified xsi:type="dcterms:W3CDTF">2025-11-07T18:25:00Z</dcterms:modified>
</cp:coreProperties>
</file>