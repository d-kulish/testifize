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hpeltz/Desktop/2025 VENDOR REPORTING/"/>
    </mc:Choice>
  </mc:AlternateContent>
  <xr:revisionPtr revIDLastSave="0" documentId="13_ncr:1_{2BC19C28-1576-8341-88C9-9862E1C7F11E}" xr6:coauthVersionLast="47" xr6:coauthVersionMax="47" xr10:uidLastSave="{00000000-0000-0000-0000-000000000000}"/>
  <bookViews>
    <workbookView xWindow="1160" yWindow="960" windowWidth="27640" windowHeight="15820" xr2:uid="{6EC61402-8A0C-B045-9BB1-5E3A1B8F8BA2}"/>
  </bookViews>
  <sheets>
    <sheet name="AUG BASE SUMMARY" sheetId="1" r:id="rId1"/>
    <sheet name="AUG BASE GEO SUMMARY" sheetId="2" r:id="rId2"/>
    <sheet name="AUG BASE SPEND SUMMARY" sheetId="3" r:id="rId3"/>
    <sheet name="AUG WC SUMMARY" sheetId="4" r:id="rId4"/>
    <sheet name="AUG WC GEO SUMMARY" sheetId="5" r:id="rId5"/>
    <sheet name="AUG  WC SPEND SUMMARY" sheetId="6" r:id="rId6"/>
    <sheet name="AUG PACMAN BONUS W_GEO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6" i="1" l="1"/>
  <c r="H136" i="1"/>
  <c r="I128" i="1"/>
  <c r="H128" i="1"/>
  <c r="I120" i="1"/>
  <c r="H120" i="1"/>
  <c r="I112" i="1"/>
  <c r="H112" i="1"/>
  <c r="I104" i="1"/>
  <c r="H104" i="1"/>
  <c r="E127" i="1"/>
  <c r="B172" i="1"/>
  <c r="I46" i="1"/>
  <c r="H46" i="1"/>
  <c r="I37" i="1"/>
  <c r="H37" i="1"/>
  <c r="I28" i="1"/>
  <c r="H28" i="1"/>
  <c r="I19" i="1"/>
  <c r="H19" i="1"/>
  <c r="I10" i="1"/>
  <c r="H10" i="1"/>
  <c r="E25" i="1"/>
  <c r="M60" i="7"/>
  <c r="F87" i="7"/>
  <c r="F40" i="6"/>
  <c r="E40" i="6"/>
  <c r="F32" i="6"/>
  <c r="E32" i="6"/>
  <c r="F24" i="6"/>
  <c r="E24" i="6"/>
  <c r="F16" i="6"/>
  <c r="E16" i="6"/>
  <c r="F8" i="6"/>
  <c r="E8" i="6"/>
  <c r="E35" i="5"/>
  <c r="E80" i="4"/>
  <c r="F76" i="3"/>
  <c r="E76" i="3"/>
  <c r="F60" i="3"/>
  <c r="E60" i="3"/>
  <c r="F44" i="3"/>
  <c r="E44" i="3"/>
  <c r="F29" i="3"/>
  <c r="E29" i="3"/>
  <c r="F13" i="3"/>
  <c r="E13" i="3"/>
  <c r="E28" i="2"/>
  <c r="B94" i="1"/>
</calcChain>
</file>

<file path=xl/sharedStrings.xml><?xml version="1.0" encoding="utf-8"?>
<sst xmlns="http://schemas.openxmlformats.org/spreadsheetml/2006/main" count="1666" uniqueCount="275">
  <si>
    <t>Interval: 2025-07-28/2025-08-31</t>
  </si>
  <si>
    <t>Timezone: America/New_York</t>
  </si>
  <si>
    <t>Filters: Order ID IN (7201);(7202)</t>
  </si>
  <si>
    <t>Order ID</t>
  </si>
  <si>
    <t>Order</t>
  </si>
  <si>
    <t>Campaign</t>
  </si>
  <si>
    <t>Publisher</t>
  </si>
  <si>
    <t>Audio Impressions</t>
  </si>
  <si>
    <t>(7201);(7202)</t>
  </si>
  <si>
    <t>(7201);(7202) Betonline 2025</t>
  </si>
  <si>
    <t>Adam Carolla Show | 313</t>
  </si>
  <si>
    <t>Cold Case Files</t>
  </si>
  <si>
    <t>Varnamtown</t>
  </si>
  <si>
    <t xml:space="preserve">The Adam and Dr. Drew Show </t>
  </si>
  <si>
    <t>Ransom</t>
  </si>
  <si>
    <t>"YOUR WELCOME" with Michael Malice | 2232</t>
  </si>
  <si>
    <t>I Survived</t>
  </si>
  <si>
    <t>CIVIL</t>
  </si>
  <si>
    <t>Cheating: When Love Lies</t>
  </si>
  <si>
    <t xml:space="preserve">The Steve Austin Show </t>
  </si>
  <si>
    <t>Ace On The House</t>
  </si>
  <si>
    <t>CarCast | 320</t>
  </si>
  <si>
    <t>Notsam Wrestling | 2354</t>
  </si>
  <si>
    <t>The World of Phil Hendrie</t>
  </si>
  <si>
    <t>Copycat Killers</t>
  </si>
  <si>
    <t>Reasonable Doubt</t>
  </si>
  <si>
    <t>The Consult: Real FBI Profilers</t>
  </si>
  <si>
    <t>Bad Bad Thing: The Blackstone Sisters</t>
  </si>
  <si>
    <t>One MANS Opinion with Jeff Mans</t>
  </si>
  <si>
    <t xml:space="preserve">The Morning After STL </t>
  </si>
  <si>
    <t>Blunt Force Truth</t>
  </si>
  <si>
    <t>Real Crime: The REELZ Files</t>
  </si>
  <si>
    <t>Bret Easton Ellis Podcast</t>
  </si>
  <si>
    <t xml:space="preserve">Uncut with Jay Cutler </t>
  </si>
  <si>
    <t xml:space="preserve">The Michael Irvin Podcast </t>
  </si>
  <si>
    <t>Sex, Lies &amp; Murder</t>
  </si>
  <si>
    <t>We (Almost) Made It</t>
  </si>
  <si>
    <t>Dark Hollywood: The Reelz Files</t>
  </si>
  <si>
    <t>Nappy Boy Radio with T-Pain</t>
  </si>
  <si>
    <t>CONNECT with Jonathan Mark</t>
  </si>
  <si>
    <t>On Brand with Jon and Marisa</t>
  </si>
  <si>
    <t>The Big Podcast With Shaq</t>
  </si>
  <si>
    <t xml:space="preserve">Unplugged Chris Howard </t>
  </si>
  <si>
    <t>This Is Monsters</t>
  </si>
  <si>
    <t>Fully Booked by Kirkus Reviews</t>
  </si>
  <si>
    <t>SUS: Share Ur Scare</t>
  </si>
  <si>
    <t>Idiotically Speaking with Chris Kattan</t>
  </si>
  <si>
    <t xml:space="preserve">No Gruffs Given with Sean Avery </t>
  </si>
  <si>
    <t>Lost In Panama</t>
  </si>
  <si>
    <t>Murder Made Me Famous</t>
  </si>
  <si>
    <t>Everyday Greatness: The Ray Lewis Podcast | 2088</t>
  </si>
  <si>
    <t>The Dan Abrams Podcast (PodcastOne)</t>
  </si>
  <si>
    <t>Big Shot Bob Pod with Robert Horry | 2155</t>
  </si>
  <si>
    <t>The Producer's Guide: Todd Garner &amp; Hollywood's Elite</t>
  </si>
  <si>
    <t>Adam Carolla Show Clips</t>
  </si>
  <si>
    <t>Going Racing with Adam Carolla | 1929</t>
  </si>
  <si>
    <t>All of the Above with Norman Lear</t>
  </si>
  <si>
    <t>Comeback Kids</t>
  </si>
  <si>
    <t xml:space="preserve">The Deegans </t>
  </si>
  <si>
    <t>Jim Beaver's Project Action</t>
  </si>
  <si>
    <t>Let's Do Life with Autumn Calabrese</t>
  </si>
  <si>
    <t>We Are Not Journalists</t>
  </si>
  <si>
    <t>It's Not Only Football: Friday Night Lights and Beyond</t>
  </si>
  <si>
    <t>HOT ROD Pod: Where It All Began</t>
  </si>
  <si>
    <t>The Jay Jay French Connection: Beyond the Music</t>
  </si>
  <si>
    <t>The Michael Harrison Interview</t>
  </si>
  <si>
    <t>Adam Carolla Show Daily Brief</t>
  </si>
  <si>
    <t>Wholeheartedly with Kendall and Galey</t>
  </si>
  <si>
    <t>Foley Is Pod | 2282</t>
  </si>
  <si>
    <t>expediTIously with Tip "T.I." Harris</t>
  </si>
  <si>
    <t>Knock Knock</t>
  </si>
  <si>
    <t>Who I Am</t>
  </si>
  <si>
    <t>From Negative to Positive with Pitbull</t>
  </si>
  <si>
    <t>Adam Carolla's Exclusive Interviews</t>
  </si>
  <si>
    <t>Carolla Classics </t>
  </si>
  <si>
    <t>Dr. Hockey | 1171</t>
  </si>
  <si>
    <t>The Head &amp; The Heart</t>
  </si>
  <si>
    <t>Zero Stars</t>
  </si>
  <si>
    <t>C-Sessions…with Randall Broad</t>
  </si>
  <si>
    <t>The Campaign Managers with Kellyanne Conway and David Plouffe</t>
  </si>
  <si>
    <t>Adam's Best</t>
  </si>
  <si>
    <t>The Funny Papers with Jersey Jerry</t>
  </si>
  <si>
    <t>Earth to Ariana</t>
  </si>
  <si>
    <t>Adam Carolla Live</t>
  </si>
  <si>
    <t>Geffen Playhouse Unscripted</t>
  </si>
  <si>
    <t>Chop Shop</t>
  </si>
  <si>
    <t>Be Very Afraid: A Horror Podcast</t>
  </si>
  <si>
    <t>Salty with Captain Lee</t>
  </si>
  <si>
    <t>Botany &amp; Barrels</t>
  </si>
  <si>
    <t>Hammered Heroes (And Villains)</t>
  </si>
  <si>
    <t>Let Me Save You 25 Years</t>
  </si>
  <si>
    <t>Bounceback with Uncle Tim</t>
  </si>
  <si>
    <t>The Kelly Osbourne and Jeff Beacher Show</t>
  </si>
  <si>
    <t>Talk To Me</t>
  </si>
  <si>
    <t>From Zero: A Conversation with Mike Shinoda and Emily Armstrong</t>
  </si>
  <si>
    <t>Invisible Choir</t>
  </si>
  <si>
    <t>Mind. Body. No Soul.</t>
  </si>
  <si>
    <t>Ever After with Jaleel White</t>
  </si>
  <si>
    <t>Living in Adoptionland with Bryan Elliott</t>
  </si>
  <si>
    <t>All Dollars. No $ense</t>
  </si>
  <si>
    <t>Hotboxin With Mike Tyson | 2016</t>
  </si>
  <si>
    <t>TOTAL</t>
  </si>
  <si>
    <t>Interval: 2025-7-28/2025-8-31</t>
  </si>
  <si>
    <t>Splits: Order ID,Order,Campaign ID,Geo-Region,Audio Impressions</t>
  </si>
  <si>
    <t>Geo - Region</t>
  </si>
  <si>
    <t>(7201);(7202) Betonline 2025-07-28/2025-08-31</t>
  </si>
  <si>
    <t>California (ca)</t>
  </si>
  <si>
    <t>Texas (tx)</t>
  </si>
  <si>
    <t>Florida (fl)</t>
  </si>
  <si>
    <t>Georgia (ga)</t>
  </si>
  <si>
    <t>Washington (wa)</t>
  </si>
  <si>
    <t>Minnesota (mn)</t>
  </si>
  <si>
    <t>Utah (ut)</t>
  </si>
  <si>
    <t>Missouri (mo)</t>
  </si>
  <si>
    <t>Alabama (al)</t>
  </si>
  <si>
    <t>South Carolina (sc)</t>
  </si>
  <si>
    <t>Wisconsin (wi)</t>
  </si>
  <si>
    <t>District of Columbia (dc)</t>
  </si>
  <si>
    <t>Mississippi (ms)</t>
  </si>
  <si>
    <t>Idaho (id)</t>
  </si>
  <si>
    <t>Oklahoma (ok)</t>
  </si>
  <si>
    <t>New Mexico (nm)</t>
  </si>
  <si>
    <t>Delaware (de)</t>
  </si>
  <si>
    <t>South Dakota (sd)</t>
  </si>
  <si>
    <t>North Dakota (nd)</t>
  </si>
  <si>
    <t>Montana (mt)</t>
  </si>
  <si>
    <t>Hawaii (hi)</t>
  </si>
  <si>
    <t>Alaska (ak)</t>
  </si>
  <si>
    <t>Interval: 2025-07-28/2025-08-03</t>
  </si>
  <si>
    <t xml:space="preserve">Filters: Order ID IN (7201);(7202) </t>
  </si>
  <si>
    <t>Splits: Order ID,Order,Campaign ID,Day,Audio Impressions</t>
  </si>
  <si>
    <t>Day</t>
  </si>
  <si>
    <t>$ By Day</t>
  </si>
  <si>
    <t>(7201);(7202) Betonline 2025-07-28/2025-07-28</t>
  </si>
  <si>
    <t>(7201);(7202) Betonline 2025-07-29/2025-07-29</t>
  </si>
  <si>
    <t>(7201);(7202) Betonline 2025-07-30/2025-07-30</t>
  </si>
  <si>
    <t>(7201);(7202) Betonline 2025-07-31/2025-07-31</t>
  </si>
  <si>
    <t>(7201);(7202) Betonline 2025-08-01/2025-08-01</t>
  </si>
  <si>
    <t>(7201);(7202) Betonline 2025-08-02/2025-08-02</t>
  </si>
  <si>
    <t>(7201);(7202) Betonline 2025-08-03/2025-08-03</t>
  </si>
  <si>
    <t>Interval: 2025-08-04/2025-08-10</t>
  </si>
  <si>
    <t>(7201);(7202) Betonline 2025-08-04/2025-08-04</t>
  </si>
  <si>
    <t>(7201);(7202) Betonline 2025-08-05/2025-08-05</t>
  </si>
  <si>
    <t>(7201);(7202) Betonline 2025-08-06/2025-08-06</t>
  </si>
  <si>
    <t>(7201);(7202) Betonline 2025-08-07/2025-08-07</t>
  </si>
  <si>
    <t>(7201);(7202) Betonline 2025-08-08/2025-08-08</t>
  </si>
  <si>
    <t>(7201);(7202) Betonline 2025-08-09/2025-08-09</t>
  </si>
  <si>
    <t>(7201);(7202) Betonline 2025-08-10/2025-08-10</t>
  </si>
  <si>
    <t>Interval: 2025-08-11/2025-08-17</t>
  </si>
  <si>
    <t>(7201);(7202) Betonline 2025-08-11/2025-08-11</t>
  </si>
  <si>
    <t>(7201);(7202) Betonline 2025-08-12/2025-08-12</t>
  </si>
  <si>
    <t>(7201);(7202) Betonline 2025-08-13/2025-08-13</t>
  </si>
  <si>
    <t>(7201);(7202) Betonline 2025-08-14/2025-08-14</t>
  </si>
  <si>
    <t>(7201);(7202) Betonline 2025-08-15/2025-08-15</t>
  </si>
  <si>
    <t>(7201);(7202) Betonline 2025-08-16/2025-08-16</t>
  </si>
  <si>
    <t>(7201);(7202) Betonline 2025-08-17/2025-08-17</t>
  </si>
  <si>
    <t>Interval: 2025-08-18/2025-08-24</t>
  </si>
  <si>
    <t xml:space="preserve">Filters: Order ID IN (7201;7202) </t>
  </si>
  <si>
    <t>(7201);(7202) Betonline 2025-08-18/2025-08-18</t>
  </si>
  <si>
    <t>(7201);(7202) Betonline 2025-08-19/2025-08-19</t>
  </si>
  <si>
    <t>(7201);(7202) Betonline 2025-08-20/2025-08-20</t>
  </si>
  <si>
    <t>(7201);(7202) Betonline 2025-08-21/2025-08-21</t>
  </si>
  <si>
    <t>(7201);(7202) Betonline 2025-08-22/2025-08-22</t>
  </si>
  <si>
    <t>(7201);(7202) Betonline 2025-08-23/2025-08-23</t>
  </si>
  <si>
    <t>(7201);(7202) Betonline 2025-08-24/2025-08-24</t>
  </si>
  <si>
    <t>Interval: 2025-08-25/2025-08-31</t>
  </si>
  <si>
    <t>(7201);(7202) Betonline 2025-08-25/2025-08-25</t>
  </si>
  <si>
    <t>(7201);(7202) Betonline 2025-08-26/2025-08-26</t>
  </si>
  <si>
    <t>(7201);(7202) Betonline 2025-08-27/2025-08-27</t>
  </si>
  <si>
    <t>(7201);(7202) Betonline 2025-08-28/2025-08-28</t>
  </si>
  <si>
    <t>(7201);(7202) Betonline 2025-08-29/2025-08-29</t>
  </si>
  <si>
    <t>(7201);(7202) Betonline 2025-08-30/2025-08-31</t>
  </si>
  <si>
    <t>(7201);(7202) Betonline 2025-08-31/2025-08-31</t>
  </si>
  <si>
    <t xml:space="preserve">Filters: Order ID IN (7203*) </t>
  </si>
  <si>
    <t>Splits: Order ID,Order,Campaign ID,Campaign,Publisher ID,Publisher,Audio Impressions</t>
  </si>
  <si>
    <t>(7203*)</t>
  </si>
  <si>
    <t>(7203*) Betonline 2025</t>
  </si>
  <si>
    <t>(7203*) Betonline 2025-07-28/2025-08-31</t>
  </si>
  <si>
    <t>The Narc and Me</t>
  </si>
  <si>
    <t>Nemeth Bros</t>
  </si>
  <si>
    <t>Mama Said with Jamie-Lynn Sigler &amp; Jenna Parris</t>
  </si>
  <si>
    <t>The Watercooler</t>
  </si>
  <si>
    <t>New York (ny)</t>
  </si>
  <si>
    <t>Illinois (il)</t>
  </si>
  <si>
    <t>North Carolina (nc)</t>
  </si>
  <si>
    <t>Massachusetts (ma)</t>
  </si>
  <si>
    <t>Ohio (oh)</t>
  </si>
  <si>
    <t>Arizona (az)</t>
  </si>
  <si>
    <t>Colorado (co)</t>
  </si>
  <si>
    <t>Kentucky (ky)</t>
  </si>
  <si>
    <t>(7203*) Betonline 2025-07-28/2025-07-28</t>
  </si>
  <si>
    <t>(7203*) Betonline 2025-07-29/2025-07-29</t>
  </si>
  <si>
    <t>(7203*) Betonline 2025-07-30/2025-07-30</t>
  </si>
  <si>
    <t>(7203*) Betonline 2025-07-31/2025-07-31</t>
  </si>
  <si>
    <t>(7203*) Betonline 2025-08-01/2025-08-01</t>
  </si>
  <si>
    <t>(7203*) Betonline 2025-08-02/2025-08-02</t>
  </si>
  <si>
    <t>(7203*) Betonline 2025-08-03/2025-08-03</t>
  </si>
  <si>
    <t>(7203*) Betonline 2025-08-04/2025-08-04</t>
  </si>
  <si>
    <t>(7203*) Betonline 2025-08-05/2025-08-05</t>
  </si>
  <si>
    <t>(7203*) Betonline 2025-08-06/2025-08-06</t>
  </si>
  <si>
    <t>(7203*) Betonline 2025-08-07/2025-08-07</t>
  </si>
  <si>
    <t>(7203*) Betonline 2025-08-08/2025-08-08</t>
  </si>
  <si>
    <t>(7203*) Betonline 2025-08-09/2025-08-09</t>
  </si>
  <si>
    <t>(7203*) Betonline 2025-08-10/2025-08-10</t>
  </si>
  <si>
    <t>(7203*) Betonline 2025-08-11/2025-08-11</t>
  </si>
  <si>
    <t>(7203*) Betonline 2025-08-12/2025-08-12</t>
  </si>
  <si>
    <t>(7203*) Betonline 2025-08-13/2025-08-13</t>
  </si>
  <si>
    <t>(7203*) Betonline 2025-08-14/2025-08-14</t>
  </si>
  <si>
    <t>(7203*) Betonline 2025-08-15/2025-08-15</t>
  </si>
  <si>
    <t>(7203*) Betonline 2025-08-16/2025-08-16</t>
  </si>
  <si>
    <t>(7203*) Betonline 2025-08-17/2025-08-17</t>
  </si>
  <si>
    <t>(7203*) Betonline 2025-08-18/2025-08-18</t>
  </si>
  <si>
    <t>(7203*) Betonline 2025-08-19/2025-08-19</t>
  </si>
  <si>
    <t>(7203*) Betonline 2025-08-20/2025-08-20</t>
  </si>
  <si>
    <t>(7203*) Betonline 2025-08-21/2025-08-21</t>
  </si>
  <si>
    <t>(7203*) Betonline 2025-08-22/2025-08-22</t>
  </si>
  <si>
    <t>(7203*) Betonline 2025-08-23/2025-08-23</t>
  </si>
  <si>
    <t>(7203*) Betonline 2025-08-24/2025-08-24</t>
  </si>
  <si>
    <t>(7203*) Betonline 2025-08-25/2025-08-25</t>
  </si>
  <si>
    <t>(7203*) Betonline 2025-08-26/2025-08-26</t>
  </si>
  <si>
    <t>(7203*) Betonline 2025-08-27/2025-08-27</t>
  </si>
  <si>
    <t>(7203*) Betonline 2025-08-28/2025-08-28</t>
  </si>
  <si>
    <t>(7203*) Betonline 2025-08-29/2025-08-29</t>
  </si>
  <si>
    <t>(7203*) Betonline 2025-08-30/2025-08-30</t>
  </si>
  <si>
    <t>(7203*) Betonline 2025-08-31/2025-08-31</t>
  </si>
  <si>
    <t>Interval: 2025-07-28/2025-08-24</t>
  </si>
  <si>
    <t xml:space="preserve">Filters: Order ID IN (7204B) </t>
  </si>
  <si>
    <t>Campaign ID</t>
  </si>
  <si>
    <t>7204B</t>
  </si>
  <si>
    <t>(7204B) Betonline 2025</t>
  </si>
  <si>
    <t>(7204B) Betonline 2025-7-28/2025-8-24</t>
  </si>
  <si>
    <t>Adam Carolla Show</t>
  </si>
  <si>
    <t>The Adam and Dr. Drew Show</t>
  </si>
  <si>
    <t>"YOUR WELCOME" with Michael Malice</t>
  </si>
  <si>
    <t>Notsam Wrestling</t>
  </si>
  <si>
    <t>The Steve Austin Show</t>
  </si>
  <si>
    <t>Uncut with Jay Cutler</t>
  </si>
  <si>
    <t>CarCast</t>
  </si>
  <si>
    <t>The Benchwarmers Podcast with Sonny Carolla</t>
  </si>
  <si>
    <t>Plugged In with Chris Howard</t>
  </si>
  <si>
    <t>The Michael Irvin Podcast</t>
  </si>
  <si>
    <t>Going Racing with Adam Carolla</t>
  </si>
  <si>
    <t>Everyday Greatness: The Ray Lewis Podcast</t>
  </si>
  <si>
    <t>Dr. Hockey</t>
  </si>
  <si>
    <t>Divorce Sucks with Laura Wasser</t>
  </si>
  <si>
    <t>It's Not Only Football: Friday Night Lights and Beyond (Press Exclusive)</t>
  </si>
  <si>
    <t>Just Between Us with Sisters Bailee Madison &amp; Kaitlin Vilasuso</t>
  </si>
  <si>
    <t>Off Brand with Nema Vand</t>
  </si>
  <si>
    <t>(7204B) Betonline 2025-07-28/2025-08-24</t>
  </si>
  <si>
    <t>Michigan (mi)</t>
  </si>
  <si>
    <t>Illinois (ill)</t>
  </si>
  <si>
    <t>North Carolina (pa)</t>
  </si>
  <si>
    <t>Pennsylvania (pa)</t>
  </si>
  <si>
    <t>Oregon (or)</t>
  </si>
  <si>
    <t>Virginia (va)</t>
  </si>
  <si>
    <t>New Jersey (nj)</t>
  </si>
  <si>
    <t>Tennessee (tn)</t>
  </si>
  <si>
    <t>Indiana (in)</t>
  </si>
  <si>
    <t>Maryland (md)</t>
  </si>
  <si>
    <t>Nevada (nv)</t>
  </si>
  <si>
    <t>Connecticut (ct)</t>
  </si>
  <si>
    <t>Iowa (ia)</t>
  </si>
  <si>
    <t>Nebraska (ne)</t>
  </si>
  <si>
    <t>Louisiana (la)</t>
  </si>
  <si>
    <t>Kansas ks)</t>
  </si>
  <si>
    <t>Arkansas (ar)</t>
  </si>
  <si>
    <t>New Hampshire (nh)</t>
  </si>
  <si>
    <t>Rhode Island (ri)</t>
  </si>
  <si>
    <t>Maine (me)</t>
  </si>
  <si>
    <t>West Virginia (wv)</t>
  </si>
  <si>
    <t>Wyoming (wy)</t>
  </si>
  <si>
    <t>Vermont (vt)</t>
  </si>
  <si>
    <t>BOL (WC and PACMAN BELOW)</t>
  </si>
  <si>
    <t>WC</t>
  </si>
  <si>
    <t>WC DAILY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</si>
</sst>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Helvetica Neue"/>
      <family val="2"/>
    </font>
    <font>
      <sz val="12"/>
      <color rgb="FF000000"/>
      <name val="Calibri"/>
      <family val="2"/>
    </font>
    <font>
      <sz val="10"/>
      <color theme="1"/>
      <name val="Helvetica"/>
      <family val="2"/>
    </font>
    <font>
      <sz val="10"/>
      <color theme="1"/>
      <name val="Helvetica Neue"/>
      <family val="2"/>
    </font>
    <font>
      <b/>
      <sz val="10"/>
      <color theme="1"/>
      <name val="Helvetica"/>
      <family val="2"/>
    </font>
    <font>
      <b/>
      <sz val="10"/>
      <color theme="1"/>
      <name val="Helvetica Neue"/>
      <family val="2"/>
    </font>
    <font>
      <b/>
      <sz val="11.5"/>
      <color rgb="FF222222"/>
      <name val="Calibri"/>
      <family val="2"/>
      <scheme val="minor"/>
    </font>
    <font>
      <sz val="16"/>
      <color rgb="FF000000"/>
      <name val="Helvetica Neue"/>
      <family val="2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</font>
    <font>
      <sz val="16"/>
      <color theme="1"/>
      <name val="Helvetica Neue"/>
      <family val="2"/>
    </font>
    <font>
      <b/>
      <sz val="16"/>
      <color theme="1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7" fillId="2" borderId="0" xfId="0" applyFont="1" applyFill="1"/>
    <xf numFmtId="0" fontId="8" fillId="0" borderId="0" xfId="0" applyFont="1"/>
    <xf numFmtId="3" fontId="1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8" fontId="5" fillId="0" borderId="0" xfId="0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8" fontId="7" fillId="2" borderId="0" xfId="0" applyNumberFormat="1" applyFont="1" applyFill="1" applyAlignment="1">
      <alignment horizontal="center"/>
    </xf>
    <xf numFmtId="3" fontId="0" fillId="0" borderId="0" xfId="0" applyNumberFormat="1"/>
    <xf numFmtId="8" fontId="1" fillId="0" borderId="0" xfId="0" applyNumberFormat="1" applyFont="1"/>
    <xf numFmtId="3" fontId="2" fillId="0" borderId="0" xfId="0" applyNumberFormat="1" applyFo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0" xfId="0" applyFont="1" applyFill="1" applyAlignment="1">
      <alignment horizontal="left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right"/>
    </xf>
    <xf numFmtId="0" fontId="12" fillId="0" borderId="0" xfId="0" applyFont="1"/>
    <xf numFmtId="0" fontId="1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D8077-BAD5-0A4A-95AA-B3217AD06B8E}">
  <dimension ref="A1:L172"/>
  <sheetViews>
    <sheetView tabSelected="1" workbookViewId="0">
      <selection activeCell="G1" sqref="G1:G47"/>
    </sheetView>
  </sheetViews>
  <sheetFormatPr baseColWidth="10" defaultRowHeight="21" x14ac:dyDescent="0.25"/>
  <cols>
    <col min="1" max="1" width="84.83203125" style="27" bestFit="1" customWidth="1"/>
    <col min="2" max="3" width="22.33203125" style="27" customWidth="1"/>
    <col min="4" max="4" width="24" customWidth="1"/>
    <col min="5" max="5" width="18.5" customWidth="1"/>
    <col min="6" max="6" width="10.83203125" style="27"/>
    <col min="7" max="7" width="17.5" customWidth="1"/>
    <col min="8" max="8" width="26.1640625" customWidth="1"/>
    <col min="9" max="9" width="39.5" customWidth="1"/>
    <col min="11" max="11" width="22.33203125" customWidth="1"/>
    <col min="12" max="12" width="16.1640625" customWidth="1"/>
    <col min="13" max="16384" width="10.83203125" style="27"/>
  </cols>
  <sheetData>
    <row r="1" spans="1:12" x14ac:dyDescent="0.25">
      <c r="A1" s="26" t="s">
        <v>272</v>
      </c>
      <c r="D1" s="1"/>
      <c r="E1" s="1"/>
      <c r="G1" s="1"/>
      <c r="H1" s="1"/>
      <c r="I1" s="1"/>
      <c r="J1" s="1"/>
      <c r="L1" s="27"/>
    </row>
    <row r="2" spans="1:12" x14ac:dyDescent="0.25">
      <c r="A2" s="28" t="s">
        <v>6</v>
      </c>
      <c r="B2" s="29" t="s">
        <v>7</v>
      </c>
      <c r="D2" s="3" t="s">
        <v>104</v>
      </c>
      <c r="E2" s="4" t="s">
        <v>7</v>
      </c>
      <c r="G2" s="11" t="s">
        <v>131</v>
      </c>
      <c r="H2" s="12" t="s">
        <v>7</v>
      </c>
      <c r="I2" s="13" t="s">
        <v>132</v>
      </c>
      <c r="J2" s="27"/>
      <c r="K2" s="27"/>
      <c r="L2" s="27"/>
    </row>
    <row r="3" spans="1:12" x14ac:dyDescent="0.25">
      <c r="A3" s="26" t="s">
        <v>10</v>
      </c>
      <c r="B3" s="26">
        <v>38440</v>
      </c>
      <c r="D3" s="2" t="s">
        <v>106</v>
      </c>
      <c r="E3" s="2">
        <v>81551</v>
      </c>
      <c r="G3" s="14">
        <v>45866</v>
      </c>
      <c r="H3" s="15">
        <v>22279</v>
      </c>
      <c r="I3" s="16">
        <v>467.48</v>
      </c>
      <c r="J3" s="27"/>
      <c r="K3" s="27"/>
      <c r="L3" s="27"/>
    </row>
    <row r="4" spans="1:12" x14ac:dyDescent="0.25">
      <c r="A4" s="26" t="s">
        <v>11</v>
      </c>
      <c r="B4" s="26">
        <v>38191</v>
      </c>
      <c r="D4" s="2" t="s">
        <v>107</v>
      </c>
      <c r="E4" s="2">
        <v>76544</v>
      </c>
      <c r="G4" s="14">
        <v>45867</v>
      </c>
      <c r="H4" s="15">
        <v>22633</v>
      </c>
      <c r="I4" s="16">
        <v>475.91</v>
      </c>
      <c r="J4" s="27"/>
      <c r="K4" s="27"/>
      <c r="L4" s="27"/>
    </row>
    <row r="5" spans="1:12" x14ac:dyDescent="0.25">
      <c r="A5" s="26" t="s">
        <v>12</v>
      </c>
      <c r="B5" s="26">
        <v>33775</v>
      </c>
      <c r="D5" s="2" t="s">
        <v>108</v>
      </c>
      <c r="E5" s="2">
        <v>71290</v>
      </c>
      <c r="G5" s="14">
        <v>45868</v>
      </c>
      <c r="H5" s="15">
        <v>22458</v>
      </c>
      <c r="I5" s="16">
        <v>471.24</v>
      </c>
      <c r="J5" s="27"/>
      <c r="K5" s="27"/>
      <c r="L5" s="27"/>
    </row>
    <row r="6" spans="1:12" x14ac:dyDescent="0.25">
      <c r="A6" s="26" t="s">
        <v>13</v>
      </c>
      <c r="B6" s="26">
        <v>32722</v>
      </c>
      <c r="D6" s="2" t="s">
        <v>109</v>
      </c>
      <c r="E6" s="2">
        <v>71131</v>
      </c>
      <c r="G6" s="14">
        <v>45869</v>
      </c>
      <c r="H6" s="15">
        <v>22397</v>
      </c>
      <c r="I6" s="16">
        <v>469.96</v>
      </c>
      <c r="J6" s="27"/>
      <c r="K6" s="27"/>
      <c r="L6" s="27"/>
    </row>
    <row r="7" spans="1:12" x14ac:dyDescent="0.25">
      <c r="A7" s="26" t="s">
        <v>14</v>
      </c>
      <c r="B7" s="30">
        <v>32482</v>
      </c>
      <c r="D7" s="2" t="s">
        <v>110</v>
      </c>
      <c r="E7" s="2">
        <v>62935</v>
      </c>
      <c r="G7" s="14">
        <v>45870</v>
      </c>
      <c r="H7" s="15">
        <v>22436</v>
      </c>
      <c r="I7" s="16">
        <v>470.77</v>
      </c>
      <c r="J7" s="27"/>
      <c r="K7" s="27"/>
      <c r="L7" s="27"/>
    </row>
    <row r="8" spans="1:12" x14ac:dyDescent="0.25">
      <c r="A8" s="26" t="s">
        <v>15</v>
      </c>
      <c r="B8" s="26">
        <v>28148</v>
      </c>
      <c r="D8" s="2" t="s">
        <v>111</v>
      </c>
      <c r="E8" s="2">
        <v>60697</v>
      </c>
      <c r="G8" s="14">
        <v>45871</v>
      </c>
      <c r="H8" s="15">
        <v>22471</v>
      </c>
      <c r="I8" s="16">
        <v>471.5</v>
      </c>
      <c r="J8" s="27"/>
      <c r="K8" s="27"/>
      <c r="L8" s="27"/>
    </row>
    <row r="9" spans="1:12" x14ac:dyDescent="0.25">
      <c r="A9" s="26" t="s">
        <v>16</v>
      </c>
      <c r="B9" s="26">
        <v>27164</v>
      </c>
      <c r="D9" s="2" t="s">
        <v>112</v>
      </c>
      <c r="E9" s="2">
        <v>56249</v>
      </c>
      <c r="G9" s="14">
        <v>45872</v>
      </c>
      <c r="H9" s="15">
        <v>22539</v>
      </c>
      <c r="I9" s="16">
        <v>472.93</v>
      </c>
      <c r="J9" s="27"/>
      <c r="K9" s="27"/>
      <c r="L9" s="27"/>
    </row>
    <row r="10" spans="1:12" x14ac:dyDescent="0.25">
      <c r="A10" s="26" t="s">
        <v>17</v>
      </c>
      <c r="B10" s="30">
        <v>26663</v>
      </c>
      <c r="D10" s="2" t="s">
        <v>113</v>
      </c>
      <c r="E10" s="2">
        <v>51533</v>
      </c>
      <c r="H10" s="17">
        <f>SUM(H3:H9)</f>
        <v>157213</v>
      </c>
      <c r="I10" s="18">
        <f>SUM(I3:I9)</f>
        <v>3299.79</v>
      </c>
      <c r="J10" s="27"/>
      <c r="K10" s="27"/>
      <c r="L10" s="27"/>
    </row>
    <row r="11" spans="1:12" x14ac:dyDescent="0.25">
      <c r="A11" s="26" t="s">
        <v>18</v>
      </c>
      <c r="B11" s="26">
        <v>25717</v>
      </c>
      <c r="D11" s="2" t="s">
        <v>114</v>
      </c>
      <c r="E11" s="2">
        <v>45066</v>
      </c>
      <c r="G11" s="11" t="s">
        <v>131</v>
      </c>
      <c r="H11" s="12" t="s">
        <v>7</v>
      </c>
      <c r="I11" s="13" t="s">
        <v>132</v>
      </c>
      <c r="J11" s="27"/>
      <c r="K11" s="27"/>
      <c r="L11" s="27"/>
    </row>
    <row r="12" spans="1:12" x14ac:dyDescent="0.25">
      <c r="A12" s="26" t="s">
        <v>19</v>
      </c>
      <c r="B12" s="26">
        <v>24908</v>
      </c>
      <c r="D12" s="2" t="s">
        <v>115</v>
      </c>
      <c r="E12" s="2">
        <v>38669</v>
      </c>
      <c r="G12" s="14">
        <v>45873</v>
      </c>
      <c r="H12" s="15">
        <v>22475</v>
      </c>
      <c r="I12" s="16">
        <v>469.66</v>
      </c>
      <c r="J12" s="27"/>
      <c r="K12" s="27"/>
      <c r="L12" s="27"/>
    </row>
    <row r="13" spans="1:12" x14ac:dyDescent="0.25">
      <c r="A13" s="26" t="s">
        <v>20</v>
      </c>
      <c r="B13" s="30">
        <v>23529</v>
      </c>
      <c r="D13" s="2" t="s">
        <v>116</v>
      </c>
      <c r="E13" s="2">
        <v>34408</v>
      </c>
      <c r="G13" s="14">
        <v>45874</v>
      </c>
      <c r="H13" s="15">
        <v>22498</v>
      </c>
      <c r="I13" s="16">
        <v>470.14</v>
      </c>
      <c r="J13" s="27"/>
      <c r="K13" s="27"/>
      <c r="L13" s="27"/>
    </row>
    <row r="14" spans="1:12" x14ac:dyDescent="0.25">
      <c r="A14" s="26" t="s">
        <v>21</v>
      </c>
      <c r="B14" s="26">
        <v>22860</v>
      </c>
      <c r="D14" s="2" t="s">
        <v>117</v>
      </c>
      <c r="E14" s="2">
        <v>26456</v>
      </c>
      <c r="G14" s="14">
        <v>45875</v>
      </c>
      <c r="H14" s="15">
        <v>23007</v>
      </c>
      <c r="I14" s="16">
        <v>480.78</v>
      </c>
      <c r="J14" s="27"/>
      <c r="K14" s="27"/>
      <c r="L14" s="27"/>
    </row>
    <row r="15" spans="1:12" x14ac:dyDescent="0.25">
      <c r="A15" s="26" t="s">
        <v>22</v>
      </c>
      <c r="B15" s="26">
        <v>22573</v>
      </c>
      <c r="D15" s="2" t="s">
        <v>118</v>
      </c>
      <c r="E15" s="2">
        <v>17724</v>
      </c>
      <c r="G15" s="14">
        <v>45876</v>
      </c>
      <c r="H15" s="15">
        <v>22397</v>
      </c>
      <c r="I15" s="16">
        <v>468.03</v>
      </c>
      <c r="J15" s="27"/>
      <c r="K15" s="27"/>
      <c r="L15" s="27"/>
    </row>
    <row r="16" spans="1:12" x14ac:dyDescent="0.25">
      <c r="A16" s="26" t="s">
        <v>23</v>
      </c>
      <c r="B16" s="30">
        <v>21167</v>
      </c>
      <c r="D16" s="2" t="s">
        <v>119</v>
      </c>
      <c r="E16" s="2">
        <v>16941</v>
      </c>
      <c r="G16" s="14">
        <v>45877</v>
      </c>
      <c r="H16" s="15">
        <v>22571</v>
      </c>
      <c r="I16" s="16">
        <v>471.67</v>
      </c>
      <c r="J16" s="27"/>
      <c r="K16" s="27"/>
      <c r="L16" s="27"/>
    </row>
    <row r="17" spans="1:12" x14ac:dyDescent="0.25">
      <c r="A17" s="26" t="s">
        <v>24</v>
      </c>
      <c r="B17" s="30">
        <v>21036</v>
      </c>
      <c r="D17" s="2" t="s">
        <v>120</v>
      </c>
      <c r="E17" s="2">
        <v>14914</v>
      </c>
      <c r="G17" s="14">
        <v>45878</v>
      </c>
      <c r="H17" s="15">
        <v>22569</v>
      </c>
      <c r="I17" s="16">
        <v>471.62</v>
      </c>
      <c r="J17" s="27"/>
      <c r="K17" s="27"/>
      <c r="L17" s="27"/>
    </row>
    <row r="18" spans="1:12" x14ac:dyDescent="0.25">
      <c r="A18" s="26" t="s">
        <v>25</v>
      </c>
      <c r="B18" s="30">
        <v>20786</v>
      </c>
      <c r="D18" s="2" t="s">
        <v>121</v>
      </c>
      <c r="E18" s="2">
        <v>13021</v>
      </c>
      <c r="G18" s="14">
        <v>45879</v>
      </c>
      <c r="H18" s="15">
        <v>22585</v>
      </c>
      <c r="I18" s="16">
        <v>471.96</v>
      </c>
      <c r="J18" s="27"/>
      <c r="K18" s="27"/>
      <c r="L18" s="27"/>
    </row>
    <row r="19" spans="1:12" x14ac:dyDescent="0.25">
      <c r="A19" s="26" t="s">
        <v>26</v>
      </c>
      <c r="B19" s="30">
        <v>19853</v>
      </c>
      <c r="D19" s="2" t="s">
        <v>122</v>
      </c>
      <c r="E19" s="2">
        <v>11582</v>
      </c>
      <c r="H19" s="17">
        <f>SUM(H12:H18)</f>
        <v>158102</v>
      </c>
      <c r="I19" s="18">
        <f>SUM(I12:I18)</f>
        <v>3303.8599999999997</v>
      </c>
      <c r="J19" s="27"/>
      <c r="K19" s="27"/>
      <c r="L19" s="27"/>
    </row>
    <row r="20" spans="1:12" x14ac:dyDescent="0.25">
      <c r="A20" s="26" t="s">
        <v>27</v>
      </c>
      <c r="B20" s="30">
        <v>19227</v>
      </c>
      <c r="D20" s="2" t="s">
        <v>123</v>
      </c>
      <c r="E20" s="2">
        <v>10032</v>
      </c>
      <c r="G20" s="11" t="s">
        <v>131</v>
      </c>
      <c r="H20" s="12" t="s">
        <v>7</v>
      </c>
      <c r="I20" s="13" t="s">
        <v>132</v>
      </c>
      <c r="J20" s="27"/>
      <c r="K20" s="27"/>
      <c r="L20" s="27"/>
    </row>
    <row r="21" spans="1:12" x14ac:dyDescent="0.25">
      <c r="A21" s="26" t="s">
        <v>28</v>
      </c>
      <c r="B21" s="26">
        <v>18870</v>
      </c>
      <c r="D21" s="2" t="s">
        <v>124</v>
      </c>
      <c r="E21" s="2">
        <v>9098</v>
      </c>
      <c r="G21" s="14">
        <v>45880</v>
      </c>
      <c r="H21" s="15">
        <v>22473</v>
      </c>
      <c r="I21" s="16">
        <v>472.07</v>
      </c>
      <c r="J21" s="27"/>
      <c r="K21" s="27"/>
      <c r="L21" s="27"/>
    </row>
    <row r="22" spans="1:12" x14ac:dyDescent="0.25">
      <c r="A22" s="26" t="s">
        <v>29</v>
      </c>
      <c r="B22" s="26">
        <v>17808</v>
      </c>
      <c r="D22" s="2" t="s">
        <v>125</v>
      </c>
      <c r="E22" s="2">
        <v>8446</v>
      </c>
      <c r="G22" s="14">
        <v>45881</v>
      </c>
      <c r="H22" s="15">
        <v>22560</v>
      </c>
      <c r="I22" s="16">
        <v>473.9</v>
      </c>
      <c r="J22" s="27"/>
      <c r="K22" s="27"/>
      <c r="L22" s="27"/>
    </row>
    <row r="23" spans="1:12" x14ac:dyDescent="0.25">
      <c r="A23" s="26" t="s">
        <v>30</v>
      </c>
      <c r="B23" s="30">
        <v>15865</v>
      </c>
      <c r="D23" s="2" t="s">
        <v>126</v>
      </c>
      <c r="E23" s="2">
        <v>5795</v>
      </c>
      <c r="G23" s="14">
        <v>45882</v>
      </c>
      <c r="H23" s="15">
        <v>22605</v>
      </c>
      <c r="I23" s="16">
        <v>474.85</v>
      </c>
      <c r="J23" s="27"/>
      <c r="K23" s="27"/>
      <c r="L23" s="27"/>
    </row>
    <row r="24" spans="1:12" x14ac:dyDescent="0.25">
      <c r="A24" s="26" t="s">
        <v>31</v>
      </c>
      <c r="B24" s="30">
        <v>15462</v>
      </c>
      <c r="D24" s="2" t="s">
        <v>127</v>
      </c>
      <c r="E24" s="2">
        <v>5180</v>
      </c>
      <c r="G24" s="14">
        <v>45883</v>
      </c>
      <c r="H24" s="15">
        <v>22505</v>
      </c>
      <c r="I24" s="16">
        <v>472.75</v>
      </c>
      <c r="J24" s="27"/>
      <c r="K24" s="27"/>
      <c r="L24" s="27"/>
    </row>
    <row r="25" spans="1:12" x14ac:dyDescent="0.25">
      <c r="A25" s="26" t="s">
        <v>32</v>
      </c>
      <c r="B25" s="30">
        <v>15113</v>
      </c>
      <c r="E25" s="8">
        <f>SUM(E3:E24)</f>
        <v>789262</v>
      </c>
      <c r="G25" s="14">
        <v>45884</v>
      </c>
      <c r="H25" s="15">
        <v>22561</v>
      </c>
      <c r="I25" s="16">
        <v>473.92</v>
      </c>
      <c r="J25" s="27"/>
      <c r="K25" s="27"/>
      <c r="L25" s="27"/>
    </row>
    <row r="26" spans="1:12" x14ac:dyDescent="0.25">
      <c r="A26" s="26" t="s">
        <v>33</v>
      </c>
      <c r="B26" s="26">
        <v>14436</v>
      </c>
      <c r="G26" s="14">
        <v>45885</v>
      </c>
      <c r="H26" s="15">
        <v>22584</v>
      </c>
      <c r="I26" s="16">
        <v>474.41</v>
      </c>
      <c r="J26" s="27"/>
      <c r="K26" s="27"/>
      <c r="L26" s="27"/>
    </row>
    <row r="27" spans="1:12" x14ac:dyDescent="0.25">
      <c r="A27" s="26" t="s">
        <v>34</v>
      </c>
      <c r="B27" s="26">
        <v>14211</v>
      </c>
      <c r="G27" s="14">
        <v>45886</v>
      </c>
      <c r="H27" s="15">
        <v>22548</v>
      </c>
      <c r="I27" s="16">
        <v>473.65</v>
      </c>
      <c r="J27" s="27"/>
      <c r="K27" s="27"/>
      <c r="L27" s="27"/>
    </row>
    <row r="28" spans="1:12" x14ac:dyDescent="0.25">
      <c r="A28" s="26" t="s">
        <v>35</v>
      </c>
      <c r="B28" s="30">
        <v>13482</v>
      </c>
      <c r="H28" s="17">
        <f>SUM(H21:H27)</f>
        <v>157836</v>
      </c>
      <c r="I28" s="18">
        <f>SUM(I21:I27)</f>
        <v>3315.55</v>
      </c>
      <c r="J28" s="27"/>
      <c r="K28" s="27"/>
      <c r="L28" s="27"/>
    </row>
    <row r="29" spans="1:12" x14ac:dyDescent="0.25">
      <c r="A29" s="26" t="s">
        <v>36</v>
      </c>
      <c r="B29" s="30">
        <v>13158</v>
      </c>
      <c r="G29" s="11" t="s">
        <v>131</v>
      </c>
      <c r="H29" s="12" t="s">
        <v>7</v>
      </c>
      <c r="I29" s="13" t="s">
        <v>132</v>
      </c>
      <c r="J29" s="27"/>
      <c r="K29" s="27"/>
      <c r="L29" s="27"/>
    </row>
    <row r="30" spans="1:12" x14ac:dyDescent="0.25">
      <c r="A30" s="26" t="s">
        <v>37</v>
      </c>
      <c r="B30" s="30">
        <v>12328</v>
      </c>
      <c r="G30" s="14">
        <v>45887</v>
      </c>
      <c r="H30" s="15">
        <v>22572</v>
      </c>
      <c r="I30" s="16">
        <v>471.87</v>
      </c>
      <c r="J30" s="27"/>
      <c r="K30" s="27"/>
      <c r="L30" s="27"/>
    </row>
    <row r="31" spans="1:12" x14ac:dyDescent="0.25">
      <c r="A31" s="26" t="s">
        <v>38</v>
      </c>
      <c r="B31" s="30">
        <v>11516</v>
      </c>
      <c r="G31" s="14">
        <v>45888</v>
      </c>
      <c r="H31" s="15">
        <v>22579</v>
      </c>
      <c r="I31" s="16">
        <v>472.01</v>
      </c>
      <c r="J31" s="27"/>
      <c r="K31" s="27"/>
      <c r="L31" s="27"/>
    </row>
    <row r="32" spans="1:12" x14ac:dyDescent="0.25">
      <c r="A32" s="26" t="s">
        <v>39</v>
      </c>
      <c r="B32" s="30">
        <v>10683</v>
      </c>
      <c r="G32" s="14">
        <v>45889</v>
      </c>
      <c r="H32" s="15">
        <v>22592</v>
      </c>
      <c r="I32" s="16">
        <v>472.29</v>
      </c>
      <c r="J32" s="27"/>
      <c r="K32" s="27"/>
      <c r="L32" s="27"/>
    </row>
    <row r="33" spans="1:12" x14ac:dyDescent="0.25">
      <c r="A33" s="26" t="s">
        <v>40</v>
      </c>
      <c r="B33" s="30">
        <v>10187</v>
      </c>
      <c r="G33" s="14">
        <v>45890</v>
      </c>
      <c r="H33" s="15">
        <v>22604</v>
      </c>
      <c r="I33" s="16">
        <v>472.54</v>
      </c>
      <c r="J33" s="27"/>
      <c r="K33" s="27"/>
      <c r="L33" s="27"/>
    </row>
    <row r="34" spans="1:12" x14ac:dyDescent="0.25">
      <c r="A34" s="26" t="s">
        <v>41</v>
      </c>
      <c r="B34" s="26">
        <v>9691</v>
      </c>
      <c r="G34" s="14">
        <v>45891</v>
      </c>
      <c r="H34" s="15">
        <v>22574</v>
      </c>
      <c r="I34" s="16">
        <v>471.91</v>
      </c>
      <c r="J34" s="27"/>
      <c r="K34" s="27"/>
      <c r="L34" s="27"/>
    </row>
    <row r="35" spans="1:12" x14ac:dyDescent="0.25">
      <c r="A35" s="30" t="s">
        <v>42</v>
      </c>
      <c r="B35" s="26">
        <v>8883</v>
      </c>
      <c r="G35" s="14">
        <v>45892</v>
      </c>
      <c r="H35" s="15">
        <v>22588</v>
      </c>
      <c r="I35" s="16">
        <v>472.2</v>
      </c>
      <c r="J35" s="27"/>
      <c r="K35" s="27"/>
      <c r="L35" s="27"/>
    </row>
    <row r="36" spans="1:12" x14ac:dyDescent="0.25">
      <c r="A36" s="26" t="s">
        <v>43</v>
      </c>
      <c r="B36" s="30">
        <v>8401</v>
      </c>
      <c r="G36" s="14">
        <v>45893</v>
      </c>
      <c r="H36" s="15">
        <v>22606</v>
      </c>
      <c r="I36" s="16">
        <v>472.58</v>
      </c>
      <c r="J36" s="27"/>
      <c r="K36" s="27"/>
      <c r="L36" s="27"/>
    </row>
    <row r="37" spans="1:12" x14ac:dyDescent="0.25">
      <c r="A37" s="26" t="s">
        <v>44</v>
      </c>
      <c r="B37" s="30">
        <v>8186</v>
      </c>
      <c r="H37" s="17">
        <f>SUM(H30:H36)</f>
        <v>158115</v>
      </c>
      <c r="I37" s="18">
        <f>SUM(I30:I36)</f>
        <v>3305.3999999999996</v>
      </c>
      <c r="J37" s="27"/>
      <c r="K37" s="27"/>
      <c r="L37" s="27"/>
    </row>
    <row r="38" spans="1:12" x14ac:dyDescent="0.25">
      <c r="A38" s="26" t="s">
        <v>45</v>
      </c>
      <c r="B38" s="30">
        <v>8157</v>
      </c>
      <c r="G38" s="11" t="s">
        <v>131</v>
      </c>
      <c r="H38" s="12" t="s">
        <v>7</v>
      </c>
      <c r="I38" s="13" t="s">
        <v>132</v>
      </c>
      <c r="J38" s="27"/>
      <c r="K38" s="27"/>
      <c r="L38" s="27"/>
    </row>
    <row r="39" spans="1:12" x14ac:dyDescent="0.25">
      <c r="A39" s="26" t="s">
        <v>46</v>
      </c>
      <c r="B39" s="30">
        <v>7027</v>
      </c>
      <c r="G39" s="14">
        <v>45894</v>
      </c>
      <c r="H39" s="15">
        <v>22567</v>
      </c>
      <c r="I39" s="16">
        <v>471.76</v>
      </c>
      <c r="J39" s="27"/>
      <c r="K39" s="27"/>
      <c r="L39" s="27"/>
    </row>
    <row r="40" spans="1:12" x14ac:dyDescent="0.25">
      <c r="A40" s="26" t="s">
        <v>47</v>
      </c>
      <c r="B40" s="26">
        <v>6587</v>
      </c>
      <c r="G40" s="14">
        <v>45895</v>
      </c>
      <c r="H40" s="15">
        <v>22581</v>
      </c>
      <c r="I40" s="16">
        <v>472.05</v>
      </c>
      <c r="J40" s="27"/>
      <c r="K40" s="27"/>
      <c r="L40" s="27"/>
    </row>
    <row r="41" spans="1:12" x14ac:dyDescent="0.25">
      <c r="A41" s="26" t="s">
        <v>48</v>
      </c>
      <c r="B41" s="30">
        <v>5457</v>
      </c>
      <c r="G41" s="14">
        <v>45896</v>
      </c>
      <c r="H41" s="15">
        <v>22568</v>
      </c>
      <c r="I41" s="16">
        <v>471.78</v>
      </c>
      <c r="J41" s="27"/>
      <c r="K41" s="27"/>
      <c r="L41" s="27"/>
    </row>
    <row r="42" spans="1:12" x14ac:dyDescent="0.25">
      <c r="A42" s="26" t="s">
        <v>49</v>
      </c>
      <c r="B42" s="30">
        <v>4695</v>
      </c>
      <c r="G42" s="14">
        <v>45897</v>
      </c>
      <c r="H42" s="15">
        <v>22575</v>
      </c>
      <c r="I42" s="16">
        <v>471.93</v>
      </c>
      <c r="J42" s="27"/>
      <c r="K42" s="27"/>
      <c r="L42" s="27"/>
    </row>
    <row r="43" spans="1:12" x14ac:dyDescent="0.25">
      <c r="A43" s="26" t="s">
        <v>50</v>
      </c>
      <c r="B43" s="26">
        <v>4648</v>
      </c>
      <c r="G43" s="14">
        <v>45898</v>
      </c>
      <c r="H43" s="15">
        <v>22573</v>
      </c>
      <c r="I43" s="16">
        <v>471.89</v>
      </c>
      <c r="J43" s="27"/>
      <c r="K43" s="27"/>
      <c r="L43" s="27"/>
    </row>
    <row r="44" spans="1:12" x14ac:dyDescent="0.25">
      <c r="A44" s="26" t="s">
        <v>51</v>
      </c>
      <c r="B44" s="30">
        <v>4175</v>
      </c>
      <c r="G44" s="14">
        <v>45899</v>
      </c>
      <c r="H44" s="15">
        <v>22564</v>
      </c>
      <c r="I44" s="16">
        <v>471.7</v>
      </c>
      <c r="J44" s="27"/>
      <c r="K44" s="27"/>
      <c r="L44" s="27"/>
    </row>
    <row r="45" spans="1:12" x14ac:dyDescent="0.25">
      <c r="A45" s="26" t="s">
        <v>52</v>
      </c>
      <c r="B45" s="26">
        <v>4107</v>
      </c>
      <c r="G45" s="14">
        <v>45900</v>
      </c>
      <c r="H45" s="15">
        <v>22568</v>
      </c>
      <c r="I45" s="16">
        <v>471.78</v>
      </c>
      <c r="J45" s="27"/>
      <c r="K45" s="27"/>
      <c r="L45" s="27"/>
    </row>
    <row r="46" spans="1:12" x14ac:dyDescent="0.25">
      <c r="A46" s="26" t="s">
        <v>53</v>
      </c>
      <c r="B46" s="30">
        <v>2939</v>
      </c>
      <c r="H46" s="17">
        <f>SUM(H39:H45)</f>
        <v>157996</v>
      </c>
      <c r="I46" s="18">
        <f>SUM(I39:I45)</f>
        <v>3302.8899999999994</v>
      </c>
      <c r="J46" s="27"/>
      <c r="K46" s="27"/>
      <c r="L46" s="27"/>
    </row>
    <row r="47" spans="1:12" x14ac:dyDescent="0.25">
      <c r="A47" s="26" t="s">
        <v>54</v>
      </c>
      <c r="B47" s="30">
        <v>2777</v>
      </c>
      <c r="L47" s="27"/>
    </row>
    <row r="48" spans="1:12" x14ac:dyDescent="0.25">
      <c r="A48" s="26" t="s">
        <v>55</v>
      </c>
      <c r="B48" s="26">
        <v>2715</v>
      </c>
    </row>
    <row r="49" spans="1:2" x14ac:dyDescent="0.25">
      <c r="A49" s="26" t="s">
        <v>56</v>
      </c>
      <c r="B49" s="30">
        <v>2319</v>
      </c>
    </row>
    <row r="50" spans="1:2" x14ac:dyDescent="0.25">
      <c r="A50" s="26" t="s">
        <v>57</v>
      </c>
      <c r="B50" s="30">
        <v>2260</v>
      </c>
    </row>
    <row r="51" spans="1:2" x14ac:dyDescent="0.25">
      <c r="A51" s="30" t="s">
        <v>58</v>
      </c>
      <c r="B51" s="26">
        <v>2258</v>
      </c>
    </row>
    <row r="52" spans="1:2" x14ac:dyDescent="0.25">
      <c r="A52" s="26" t="s">
        <v>59</v>
      </c>
      <c r="B52" s="26">
        <v>2105</v>
      </c>
    </row>
    <row r="53" spans="1:2" x14ac:dyDescent="0.25">
      <c r="A53" s="26" t="s">
        <v>60</v>
      </c>
      <c r="B53" s="30">
        <v>2097</v>
      </c>
    </row>
    <row r="54" spans="1:2" x14ac:dyDescent="0.25">
      <c r="A54" s="26" t="s">
        <v>61</v>
      </c>
      <c r="B54" s="30">
        <v>1480</v>
      </c>
    </row>
    <row r="55" spans="1:2" x14ac:dyDescent="0.25">
      <c r="A55" s="26" t="s">
        <v>62</v>
      </c>
      <c r="B55" s="30">
        <v>1447</v>
      </c>
    </row>
    <row r="56" spans="1:2" x14ac:dyDescent="0.25">
      <c r="A56" s="26" t="s">
        <v>63</v>
      </c>
      <c r="B56" s="30">
        <v>1432</v>
      </c>
    </row>
    <row r="57" spans="1:2" x14ac:dyDescent="0.25">
      <c r="A57" s="26" t="s">
        <v>64</v>
      </c>
      <c r="B57" s="30">
        <v>1372</v>
      </c>
    </row>
    <row r="58" spans="1:2" x14ac:dyDescent="0.25">
      <c r="A58" s="26" t="s">
        <v>65</v>
      </c>
      <c r="B58" s="30">
        <v>1372</v>
      </c>
    </row>
    <row r="59" spans="1:2" x14ac:dyDescent="0.25">
      <c r="A59" s="26" t="s">
        <v>66</v>
      </c>
      <c r="B59" s="30">
        <v>1365</v>
      </c>
    </row>
    <row r="60" spans="1:2" x14ac:dyDescent="0.25">
      <c r="A60" s="26" t="s">
        <v>67</v>
      </c>
      <c r="B60" s="30">
        <v>1244</v>
      </c>
    </row>
    <row r="61" spans="1:2" x14ac:dyDescent="0.25">
      <c r="A61" s="26" t="s">
        <v>68</v>
      </c>
      <c r="B61" s="26">
        <v>1209</v>
      </c>
    </row>
    <row r="62" spans="1:2" x14ac:dyDescent="0.25">
      <c r="A62" s="26" t="s">
        <v>69</v>
      </c>
      <c r="B62" s="30">
        <v>1120</v>
      </c>
    </row>
    <row r="63" spans="1:2" x14ac:dyDescent="0.25">
      <c r="A63" s="26" t="s">
        <v>70</v>
      </c>
      <c r="B63" s="30">
        <v>1037</v>
      </c>
    </row>
    <row r="64" spans="1:2" x14ac:dyDescent="0.25">
      <c r="A64" s="26" t="s">
        <v>71</v>
      </c>
      <c r="B64" s="30">
        <v>1018</v>
      </c>
    </row>
    <row r="65" spans="1:2" x14ac:dyDescent="0.25">
      <c r="A65" s="26" t="s">
        <v>72</v>
      </c>
      <c r="B65" s="30">
        <v>941</v>
      </c>
    </row>
    <row r="66" spans="1:2" x14ac:dyDescent="0.25">
      <c r="A66" s="26" t="s">
        <v>73</v>
      </c>
      <c r="B66" s="30">
        <v>936</v>
      </c>
    </row>
    <row r="67" spans="1:2" x14ac:dyDescent="0.25">
      <c r="A67" s="26" t="s">
        <v>74</v>
      </c>
      <c r="B67" s="30">
        <v>899</v>
      </c>
    </row>
    <row r="68" spans="1:2" x14ac:dyDescent="0.25">
      <c r="A68" s="26" t="s">
        <v>75</v>
      </c>
      <c r="B68" s="26">
        <v>880</v>
      </c>
    </row>
    <row r="69" spans="1:2" x14ac:dyDescent="0.25">
      <c r="A69" s="26" t="s">
        <v>76</v>
      </c>
      <c r="B69" s="30">
        <v>857</v>
      </c>
    </row>
    <row r="70" spans="1:2" x14ac:dyDescent="0.25">
      <c r="A70" s="26" t="s">
        <v>77</v>
      </c>
      <c r="B70" s="30">
        <v>853</v>
      </c>
    </row>
    <row r="71" spans="1:2" x14ac:dyDescent="0.25">
      <c r="A71" s="26" t="s">
        <v>78</v>
      </c>
      <c r="B71" s="30">
        <v>791</v>
      </c>
    </row>
    <row r="72" spans="1:2" x14ac:dyDescent="0.25">
      <c r="A72" s="26" t="s">
        <v>79</v>
      </c>
      <c r="B72" s="30">
        <v>680</v>
      </c>
    </row>
    <row r="73" spans="1:2" x14ac:dyDescent="0.25">
      <c r="A73" s="26" t="s">
        <v>80</v>
      </c>
      <c r="B73" s="30">
        <v>609</v>
      </c>
    </row>
    <row r="74" spans="1:2" x14ac:dyDescent="0.25">
      <c r="A74" s="26" t="s">
        <v>81</v>
      </c>
      <c r="B74" s="30">
        <v>540</v>
      </c>
    </row>
    <row r="75" spans="1:2" x14ac:dyDescent="0.25">
      <c r="A75" s="26" t="s">
        <v>82</v>
      </c>
      <c r="B75" s="30">
        <v>537</v>
      </c>
    </row>
    <row r="76" spans="1:2" x14ac:dyDescent="0.25">
      <c r="A76" s="26" t="s">
        <v>83</v>
      </c>
      <c r="B76" s="30">
        <v>496</v>
      </c>
    </row>
    <row r="77" spans="1:2" x14ac:dyDescent="0.25">
      <c r="A77" s="26" t="s">
        <v>84</v>
      </c>
      <c r="B77" s="30">
        <v>479</v>
      </c>
    </row>
    <row r="78" spans="1:2" x14ac:dyDescent="0.25">
      <c r="A78" s="26" t="s">
        <v>85</v>
      </c>
      <c r="B78" s="30">
        <v>446</v>
      </c>
    </row>
    <row r="79" spans="1:2" x14ac:dyDescent="0.25">
      <c r="A79" s="26" t="s">
        <v>86</v>
      </c>
      <c r="B79" s="30">
        <v>429</v>
      </c>
    </row>
    <row r="80" spans="1:2" x14ac:dyDescent="0.25">
      <c r="A80" s="26" t="s">
        <v>87</v>
      </c>
      <c r="B80" s="30">
        <v>405</v>
      </c>
    </row>
    <row r="81" spans="1:7" x14ac:dyDescent="0.25">
      <c r="A81" s="26" t="s">
        <v>88</v>
      </c>
      <c r="B81" s="30">
        <v>279</v>
      </c>
    </row>
    <row r="82" spans="1:7" x14ac:dyDescent="0.25">
      <c r="A82" s="26" t="s">
        <v>89</v>
      </c>
      <c r="B82" s="30">
        <v>278</v>
      </c>
    </row>
    <row r="83" spans="1:7" x14ac:dyDescent="0.25">
      <c r="A83" s="26" t="s">
        <v>90</v>
      </c>
      <c r="B83" s="30">
        <v>259</v>
      </c>
    </row>
    <row r="84" spans="1:7" x14ac:dyDescent="0.25">
      <c r="A84" s="26" t="s">
        <v>91</v>
      </c>
      <c r="B84" s="30">
        <v>253</v>
      </c>
    </row>
    <row r="85" spans="1:7" x14ac:dyDescent="0.25">
      <c r="A85" s="26" t="s">
        <v>92</v>
      </c>
      <c r="B85" s="30">
        <v>252</v>
      </c>
    </row>
    <row r="86" spans="1:7" x14ac:dyDescent="0.25">
      <c r="A86" s="26" t="s">
        <v>93</v>
      </c>
      <c r="B86" s="30">
        <v>250</v>
      </c>
    </row>
    <row r="87" spans="1:7" x14ac:dyDescent="0.25">
      <c r="A87" s="26" t="s">
        <v>94</v>
      </c>
      <c r="B87" s="30">
        <v>198</v>
      </c>
    </row>
    <row r="88" spans="1:7" x14ac:dyDescent="0.25">
      <c r="A88" s="26" t="s">
        <v>95</v>
      </c>
      <c r="B88" s="30">
        <v>198</v>
      </c>
    </row>
    <row r="89" spans="1:7" x14ac:dyDescent="0.25">
      <c r="A89" s="26" t="s">
        <v>96</v>
      </c>
      <c r="B89" s="30">
        <v>178</v>
      </c>
    </row>
    <row r="90" spans="1:7" x14ac:dyDescent="0.25">
      <c r="A90" s="26" t="s">
        <v>97</v>
      </c>
      <c r="B90" s="30">
        <v>168</v>
      </c>
    </row>
    <row r="91" spans="1:7" x14ac:dyDescent="0.25">
      <c r="A91" s="26" t="s">
        <v>98</v>
      </c>
      <c r="B91" s="30">
        <v>133</v>
      </c>
    </row>
    <row r="92" spans="1:7" x14ac:dyDescent="0.25">
      <c r="A92" s="26" t="s">
        <v>99</v>
      </c>
      <c r="B92" s="30">
        <v>82</v>
      </c>
    </row>
    <row r="93" spans="1:7" x14ac:dyDescent="0.25">
      <c r="A93" s="26" t="s">
        <v>100</v>
      </c>
      <c r="B93" s="26">
        <v>16</v>
      </c>
    </row>
    <row r="94" spans="1:7" x14ac:dyDescent="0.25">
      <c r="B94" s="31">
        <f>SUM(B3:B93)</f>
        <v>789262</v>
      </c>
    </row>
    <row r="96" spans="1:7" x14ac:dyDescent="0.25">
      <c r="A96" s="27" t="s">
        <v>273</v>
      </c>
      <c r="G96" t="s">
        <v>274</v>
      </c>
    </row>
    <row r="97" spans="1:9" x14ac:dyDescent="0.25">
      <c r="A97" s="3" t="s">
        <v>6</v>
      </c>
      <c r="B97" s="4" t="s">
        <v>7</v>
      </c>
      <c r="D97" s="3" t="s">
        <v>104</v>
      </c>
      <c r="E97" s="4" t="s">
        <v>7</v>
      </c>
      <c r="G97" s="14">
        <v>45866</v>
      </c>
      <c r="H97" s="15">
        <v>11576</v>
      </c>
      <c r="I97" s="16">
        <v>242.59</v>
      </c>
    </row>
    <row r="98" spans="1:9" x14ac:dyDescent="0.25">
      <c r="A98" s="2" t="s">
        <v>11</v>
      </c>
      <c r="B98" s="2">
        <v>28639</v>
      </c>
      <c r="D98" s="2" t="s">
        <v>106</v>
      </c>
      <c r="E98" s="2">
        <v>42723</v>
      </c>
      <c r="G98" s="14">
        <v>45867</v>
      </c>
      <c r="H98" s="15">
        <v>11614</v>
      </c>
      <c r="I98" s="16">
        <v>243.39</v>
      </c>
    </row>
    <row r="99" spans="1:9" x14ac:dyDescent="0.25">
      <c r="A99" s="2" t="s">
        <v>27</v>
      </c>
      <c r="B99" s="2">
        <v>25621</v>
      </c>
      <c r="D99" s="2" t="s">
        <v>107</v>
      </c>
      <c r="E99" s="2">
        <v>35119</v>
      </c>
      <c r="G99" s="14">
        <v>45868</v>
      </c>
      <c r="H99" s="15">
        <v>11559</v>
      </c>
      <c r="I99" s="16">
        <v>242.24</v>
      </c>
    </row>
    <row r="100" spans="1:9" x14ac:dyDescent="0.25">
      <c r="A100" s="2" t="s">
        <v>49</v>
      </c>
      <c r="B100" s="2">
        <v>21449</v>
      </c>
      <c r="D100" s="2" t="s">
        <v>108</v>
      </c>
      <c r="E100" s="2">
        <v>33519</v>
      </c>
      <c r="G100" s="14">
        <v>45869</v>
      </c>
      <c r="H100" s="15">
        <v>11642</v>
      </c>
      <c r="I100" s="16">
        <v>243.88</v>
      </c>
    </row>
    <row r="101" spans="1:9" x14ac:dyDescent="0.25">
      <c r="A101" s="2" t="s">
        <v>23</v>
      </c>
      <c r="B101" s="2">
        <v>19754</v>
      </c>
      <c r="D101" s="2" t="s">
        <v>109</v>
      </c>
      <c r="E101" s="2">
        <v>29115</v>
      </c>
      <c r="G101" s="14">
        <v>45870</v>
      </c>
      <c r="H101" s="15">
        <v>11568</v>
      </c>
      <c r="I101" s="16">
        <v>242.44</v>
      </c>
    </row>
    <row r="102" spans="1:9" x14ac:dyDescent="0.25">
      <c r="A102" s="2" t="s">
        <v>24</v>
      </c>
      <c r="B102" s="2">
        <v>17924</v>
      </c>
      <c r="D102" s="2" t="s">
        <v>110</v>
      </c>
      <c r="E102" s="2">
        <v>28704</v>
      </c>
      <c r="G102" s="14">
        <v>45871</v>
      </c>
      <c r="H102" s="15">
        <v>11593</v>
      </c>
      <c r="I102" s="16">
        <v>242.95</v>
      </c>
    </row>
    <row r="103" spans="1:9" x14ac:dyDescent="0.25">
      <c r="A103" s="2" t="s">
        <v>40</v>
      </c>
      <c r="B103" s="6">
        <v>15785</v>
      </c>
      <c r="D103" s="2" t="s">
        <v>112</v>
      </c>
      <c r="E103" s="2">
        <v>22460</v>
      </c>
      <c r="G103" s="14">
        <v>45872</v>
      </c>
      <c r="H103" s="15">
        <v>11582</v>
      </c>
      <c r="I103" s="16">
        <v>242.72</v>
      </c>
    </row>
    <row r="104" spans="1:9" x14ac:dyDescent="0.25">
      <c r="A104" s="2" t="s">
        <v>16</v>
      </c>
      <c r="B104" s="6">
        <v>14953</v>
      </c>
      <c r="D104" s="2" t="s">
        <v>111</v>
      </c>
      <c r="E104" s="2">
        <v>21678</v>
      </c>
      <c r="H104" s="17">
        <f>SUM(H97:H103)</f>
        <v>81134</v>
      </c>
      <c r="I104" s="18">
        <f>SUM(I97:I103)</f>
        <v>1700.21</v>
      </c>
    </row>
    <row r="105" spans="1:9" x14ac:dyDescent="0.25">
      <c r="A105" s="2" t="s">
        <v>25</v>
      </c>
      <c r="B105" s="6">
        <v>14656</v>
      </c>
      <c r="D105" s="2" t="s">
        <v>113</v>
      </c>
      <c r="E105" s="2">
        <v>20020</v>
      </c>
      <c r="G105" s="14">
        <v>45873</v>
      </c>
      <c r="H105" s="15">
        <v>11581</v>
      </c>
      <c r="I105" s="16">
        <v>242.01</v>
      </c>
    </row>
    <row r="106" spans="1:9" x14ac:dyDescent="0.25">
      <c r="A106" s="2" t="s">
        <v>35</v>
      </c>
      <c r="B106" s="6">
        <v>14303</v>
      </c>
      <c r="D106" s="2" t="s">
        <v>115</v>
      </c>
      <c r="E106" s="2">
        <v>19941</v>
      </c>
      <c r="G106" s="14">
        <v>45874</v>
      </c>
      <c r="H106" s="15">
        <v>11618</v>
      </c>
      <c r="I106" s="16">
        <v>242.78</v>
      </c>
    </row>
    <row r="107" spans="1:9" x14ac:dyDescent="0.25">
      <c r="A107" s="2" t="s">
        <v>37</v>
      </c>
      <c r="B107" s="6">
        <v>13914</v>
      </c>
      <c r="D107" s="2" t="s">
        <v>114</v>
      </c>
      <c r="E107" s="2">
        <v>17117</v>
      </c>
      <c r="G107" s="14">
        <v>45875</v>
      </c>
      <c r="H107" s="15">
        <v>11590</v>
      </c>
      <c r="I107" s="16">
        <v>242.2</v>
      </c>
    </row>
    <row r="108" spans="1:9" x14ac:dyDescent="0.25">
      <c r="A108" s="2" t="s">
        <v>12</v>
      </c>
      <c r="B108" s="6">
        <v>13484</v>
      </c>
      <c r="D108" s="2" t="s">
        <v>119</v>
      </c>
      <c r="E108" s="2">
        <v>14723</v>
      </c>
      <c r="G108" s="14">
        <v>45876</v>
      </c>
      <c r="H108" s="15">
        <v>11588</v>
      </c>
      <c r="I108" s="16">
        <v>242.15</v>
      </c>
    </row>
    <row r="109" spans="1:9" x14ac:dyDescent="0.25">
      <c r="A109" s="2" t="s">
        <v>20</v>
      </c>
      <c r="B109" s="6">
        <v>12243</v>
      </c>
      <c r="D109" s="2" t="s">
        <v>116</v>
      </c>
      <c r="E109" s="2">
        <v>14331</v>
      </c>
      <c r="G109" s="14">
        <v>45877</v>
      </c>
      <c r="H109" s="15">
        <v>11603</v>
      </c>
      <c r="I109" s="16">
        <v>242.47</v>
      </c>
    </row>
    <row r="110" spans="1:9" x14ac:dyDescent="0.25">
      <c r="A110" s="2" t="s">
        <v>26</v>
      </c>
      <c r="B110" s="6">
        <v>12041</v>
      </c>
      <c r="D110" s="2" t="s">
        <v>118</v>
      </c>
      <c r="E110" s="2">
        <v>12050</v>
      </c>
      <c r="G110" s="14">
        <v>45878</v>
      </c>
      <c r="H110" s="15">
        <v>11579</v>
      </c>
      <c r="I110" s="16">
        <v>241.97</v>
      </c>
    </row>
    <row r="111" spans="1:9" x14ac:dyDescent="0.25">
      <c r="A111" s="2" t="s">
        <v>32</v>
      </c>
      <c r="B111" s="6">
        <v>10875</v>
      </c>
      <c r="D111" s="2" t="s">
        <v>117</v>
      </c>
      <c r="E111" s="2">
        <v>11634</v>
      </c>
      <c r="G111" s="14">
        <v>45879</v>
      </c>
      <c r="H111" s="15">
        <v>11608</v>
      </c>
      <c r="I111" s="16">
        <v>242.56</v>
      </c>
    </row>
    <row r="112" spans="1:9" x14ac:dyDescent="0.25">
      <c r="A112" s="2" t="s">
        <v>31</v>
      </c>
      <c r="B112" s="6">
        <v>9195</v>
      </c>
      <c r="D112" s="2" t="s">
        <v>120</v>
      </c>
      <c r="E112" s="2">
        <v>10416</v>
      </c>
      <c r="H112" s="17">
        <f>SUM(H105:H111)</f>
        <v>81167</v>
      </c>
      <c r="I112" s="18">
        <f>SUM(I105:I111)</f>
        <v>1696.1399999999999</v>
      </c>
    </row>
    <row r="113" spans="1:9" x14ac:dyDescent="0.25">
      <c r="A113" s="2" t="s">
        <v>66</v>
      </c>
      <c r="B113" s="6">
        <v>9128</v>
      </c>
      <c r="D113" s="2" t="s">
        <v>182</v>
      </c>
      <c r="E113" s="2">
        <v>8351</v>
      </c>
      <c r="G113" s="14">
        <v>45880</v>
      </c>
      <c r="H113" s="15">
        <v>11446</v>
      </c>
      <c r="I113" s="16">
        <v>240.44</v>
      </c>
    </row>
    <row r="114" spans="1:9" x14ac:dyDescent="0.25">
      <c r="A114" s="2" t="s">
        <v>39</v>
      </c>
      <c r="B114" s="6">
        <v>8783</v>
      </c>
      <c r="D114" s="2" t="s">
        <v>121</v>
      </c>
      <c r="E114" s="2">
        <v>8316</v>
      </c>
      <c r="G114" s="14">
        <v>45881</v>
      </c>
      <c r="H114" s="15">
        <v>11409</v>
      </c>
      <c r="I114" s="16">
        <v>239.66</v>
      </c>
    </row>
    <row r="115" spans="1:9" x14ac:dyDescent="0.25">
      <c r="A115" s="2" t="s">
        <v>38</v>
      </c>
      <c r="B115" s="6">
        <v>8341</v>
      </c>
      <c r="D115" s="2" t="s">
        <v>122</v>
      </c>
      <c r="E115" s="2">
        <v>7797</v>
      </c>
      <c r="G115" s="14">
        <v>45882</v>
      </c>
      <c r="H115" s="15">
        <v>11492</v>
      </c>
      <c r="I115" s="16">
        <v>241.4</v>
      </c>
    </row>
    <row r="116" spans="1:9" x14ac:dyDescent="0.25">
      <c r="A116" s="2" t="s">
        <v>18</v>
      </c>
      <c r="B116" s="6">
        <v>8325</v>
      </c>
      <c r="D116" s="2" t="s">
        <v>183</v>
      </c>
      <c r="E116" s="2">
        <v>7357</v>
      </c>
      <c r="G116" s="14">
        <v>45883</v>
      </c>
      <c r="H116" s="15">
        <v>11461</v>
      </c>
      <c r="I116" s="16">
        <v>240.75</v>
      </c>
    </row>
    <row r="117" spans="1:9" x14ac:dyDescent="0.25">
      <c r="A117" s="2" t="s">
        <v>45</v>
      </c>
      <c r="B117" s="6">
        <v>7516</v>
      </c>
      <c r="D117" s="2" t="s">
        <v>184</v>
      </c>
      <c r="E117" s="2">
        <v>6237</v>
      </c>
      <c r="G117" s="14">
        <v>45884</v>
      </c>
      <c r="H117" s="15">
        <v>11439</v>
      </c>
      <c r="I117" s="16">
        <v>240.29</v>
      </c>
    </row>
    <row r="118" spans="1:9" x14ac:dyDescent="0.25">
      <c r="A118" s="2" t="s">
        <v>43</v>
      </c>
      <c r="B118" s="6">
        <v>7284</v>
      </c>
      <c r="D118" s="2" t="s">
        <v>125</v>
      </c>
      <c r="E118" s="2">
        <v>5079</v>
      </c>
      <c r="G118" s="14">
        <v>45885</v>
      </c>
      <c r="H118" s="15">
        <v>11493</v>
      </c>
      <c r="I118" s="16">
        <v>241.43</v>
      </c>
    </row>
    <row r="119" spans="1:9" x14ac:dyDescent="0.25">
      <c r="A119" s="2" t="s">
        <v>17</v>
      </c>
      <c r="B119" s="6">
        <v>7164</v>
      </c>
      <c r="D119" s="2" t="s">
        <v>123</v>
      </c>
      <c r="E119" s="2">
        <v>4873</v>
      </c>
      <c r="G119" s="14">
        <v>45886</v>
      </c>
      <c r="H119" s="15">
        <v>11448</v>
      </c>
      <c r="I119" s="16">
        <v>240.48</v>
      </c>
    </row>
    <row r="120" spans="1:9" x14ac:dyDescent="0.25">
      <c r="A120" s="2" t="s">
        <v>48</v>
      </c>
      <c r="B120" s="6">
        <v>6216</v>
      </c>
      <c r="D120" s="2" t="s">
        <v>185</v>
      </c>
      <c r="E120" s="2">
        <v>4771</v>
      </c>
      <c r="H120" s="17">
        <f>SUM(H113:H119)</f>
        <v>80188</v>
      </c>
      <c r="I120" s="18">
        <f>SUM(I113:I119)</f>
        <v>1684.45</v>
      </c>
    </row>
    <row r="121" spans="1:9" x14ac:dyDescent="0.25">
      <c r="A121" s="2" t="s">
        <v>56</v>
      </c>
      <c r="B121" s="6">
        <v>5435</v>
      </c>
      <c r="D121" s="2" t="s">
        <v>126</v>
      </c>
      <c r="E121" s="2">
        <v>4769</v>
      </c>
      <c r="G121" s="14">
        <v>45887</v>
      </c>
      <c r="H121" s="15">
        <v>11572</v>
      </c>
      <c r="I121" s="16">
        <v>241.91</v>
      </c>
    </row>
    <row r="122" spans="1:9" x14ac:dyDescent="0.25">
      <c r="A122" s="2" t="s">
        <v>30</v>
      </c>
      <c r="B122" s="6">
        <v>5265</v>
      </c>
      <c r="D122" s="2" t="s">
        <v>186</v>
      </c>
      <c r="E122" s="2">
        <v>3584</v>
      </c>
      <c r="G122" s="14">
        <v>45888</v>
      </c>
      <c r="H122" s="15">
        <v>11549</v>
      </c>
      <c r="I122" s="16">
        <v>241.43</v>
      </c>
    </row>
    <row r="123" spans="1:9" x14ac:dyDescent="0.25">
      <c r="A123" s="2" t="s">
        <v>63</v>
      </c>
      <c r="B123" s="6">
        <v>5216</v>
      </c>
      <c r="D123" s="2" t="s">
        <v>127</v>
      </c>
      <c r="E123" s="2">
        <v>3576</v>
      </c>
      <c r="G123" s="14">
        <v>45889</v>
      </c>
      <c r="H123" s="15">
        <v>11604</v>
      </c>
      <c r="I123" s="16">
        <v>242.58</v>
      </c>
    </row>
    <row r="124" spans="1:9" x14ac:dyDescent="0.25">
      <c r="A124" s="2" t="s">
        <v>44</v>
      </c>
      <c r="B124" s="6">
        <v>4892</v>
      </c>
      <c r="D124" s="2" t="s">
        <v>187</v>
      </c>
      <c r="E124" s="2">
        <v>2999</v>
      </c>
      <c r="G124" s="14">
        <v>45890</v>
      </c>
      <c r="H124" s="15">
        <v>11596</v>
      </c>
      <c r="I124" s="16">
        <v>242.41</v>
      </c>
    </row>
    <row r="125" spans="1:9" x14ac:dyDescent="0.25">
      <c r="A125" s="2" t="s">
        <v>67</v>
      </c>
      <c r="B125" s="6">
        <v>4175</v>
      </c>
      <c r="D125" s="2" t="s">
        <v>188</v>
      </c>
      <c r="E125" s="2">
        <v>2004</v>
      </c>
      <c r="G125" s="14">
        <v>45891</v>
      </c>
      <c r="H125" s="15">
        <v>11583</v>
      </c>
      <c r="I125" s="16">
        <v>242.14</v>
      </c>
    </row>
    <row r="126" spans="1:9" x14ac:dyDescent="0.25">
      <c r="A126" s="2" t="s">
        <v>64</v>
      </c>
      <c r="B126" s="6">
        <v>4132</v>
      </c>
      <c r="D126" s="2" t="s">
        <v>189</v>
      </c>
      <c r="E126" s="2">
        <v>1182</v>
      </c>
      <c r="G126" s="14">
        <v>45892</v>
      </c>
      <c r="H126" s="15">
        <v>11582</v>
      </c>
      <c r="I126" s="16">
        <v>242.13</v>
      </c>
    </row>
    <row r="127" spans="1:9" x14ac:dyDescent="0.25">
      <c r="A127" s="2" t="s">
        <v>14</v>
      </c>
      <c r="B127" s="6">
        <v>3885</v>
      </c>
      <c r="E127" s="8">
        <f>SUM(E98:E126)</f>
        <v>404445</v>
      </c>
      <c r="G127" s="14">
        <v>45893</v>
      </c>
      <c r="H127" s="15">
        <v>11576</v>
      </c>
      <c r="I127" s="16">
        <v>242</v>
      </c>
    </row>
    <row r="128" spans="1:9" x14ac:dyDescent="0.25">
      <c r="A128" s="2" t="s">
        <v>76</v>
      </c>
      <c r="B128" s="6">
        <v>3742</v>
      </c>
      <c r="H128" s="17">
        <f>SUM(H121:H127)</f>
        <v>81062</v>
      </c>
      <c r="I128" s="18">
        <f>SUM(I121:I127)</f>
        <v>1694.6</v>
      </c>
    </row>
    <row r="129" spans="1:9" x14ac:dyDescent="0.25">
      <c r="A129" s="2" t="s">
        <v>69</v>
      </c>
      <c r="B129" s="6">
        <v>3388</v>
      </c>
      <c r="G129" s="14">
        <v>45894</v>
      </c>
      <c r="H129" s="15">
        <v>11549</v>
      </c>
      <c r="I129" s="16">
        <v>241.72</v>
      </c>
    </row>
    <row r="130" spans="1:9" x14ac:dyDescent="0.25">
      <c r="A130" s="2" t="s">
        <v>81</v>
      </c>
      <c r="B130" s="6">
        <v>3282</v>
      </c>
      <c r="G130" s="14">
        <v>45895</v>
      </c>
      <c r="H130" s="15">
        <v>11562</v>
      </c>
      <c r="I130" s="16">
        <v>241.99</v>
      </c>
    </row>
    <row r="131" spans="1:9" x14ac:dyDescent="0.25">
      <c r="A131" s="2" t="s">
        <v>70</v>
      </c>
      <c r="B131" s="6">
        <v>3094</v>
      </c>
      <c r="G131" s="14">
        <v>45896</v>
      </c>
      <c r="H131" s="15">
        <v>11573</v>
      </c>
      <c r="I131" s="16">
        <v>242.22</v>
      </c>
    </row>
    <row r="132" spans="1:9" x14ac:dyDescent="0.25">
      <c r="A132" s="2" t="s">
        <v>74</v>
      </c>
      <c r="B132" s="6">
        <v>3066</v>
      </c>
      <c r="G132" s="14">
        <v>45897</v>
      </c>
      <c r="H132" s="15">
        <v>11544</v>
      </c>
      <c r="I132" s="16">
        <v>242.62</v>
      </c>
    </row>
    <row r="133" spans="1:9" x14ac:dyDescent="0.25">
      <c r="A133" s="2" t="s">
        <v>91</v>
      </c>
      <c r="B133" s="6">
        <v>3034</v>
      </c>
      <c r="G133" s="14">
        <v>45898</v>
      </c>
      <c r="H133" s="15">
        <v>11561</v>
      </c>
      <c r="I133" s="16">
        <v>242.97</v>
      </c>
    </row>
    <row r="134" spans="1:9" x14ac:dyDescent="0.25">
      <c r="A134" s="2" t="s">
        <v>78</v>
      </c>
      <c r="B134" s="6">
        <v>2926</v>
      </c>
      <c r="G134" s="14">
        <v>45899</v>
      </c>
      <c r="H134" s="15">
        <v>11554</v>
      </c>
      <c r="I134" s="16">
        <v>242.83</v>
      </c>
    </row>
    <row r="135" spans="1:9" x14ac:dyDescent="0.25">
      <c r="A135" s="2" t="s">
        <v>84</v>
      </c>
      <c r="B135" s="6">
        <v>2788</v>
      </c>
      <c r="G135" s="14">
        <v>45900</v>
      </c>
      <c r="H135" s="15">
        <v>11551</v>
      </c>
      <c r="I135" s="16">
        <v>242.76</v>
      </c>
    </row>
    <row r="136" spans="1:9" x14ac:dyDescent="0.25">
      <c r="A136" s="2" t="s">
        <v>93</v>
      </c>
      <c r="B136" s="6">
        <v>2762</v>
      </c>
      <c r="H136" s="17">
        <f>SUM(H129:H135)</f>
        <v>80894</v>
      </c>
      <c r="I136" s="18">
        <f>SUM(I129:I135)</f>
        <v>1697.11</v>
      </c>
    </row>
    <row r="137" spans="1:9" x14ac:dyDescent="0.25">
      <c r="A137" s="2" t="s">
        <v>88</v>
      </c>
      <c r="B137" s="6">
        <v>2590</v>
      </c>
    </row>
    <row r="138" spans="1:9" x14ac:dyDescent="0.25">
      <c r="A138" s="2" t="s">
        <v>85</v>
      </c>
      <c r="B138" s="6">
        <v>2388</v>
      </c>
    </row>
    <row r="139" spans="1:9" x14ac:dyDescent="0.25">
      <c r="A139" s="2" t="s">
        <v>89</v>
      </c>
      <c r="B139" s="6">
        <v>2296</v>
      </c>
    </row>
    <row r="140" spans="1:9" x14ac:dyDescent="0.25">
      <c r="A140" s="2" t="s">
        <v>97</v>
      </c>
      <c r="B140" s="6">
        <v>2282</v>
      </c>
    </row>
    <row r="141" spans="1:9" x14ac:dyDescent="0.25">
      <c r="A141" s="2" t="s">
        <v>61</v>
      </c>
      <c r="B141" s="6">
        <v>2244</v>
      </c>
    </row>
    <row r="142" spans="1:9" x14ac:dyDescent="0.25">
      <c r="A142" s="2" t="s">
        <v>72</v>
      </c>
      <c r="B142" s="6">
        <v>2100</v>
      </c>
    </row>
    <row r="143" spans="1:9" x14ac:dyDescent="0.25">
      <c r="A143" s="2" t="s">
        <v>65</v>
      </c>
      <c r="B143" s="6">
        <v>2020</v>
      </c>
    </row>
    <row r="144" spans="1:9" x14ac:dyDescent="0.25">
      <c r="A144" s="2" t="s">
        <v>36</v>
      </c>
      <c r="B144" s="6">
        <v>1718</v>
      </c>
    </row>
    <row r="145" spans="1:2" x14ac:dyDescent="0.25">
      <c r="A145" s="2" t="s">
        <v>94</v>
      </c>
      <c r="B145" s="6">
        <v>1633</v>
      </c>
    </row>
    <row r="146" spans="1:2" x14ac:dyDescent="0.25">
      <c r="A146" s="2" t="s">
        <v>83</v>
      </c>
      <c r="B146" s="6">
        <v>1579</v>
      </c>
    </row>
    <row r="147" spans="1:2" x14ac:dyDescent="0.25">
      <c r="A147" s="2" t="s">
        <v>92</v>
      </c>
      <c r="B147" s="6">
        <v>1491</v>
      </c>
    </row>
    <row r="148" spans="1:2" x14ac:dyDescent="0.25">
      <c r="A148" s="2" t="s">
        <v>46</v>
      </c>
      <c r="B148" s="6">
        <v>1372</v>
      </c>
    </row>
    <row r="149" spans="1:2" x14ac:dyDescent="0.25">
      <c r="A149" s="2" t="s">
        <v>51</v>
      </c>
      <c r="B149" s="6">
        <v>1213</v>
      </c>
    </row>
    <row r="150" spans="1:2" x14ac:dyDescent="0.25">
      <c r="A150" s="2" t="s">
        <v>87</v>
      </c>
      <c r="B150" s="6">
        <v>1200</v>
      </c>
    </row>
    <row r="151" spans="1:2" x14ac:dyDescent="0.25">
      <c r="A151" s="2" t="s">
        <v>90</v>
      </c>
      <c r="B151" s="6">
        <v>1174</v>
      </c>
    </row>
    <row r="152" spans="1:2" x14ac:dyDescent="0.25">
      <c r="A152" s="2" t="s">
        <v>71</v>
      </c>
      <c r="B152" s="6">
        <v>1073</v>
      </c>
    </row>
    <row r="153" spans="1:2" x14ac:dyDescent="0.25">
      <c r="A153" s="2" t="s">
        <v>53</v>
      </c>
      <c r="B153" s="6">
        <v>861</v>
      </c>
    </row>
    <row r="154" spans="1:2" x14ac:dyDescent="0.25">
      <c r="A154" s="2" t="s">
        <v>178</v>
      </c>
      <c r="B154" s="6">
        <v>837</v>
      </c>
    </row>
    <row r="155" spans="1:2" x14ac:dyDescent="0.25">
      <c r="A155" s="2" t="s">
        <v>79</v>
      </c>
      <c r="B155" s="6">
        <v>761</v>
      </c>
    </row>
    <row r="156" spans="1:2" x14ac:dyDescent="0.25">
      <c r="A156" s="2" t="s">
        <v>98</v>
      </c>
      <c r="B156" s="6">
        <v>697</v>
      </c>
    </row>
    <row r="157" spans="1:2" x14ac:dyDescent="0.25">
      <c r="A157" s="2" t="s">
        <v>62</v>
      </c>
      <c r="B157" s="6">
        <v>541</v>
      </c>
    </row>
    <row r="158" spans="1:2" x14ac:dyDescent="0.25">
      <c r="A158" s="2" t="s">
        <v>60</v>
      </c>
      <c r="B158" s="6">
        <v>501</v>
      </c>
    </row>
    <row r="159" spans="1:2" x14ac:dyDescent="0.25">
      <c r="A159" s="2" t="s">
        <v>179</v>
      </c>
      <c r="B159" s="6">
        <v>496</v>
      </c>
    </row>
    <row r="160" spans="1:2" x14ac:dyDescent="0.25">
      <c r="A160" s="2" t="s">
        <v>54</v>
      </c>
      <c r="B160" s="6">
        <v>441</v>
      </c>
    </row>
    <row r="161" spans="1:2" x14ac:dyDescent="0.25">
      <c r="A161" s="2" t="s">
        <v>96</v>
      </c>
      <c r="B161" s="6">
        <v>416</v>
      </c>
    </row>
    <row r="162" spans="1:2" x14ac:dyDescent="0.25">
      <c r="A162" s="2" t="s">
        <v>99</v>
      </c>
      <c r="B162" s="6">
        <v>304</v>
      </c>
    </row>
    <row r="163" spans="1:2" x14ac:dyDescent="0.25">
      <c r="A163" s="2" t="s">
        <v>86</v>
      </c>
      <c r="B163" s="6">
        <v>290</v>
      </c>
    </row>
    <row r="164" spans="1:2" x14ac:dyDescent="0.25">
      <c r="A164" s="2" t="s">
        <v>73</v>
      </c>
      <c r="B164" s="6">
        <v>268</v>
      </c>
    </row>
    <row r="165" spans="1:2" x14ac:dyDescent="0.25">
      <c r="A165" s="2" t="s">
        <v>82</v>
      </c>
      <c r="B165" s="6">
        <v>268</v>
      </c>
    </row>
    <row r="166" spans="1:2" x14ac:dyDescent="0.25">
      <c r="A166" s="2" t="s">
        <v>80</v>
      </c>
      <c r="B166" s="6">
        <v>165</v>
      </c>
    </row>
    <row r="167" spans="1:2" x14ac:dyDescent="0.25">
      <c r="A167" s="2" t="s">
        <v>57</v>
      </c>
      <c r="B167" s="6">
        <v>138</v>
      </c>
    </row>
    <row r="168" spans="1:2" x14ac:dyDescent="0.25">
      <c r="A168" s="2" t="s">
        <v>77</v>
      </c>
      <c r="B168" s="6">
        <v>133</v>
      </c>
    </row>
    <row r="169" spans="1:2" x14ac:dyDescent="0.25">
      <c r="A169" s="2" t="s">
        <v>180</v>
      </c>
      <c r="B169" s="6">
        <v>106</v>
      </c>
    </row>
    <row r="170" spans="1:2" x14ac:dyDescent="0.25">
      <c r="A170" s="2" t="s">
        <v>95</v>
      </c>
      <c r="B170" s="6">
        <v>97</v>
      </c>
    </row>
    <row r="171" spans="1:2" x14ac:dyDescent="0.25">
      <c r="A171" s="2" t="s">
        <v>181</v>
      </c>
      <c r="B171" s="6">
        <v>77</v>
      </c>
    </row>
    <row r="172" spans="1:2" x14ac:dyDescent="0.25">
      <c r="A172"/>
      <c r="B172" s="8">
        <f>SUM(B98:B171)</f>
        <v>404445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DE8E5-C500-A649-B172-A03F40E6A336}">
  <dimension ref="A1:E28"/>
  <sheetViews>
    <sheetView workbookViewId="0">
      <selection activeCell="D1" sqref="D1:E1048576"/>
    </sheetView>
  </sheetViews>
  <sheetFormatPr baseColWidth="10" defaultRowHeight="16" x14ac:dyDescent="0.2"/>
  <cols>
    <col min="1" max="1" width="13.33203125" customWidth="1"/>
    <col min="2" max="2" width="24.1640625" customWidth="1"/>
    <col min="3" max="3" width="39.83203125" customWidth="1"/>
    <col min="4" max="4" width="24" customWidth="1"/>
    <col min="5" max="5" width="18.5" customWidth="1"/>
  </cols>
  <sheetData>
    <row r="1" spans="1:5" x14ac:dyDescent="0.2">
      <c r="A1" s="1" t="s">
        <v>102</v>
      </c>
      <c r="B1" s="1"/>
      <c r="C1" s="1"/>
      <c r="D1" s="1"/>
      <c r="E1" s="1"/>
    </row>
    <row r="2" spans="1:5" x14ac:dyDescent="0.2">
      <c r="A2" s="1" t="s">
        <v>1</v>
      </c>
      <c r="B2" s="1"/>
      <c r="C2" s="1"/>
      <c r="D2" s="9"/>
      <c r="E2" s="1"/>
    </row>
    <row r="3" spans="1:5" x14ac:dyDescent="0.2">
      <c r="A3" s="1" t="s">
        <v>2</v>
      </c>
      <c r="B3" s="1"/>
      <c r="C3" s="1"/>
      <c r="D3" s="1"/>
      <c r="E3" s="10"/>
    </row>
    <row r="4" spans="1:5" x14ac:dyDescent="0.2">
      <c r="A4" s="1" t="s">
        <v>103</v>
      </c>
      <c r="B4" s="1"/>
      <c r="C4" s="1"/>
      <c r="D4" s="1"/>
      <c r="E4" s="1"/>
    </row>
    <row r="5" spans="1:5" x14ac:dyDescent="0.2">
      <c r="A5" s="3" t="s">
        <v>3</v>
      </c>
      <c r="B5" s="3" t="s">
        <v>4</v>
      </c>
      <c r="C5" s="3" t="s">
        <v>5</v>
      </c>
      <c r="D5" s="3" t="s">
        <v>104</v>
      </c>
      <c r="E5" s="4" t="s">
        <v>7</v>
      </c>
    </row>
    <row r="6" spans="1:5" x14ac:dyDescent="0.2">
      <c r="A6" s="6" t="s">
        <v>8</v>
      </c>
      <c r="B6" s="6" t="s">
        <v>9</v>
      </c>
      <c r="C6" s="6" t="s">
        <v>105</v>
      </c>
      <c r="D6" s="2" t="s">
        <v>106</v>
      </c>
      <c r="E6" s="2">
        <v>81551</v>
      </c>
    </row>
    <row r="7" spans="1:5" x14ac:dyDescent="0.2">
      <c r="A7" s="6" t="s">
        <v>8</v>
      </c>
      <c r="B7" s="6" t="s">
        <v>9</v>
      </c>
      <c r="C7" s="6" t="s">
        <v>105</v>
      </c>
      <c r="D7" s="2" t="s">
        <v>107</v>
      </c>
      <c r="E7" s="2">
        <v>76544</v>
      </c>
    </row>
    <row r="8" spans="1:5" x14ac:dyDescent="0.2">
      <c r="A8" s="6" t="s">
        <v>8</v>
      </c>
      <c r="B8" s="6" t="s">
        <v>9</v>
      </c>
      <c r="C8" s="6" t="s">
        <v>105</v>
      </c>
      <c r="D8" s="2" t="s">
        <v>108</v>
      </c>
      <c r="E8" s="2">
        <v>71290</v>
      </c>
    </row>
    <row r="9" spans="1:5" x14ac:dyDescent="0.2">
      <c r="A9" s="6" t="s">
        <v>8</v>
      </c>
      <c r="B9" s="6" t="s">
        <v>9</v>
      </c>
      <c r="C9" s="6" t="s">
        <v>105</v>
      </c>
      <c r="D9" s="2" t="s">
        <v>109</v>
      </c>
      <c r="E9" s="2">
        <v>71131</v>
      </c>
    </row>
    <row r="10" spans="1:5" x14ac:dyDescent="0.2">
      <c r="A10" s="6" t="s">
        <v>8</v>
      </c>
      <c r="B10" s="6" t="s">
        <v>9</v>
      </c>
      <c r="C10" s="6" t="s">
        <v>105</v>
      </c>
      <c r="D10" s="2" t="s">
        <v>110</v>
      </c>
      <c r="E10" s="2">
        <v>62935</v>
      </c>
    </row>
    <row r="11" spans="1:5" x14ac:dyDescent="0.2">
      <c r="A11" s="6" t="s">
        <v>8</v>
      </c>
      <c r="B11" s="6" t="s">
        <v>9</v>
      </c>
      <c r="C11" s="6" t="s">
        <v>105</v>
      </c>
      <c r="D11" s="2" t="s">
        <v>111</v>
      </c>
      <c r="E11" s="2">
        <v>60697</v>
      </c>
    </row>
    <row r="12" spans="1:5" x14ac:dyDescent="0.2">
      <c r="A12" s="6" t="s">
        <v>8</v>
      </c>
      <c r="B12" s="6" t="s">
        <v>9</v>
      </c>
      <c r="C12" s="6" t="s">
        <v>105</v>
      </c>
      <c r="D12" s="2" t="s">
        <v>112</v>
      </c>
      <c r="E12" s="2">
        <v>56249</v>
      </c>
    </row>
    <row r="13" spans="1:5" x14ac:dyDescent="0.2">
      <c r="A13" s="6" t="s">
        <v>8</v>
      </c>
      <c r="B13" s="6" t="s">
        <v>9</v>
      </c>
      <c r="C13" s="6" t="s">
        <v>105</v>
      </c>
      <c r="D13" s="2" t="s">
        <v>113</v>
      </c>
      <c r="E13" s="2">
        <v>51533</v>
      </c>
    </row>
    <row r="14" spans="1:5" x14ac:dyDescent="0.2">
      <c r="A14" s="6" t="s">
        <v>8</v>
      </c>
      <c r="B14" s="6" t="s">
        <v>9</v>
      </c>
      <c r="C14" s="6" t="s">
        <v>105</v>
      </c>
      <c r="D14" s="2" t="s">
        <v>114</v>
      </c>
      <c r="E14" s="2">
        <v>45066</v>
      </c>
    </row>
    <row r="15" spans="1:5" x14ac:dyDescent="0.2">
      <c r="A15" s="6" t="s">
        <v>8</v>
      </c>
      <c r="B15" s="6" t="s">
        <v>9</v>
      </c>
      <c r="C15" s="6" t="s">
        <v>105</v>
      </c>
      <c r="D15" s="2" t="s">
        <v>115</v>
      </c>
      <c r="E15" s="2">
        <v>38669</v>
      </c>
    </row>
    <row r="16" spans="1:5" x14ac:dyDescent="0.2">
      <c r="A16" s="6" t="s">
        <v>8</v>
      </c>
      <c r="B16" s="6" t="s">
        <v>9</v>
      </c>
      <c r="C16" s="6" t="s">
        <v>105</v>
      </c>
      <c r="D16" s="2" t="s">
        <v>116</v>
      </c>
      <c r="E16" s="2">
        <v>34408</v>
      </c>
    </row>
    <row r="17" spans="1:5" x14ac:dyDescent="0.2">
      <c r="A17" s="6" t="s">
        <v>8</v>
      </c>
      <c r="B17" s="6" t="s">
        <v>9</v>
      </c>
      <c r="C17" s="6" t="s">
        <v>105</v>
      </c>
      <c r="D17" s="2" t="s">
        <v>117</v>
      </c>
      <c r="E17" s="2">
        <v>26456</v>
      </c>
    </row>
    <row r="18" spans="1:5" x14ac:dyDescent="0.2">
      <c r="A18" s="6" t="s">
        <v>8</v>
      </c>
      <c r="B18" s="6" t="s">
        <v>9</v>
      </c>
      <c r="C18" s="6" t="s">
        <v>105</v>
      </c>
      <c r="D18" s="2" t="s">
        <v>118</v>
      </c>
      <c r="E18" s="2">
        <v>17724</v>
      </c>
    </row>
    <row r="19" spans="1:5" x14ac:dyDescent="0.2">
      <c r="A19" s="6" t="s">
        <v>8</v>
      </c>
      <c r="B19" s="6" t="s">
        <v>9</v>
      </c>
      <c r="C19" s="6" t="s">
        <v>105</v>
      </c>
      <c r="D19" s="2" t="s">
        <v>119</v>
      </c>
      <c r="E19" s="2">
        <v>16941</v>
      </c>
    </row>
    <row r="20" spans="1:5" x14ac:dyDescent="0.2">
      <c r="A20" s="6" t="s">
        <v>8</v>
      </c>
      <c r="B20" s="6" t="s">
        <v>9</v>
      </c>
      <c r="C20" s="6" t="s">
        <v>105</v>
      </c>
      <c r="D20" s="2" t="s">
        <v>120</v>
      </c>
      <c r="E20" s="2">
        <v>14914</v>
      </c>
    </row>
    <row r="21" spans="1:5" x14ac:dyDescent="0.2">
      <c r="A21" s="6" t="s">
        <v>8</v>
      </c>
      <c r="B21" s="6" t="s">
        <v>9</v>
      </c>
      <c r="C21" s="6" t="s">
        <v>105</v>
      </c>
      <c r="D21" s="2" t="s">
        <v>121</v>
      </c>
      <c r="E21" s="2">
        <v>13021</v>
      </c>
    </row>
    <row r="22" spans="1:5" x14ac:dyDescent="0.2">
      <c r="A22" s="6" t="s">
        <v>8</v>
      </c>
      <c r="B22" s="6" t="s">
        <v>9</v>
      </c>
      <c r="C22" s="6" t="s">
        <v>105</v>
      </c>
      <c r="D22" s="2" t="s">
        <v>122</v>
      </c>
      <c r="E22" s="2">
        <v>11582</v>
      </c>
    </row>
    <row r="23" spans="1:5" x14ac:dyDescent="0.2">
      <c r="A23" s="6" t="s">
        <v>8</v>
      </c>
      <c r="B23" s="6" t="s">
        <v>9</v>
      </c>
      <c r="C23" s="6" t="s">
        <v>105</v>
      </c>
      <c r="D23" s="2" t="s">
        <v>123</v>
      </c>
      <c r="E23" s="2">
        <v>10032</v>
      </c>
    </row>
    <row r="24" spans="1:5" x14ac:dyDescent="0.2">
      <c r="A24" s="6" t="s">
        <v>8</v>
      </c>
      <c r="B24" s="6" t="s">
        <v>9</v>
      </c>
      <c r="C24" s="6" t="s">
        <v>105</v>
      </c>
      <c r="D24" s="2" t="s">
        <v>124</v>
      </c>
      <c r="E24" s="2">
        <v>9098</v>
      </c>
    </row>
    <row r="25" spans="1:5" x14ac:dyDescent="0.2">
      <c r="A25" s="6" t="s">
        <v>8</v>
      </c>
      <c r="B25" s="6" t="s">
        <v>9</v>
      </c>
      <c r="C25" s="6" t="s">
        <v>105</v>
      </c>
      <c r="D25" s="2" t="s">
        <v>125</v>
      </c>
      <c r="E25" s="2">
        <v>8446</v>
      </c>
    </row>
    <row r="26" spans="1:5" x14ac:dyDescent="0.2">
      <c r="A26" s="6" t="s">
        <v>8</v>
      </c>
      <c r="B26" s="6" t="s">
        <v>9</v>
      </c>
      <c r="C26" s="6" t="s">
        <v>105</v>
      </c>
      <c r="D26" s="2" t="s">
        <v>126</v>
      </c>
      <c r="E26" s="2">
        <v>5795</v>
      </c>
    </row>
    <row r="27" spans="1:5" x14ac:dyDescent="0.2">
      <c r="A27" s="6" t="s">
        <v>8</v>
      </c>
      <c r="B27" s="6" t="s">
        <v>9</v>
      </c>
      <c r="C27" s="6" t="s">
        <v>105</v>
      </c>
      <c r="D27" s="2" t="s">
        <v>127</v>
      </c>
      <c r="E27" s="2">
        <v>5180</v>
      </c>
    </row>
    <row r="28" spans="1:5" x14ac:dyDescent="0.2">
      <c r="A28" s="8" t="s">
        <v>101</v>
      </c>
      <c r="E28" s="8">
        <f>SUM(E6:E27)</f>
        <v>789262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0E730-E719-7F40-BBAF-AB9F4B714250}">
  <dimension ref="A1:F76"/>
  <sheetViews>
    <sheetView workbookViewId="0">
      <selection sqref="A1:F1048576"/>
    </sheetView>
  </sheetViews>
  <sheetFormatPr baseColWidth="10" defaultRowHeight="16" x14ac:dyDescent="0.2"/>
  <cols>
    <col min="1" max="1" width="17.5" customWidth="1"/>
    <col min="2" max="2" width="26.1640625" customWidth="1"/>
    <col min="3" max="3" width="39.5" customWidth="1"/>
    <col min="5" max="5" width="22.33203125" customWidth="1"/>
    <col min="6" max="6" width="16.1640625" customWidth="1"/>
  </cols>
  <sheetData>
    <row r="1" spans="1:6" x14ac:dyDescent="0.2">
      <c r="A1" s="1" t="s">
        <v>128</v>
      </c>
      <c r="B1" s="1"/>
      <c r="C1" s="1"/>
      <c r="D1" s="1"/>
      <c r="E1" s="1"/>
    </row>
    <row r="2" spans="1:6" x14ac:dyDescent="0.2">
      <c r="A2" s="1" t="s">
        <v>1</v>
      </c>
      <c r="B2" s="1"/>
      <c r="C2" s="1"/>
      <c r="D2" s="1"/>
      <c r="E2" s="1"/>
    </row>
    <row r="3" spans="1:6" x14ac:dyDescent="0.2">
      <c r="A3" s="1" t="s">
        <v>129</v>
      </c>
      <c r="B3" s="1"/>
      <c r="C3" s="1"/>
      <c r="D3" s="1"/>
      <c r="E3" s="10"/>
    </row>
    <row r="4" spans="1:6" x14ac:dyDescent="0.2">
      <c r="A4" s="1" t="s">
        <v>130</v>
      </c>
      <c r="B4" s="1"/>
      <c r="C4" s="1"/>
      <c r="D4" s="1"/>
      <c r="E4" s="1"/>
    </row>
    <row r="5" spans="1:6" x14ac:dyDescent="0.2">
      <c r="A5" s="3" t="s">
        <v>3</v>
      </c>
      <c r="B5" s="3" t="s">
        <v>4</v>
      </c>
      <c r="C5" s="3" t="s">
        <v>5</v>
      </c>
      <c r="D5" s="11" t="s">
        <v>131</v>
      </c>
      <c r="E5" s="12" t="s">
        <v>7</v>
      </c>
      <c r="F5" s="13" t="s">
        <v>132</v>
      </c>
    </row>
    <row r="6" spans="1:6" x14ac:dyDescent="0.2">
      <c r="A6" s="6" t="s">
        <v>8</v>
      </c>
      <c r="B6" s="6" t="s">
        <v>9</v>
      </c>
      <c r="C6" s="6" t="s">
        <v>133</v>
      </c>
      <c r="D6" s="14">
        <v>45866</v>
      </c>
      <c r="E6" s="15">
        <v>22279</v>
      </c>
      <c r="F6" s="16">
        <v>467.48</v>
      </c>
    </row>
    <row r="7" spans="1:6" x14ac:dyDescent="0.2">
      <c r="A7" s="6" t="s">
        <v>8</v>
      </c>
      <c r="B7" s="6" t="s">
        <v>9</v>
      </c>
      <c r="C7" s="6" t="s">
        <v>134</v>
      </c>
      <c r="D7" s="14">
        <v>45867</v>
      </c>
      <c r="E7" s="15">
        <v>22633</v>
      </c>
      <c r="F7" s="16">
        <v>475.91</v>
      </c>
    </row>
    <row r="8" spans="1:6" x14ac:dyDescent="0.2">
      <c r="A8" s="6" t="s">
        <v>8</v>
      </c>
      <c r="B8" s="6" t="s">
        <v>9</v>
      </c>
      <c r="C8" s="6" t="s">
        <v>135</v>
      </c>
      <c r="D8" s="14">
        <v>45868</v>
      </c>
      <c r="E8" s="15">
        <v>22458</v>
      </c>
      <c r="F8" s="16">
        <v>471.24</v>
      </c>
    </row>
    <row r="9" spans="1:6" x14ac:dyDescent="0.2">
      <c r="A9" s="6" t="s">
        <v>8</v>
      </c>
      <c r="B9" s="6" t="s">
        <v>9</v>
      </c>
      <c r="C9" s="6" t="s">
        <v>136</v>
      </c>
      <c r="D9" s="14">
        <v>45869</v>
      </c>
      <c r="E9" s="15">
        <v>22397</v>
      </c>
      <c r="F9" s="16">
        <v>469.96</v>
      </c>
    </row>
    <row r="10" spans="1:6" x14ac:dyDescent="0.2">
      <c r="A10" s="6" t="s">
        <v>8</v>
      </c>
      <c r="B10" s="6" t="s">
        <v>9</v>
      </c>
      <c r="C10" s="6" t="s">
        <v>137</v>
      </c>
      <c r="D10" s="14">
        <v>45870</v>
      </c>
      <c r="E10" s="15">
        <v>22436</v>
      </c>
      <c r="F10" s="16">
        <v>470.77</v>
      </c>
    </row>
    <row r="11" spans="1:6" x14ac:dyDescent="0.2">
      <c r="A11" s="6" t="s">
        <v>8</v>
      </c>
      <c r="B11" s="6" t="s">
        <v>9</v>
      </c>
      <c r="C11" s="6" t="s">
        <v>138</v>
      </c>
      <c r="D11" s="14">
        <v>45871</v>
      </c>
      <c r="E11" s="15">
        <v>22471</v>
      </c>
      <c r="F11" s="16">
        <v>471.5</v>
      </c>
    </row>
    <row r="12" spans="1:6" x14ac:dyDescent="0.2">
      <c r="A12" s="6" t="s">
        <v>8</v>
      </c>
      <c r="B12" s="6" t="s">
        <v>9</v>
      </c>
      <c r="C12" s="6" t="s">
        <v>139</v>
      </c>
      <c r="D12" s="14">
        <v>45872</v>
      </c>
      <c r="E12" s="15">
        <v>22539</v>
      </c>
      <c r="F12" s="16">
        <v>472.93</v>
      </c>
    </row>
    <row r="13" spans="1:6" x14ac:dyDescent="0.2">
      <c r="E13" s="17">
        <f>SUM(E6:E12)</f>
        <v>157213</v>
      </c>
      <c r="F13" s="18">
        <f>SUM(F6:F12)</f>
        <v>3299.79</v>
      </c>
    </row>
    <row r="17" spans="1:6" x14ac:dyDescent="0.2">
      <c r="A17" s="1" t="s">
        <v>140</v>
      </c>
      <c r="B17" s="1"/>
      <c r="C17" s="1"/>
      <c r="D17" s="1"/>
      <c r="E17" s="1"/>
    </row>
    <row r="18" spans="1:6" x14ac:dyDescent="0.2">
      <c r="A18" s="1" t="s">
        <v>1</v>
      </c>
      <c r="B18" s="1"/>
      <c r="C18" s="1"/>
      <c r="D18" s="1"/>
      <c r="E18" s="1"/>
    </row>
    <row r="19" spans="1:6" x14ac:dyDescent="0.2">
      <c r="A19" s="1" t="s">
        <v>129</v>
      </c>
      <c r="B19" s="1"/>
      <c r="C19" s="1"/>
      <c r="D19" s="1"/>
      <c r="E19" s="10"/>
    </row>
    <row r="20" spans="1:6" x14ac:dyDescent="0.2">
      <c r="A20" s="1" t="s">
        <v>130</v>
      </c>
      <c r="B20" s="1"/>
      <c r="C20" s="1"/>
      <c r="D20" s="1"/>
      <c r="E20" s="1"/>
    </row>
    <row r="21" spans="1:6" x14ac:dyDescent="0.2">
      <c r="A21" s="3" t="s">
        <v>3</v>
      </c>
      <c r="B21" s="3" t="s">
        <v>4</v>
      </c>
      <c r="C21" s="3" t="s">
        <v>5</v>
      </c>
      <c r="D21" s="11" t="s">
        <v>131</v>
      </c>
      <c r="E21" s="12" t="s">
        <v>7</v>
      </c>
      <c r="F21" s="13" t="s">
        <v>132</v>
      </c>
    </row>
    <row r="22" spans="1:6" x14ac:dyDescent="0.2">
      <c r="A22" s="6" t="s">
        <v>8</v>
      </c>
      <c r="B22" s="6" t="s">
        <v>9</v>
      </c>
      <c r="C22" s="6" t="s">
        <v>141</v>
      </c>
      <c r="D22" s="14">
        <v>45873</v>
      </c>
      <c r="E22" s="15">
        <v>22475</v>
      </c>
      <c r="F22" s="16">
        <v>469.66</v>
      </c>
    </row>
    <row r="23" spans="1:6" x14ac:dyDescent="0.2">
      <c r="A23" s="6" t="s">
        <v>8</v>
      </c>
      <c r="B23" s="6" t="s">
        <v>9</v>
      </c>
      <c r="C23" s="6" t="s">
        <v>142</v>
      </c>
      <c r="D23" s="14">
        <v>45874</v>
      </c>
      <c r="E23" s="15">
        <v>22498</v>
      </c>
      <c r="F23" s="16">
        <v>470.14</v>
      </c>
    </row>
    <row r="24" spans="1:6" x14ac:dyDescent="0.2">
      <c r="A24" s="6" t="s">
        <v>8</v>
      </c>
      <c r="B24" s="6" t="s">
        <v>9</v>
      </c>
      <c r="C24" s="6" t="s">
        <v>143</v>
      </c>
      <c r="D24" s="14">
        <v>45875</v>
      </c>
      <c r="E24" s="15">
        <v>23007</v>
      </c>
      <c r="F24" s="16">
        <v>480.78</v>
      </c>
    </row>
    <row r="25" spans="1:6" x14ac:dyDescent="0.2">
      <c r="A25" s="6" t="s">
        <v>8</v>
      </c>
      <c r="B25" s="6" t="s">
        <v>9</v>
      </c>
      <c r="C25" s="6" t="s">
        <v>144</v>
      </c>
      <c r="D25" s="14">
        <v>45876</v>
      </c>
      <c r="E25" s="15">
        <v>22397</v>
      </c>
      <c r="F25" s="16">
        <v>468.03</v>
      </c>
    </row>
    <row r="26" spans="1:6" x14ac:dyDescent="0.2">
      <c r="A26" s="6" t="s">
        <v>8</v>
      </c>
      <c r="B26" s="6" t="s">
        <v>9</v>
      </c>
      <c r="C26" s="6" t="s">
        <v>145</v>
      </c>
      <c r="D26" s="14">
        <v>45877</v>
      </c>
      <c r="E26" s="15">
        <v>22571</v>
      </c>
      <c r="F26" s="16">
        <v>471.67</v>
      </c>
    </row>
    <row r="27" spans="1:6" x14ac:dyDescent="0.2">
      <c r="A27" s="6" t="s">
        <v>8</v>
      </c>
      <c r="B27" s="6" t="s">
        <v>9</v>
      </c>
      <c r="C27" s="6" t="s">
        <v>146</v>
      </c>
      <c r="D27" s="14">
        <v>45878</v>
      </c>
      <c r="E27" s="15">
        <v>22569</v>
      </c>
      <c r="F27" s="16">
        <v>471.62</v>
      </c>
    </row>
    <row r="28" spans="1:6" x14ac:dyDescent="0.2">
      <c r="A28" s="6" t="s">
        <v>8</v>
      </c>
      <c r="B28" s="6" t="s">
        <v>9</v>
      </c>
      <c r="C28" s="6" t="s">
        <v>147</v>
      </c>
      <c r="D28" s="14">
        <v>45879</v>
      </c>
      <c r="E28" s="15">
        <v>22585</v>
      </c>
      <c r="F28" s="16">
        <v>471.96</v>
      </c>
    </row>
    <row r="29" spans="1:6" x14ac:dyDescent="0.2">
      <c r="E29" s="17">
        <f>SUM(E22:E28)</f>
        <v>158102</v>
      </c>
      <c r="F29" s="18">
        <f>SUM(F22:F28)</f>
        <v>3303.8599999999997</v>
      </c>
    </row>
    <row r="32" spans="1:6" x14ac:dyDescent="0.2">
      <c r="A32" s="1" t="s">
        <v>148</v>
      </c>
      <c r="B32" s="1"/>
      <c r="C32" s="1"/>
      <c r="D32" s="1"/>
      <c r="E32" s="1"/>
    </row>
    <row r="33" spans="1:6" x14ac:dyDescent="0.2">
      <c r="A33" s="1" t="s">
        <v>1</v>
      </c>
      <c r="B33" s="1"/>
      <c r="C33" s="1"/>
      <c r="D33" s="1"/>
      <c r="E33" s="1"/>
    </row>
    <row r="34" spans="1:6" x14ac:dyDescent="0.2">
      <c r="A34" s="1" t="s">
        <v>129</v>
      </c>
      <c r="B34" s="1"/>
      <c r="C34" s="1"/>
      <c r="D34" s="1"/>
      <c r="E34" s="1"/>
      <c r="F34" s="19"/>
    </row>
    <row r="35" spans="1:6" x14ac:dyDescent="0.2">
      <c r="A35" s="1" t="s">
        <v>130</v>
      </c>
      <c r="B35" s="1"/>
      <c r="C35" s="1"/>
      <c r="D35" s="1"/>
      <c r="E35" s="1"/>
    </row>
    <row r="36" spans="1:6" x14ac:dyDescent="0.2">
      <c r="A36" s="3" t="s">
        <v>3</v>
      </c>
      <c r="B36" s="3" t="s">
        <v>4</v>
      </c>
      <c r="C36" s="3" t="s">
        <v>5</v>
      </c>
      <c r="D36" s="11" t="s">
        <v>131</v>
      </c>
      <c r="E36" s="12" t="s">
        <v>7</v>
      </c>
      <c r="F36" s="13" t="s">
        <v>132</v>
      </c>
    </row>
    <row r="37" spans="1:6" x14ac:dyDescent="0.2">
      <c r="A37" s="6" t="s">
        <v>8</v>
      </c>
      <c r="B37" s="6" t="s">
        <v>9</v>
      </c>
      <c r="C37" s="6" t="s">
        <v>149</v>
      </c>
      <c r="D37" s="14">
        <v>45880</v>
      </c>
      <c r="E37" s="15">
        <v>22473</v>
      </c>
      <c r="F37" s="16">
        <v>472.07</v>
      </c>
    </row>
    <row r="38" spans="1:6" x14ac:dyDescent="0.2">
      <c r="A38" s="6" t="s">
        <v>8</v>
      </c>
      <c r="B38" s="6" t="s">
        <v>9</v>
      </c>
      <c r="C38" s="6" t="s">
        <v>150</v>
      </c>
      <c r="D38" s="14">
        <v>45881</v>
      </c>
      <c r="E38" s="15">
        <v>22560</v>
      </c>
      <c r="F38" s="16">
        <v>473.9</v>
      </c>
    </row>
    <row r="39" spans="1:6" x14ac:dyDescent="0.2">
      <c r="A39" s="6" t="s">
        <v>8</v>
      </c>
      <c r="B39" s="6" t="s">
        <v>9</v>
      </c>
      <c r="C39" s="6" t="s">
        <v>151</v>
      </c>
      <c r="D39" s="14">
        <v>45882</v>
      </c>
      <c r="E39" s="15">
        <v>22605</v>
      </c>
      <c r="F39" s="16">
        <v>474.85</v>
      </c>
    </row>
    <row r="40" spans="1:6" x14ac:dyDescent="0.2">
      <c r="A40" s="6" t="s">
        <v>8</v>
      </c>
      <c r="B40" s="6" t="s">
        <v>9</v>
      </c>
      <c r="C40" s="6" t="s">
        <v>152</v>
      </c>
      <c r="D40" s="14">
        <v>45883</v>
      </c>
      <c r="E40" s="15">
        <v>22505</v>
      </c>
      <c r="F40" s="16">
        <v>472.75</v>
      </c>
    </row>
    <row r="41" spans="1:6" x14ac:dyDescent="0.2">
      <c r="A41" s="6" t="s">
        <v>8</v>
      </c>
      <c r="B41" s="6" t="s">
        <v>9</v>
      </c>
      <c r="C41" s="6" t="s">
        <v>153</v>
      </c>
      <c r="D41" s="14">
        <v>45884</v>
      </c>
      <c r="E41" s="15">
        <v>22561</v>
      </c>
      <c r="F41" s="16">
        <v>473.92</v>
      </c>
    </row>
    <row r="42" spans="1:6" x14ac:dyDescent="0.2">
      <c r="A42" s="6" t="s">
        <v>8</v>
      </c>
      <c r="B42" s="6" t="s">
        <v>9</v>
      </c>
      <c r="C42" s="6" t="s">
        <v>154</v>
      </c>
      <c r="D42" s="14">
        <v>45885</v>
      </c>
      <c r="E42" s="15">
        <v>22584</v>
      </c>
      <c r="F42" s="16">
        <v>474.41</v>
      </c>
    </row>
    <row r="43" spans="1:6" x14ac:dyDescent="0.2">
      <c r="A43" s="6" t="s">
        <v>8</v>
      </c>
      <c r="B43" s="6" t="s">
        <v>9</v>
      </c>
      <c r="C43" s="6" t="s">
        <v>155</v>
      </c>
      <c r="D43" s="14">
        <v>45886</v>
      </c>
      <c r="E43" s="15">
        <v>22548</v>
      </c>
      <c r="F43" s="16">
        <v>473.65</v>
      </c>
    </row>
    <row r="44" spans="1:6" x14ac:dyDescent="0.2">
      <c r="A44" s="8" t="s">
        <v>101</v>
      </c>
      <c r="E44" s="17">
        <f>SUM(E37:E43)</f>
        <v>157836</v>
      </c>
      <c r="F44" s="18">
        <f>SUM(F37:F43)</f>
        <v>3315.55</v>
      </c>
    </row>
    <row r="48" spans="1:6" x14ac:dyDescent="0.2">
      <c r="A48" s="1" t="s">
        <v>156</v>
      </c>
      <c r="B48" s="1"/>
      <c r="C48" s="1"/>
      <c r="D48" s="1"/>
      <c r="E48" s="1"/>
    </row>
    <row r="49" spans="1:6" x14ac:dyDescent="0.2">
      <c r="A49" s="1" t="s">
        <v>1</v>
      </c>
      <c r="B49" s="1"/>
      <c r="C49" s="1"/>
      <c r="D49" s="1"/>
      <c r="E49" s="1"/>
    </row>
    <row r="50" spans="1:6" x14ac:dyDescent="0.2">
      <c r="A50" s="1" t="s">
        <v>157</v>
      </c>
      <c r="B50" s="1"/>
      <c r="C50" s="1"/>
      <c r="D50" s="1"/>
      <c r="E50" s="1"/>
      <c r="F50" s="19"/>
    </row>
    <row r="51" spans="1:6" x14ac:dyDescent="0.2">
      <c r="A51" s="1" t="s">
        <v>130</v>
      </c>
      <c r="B51" s="1"/>
      <c r="C51" s="1"/>
      <c r="D51" s="1"/>
      <c r="E51" s="1"/>
    </row>
    <row r="52" spans="1:6" x14ac:dyDescent="0.2">
      <c r="A52" s="3" t="s">
        <v>3</v>
      </c>
      <c r="B52" s="3" t="s">
        <v>4</v>
      </c>
      <c r="C52" s="3" t="s">
        <v>5</v>
      </c>
      <c r="D52" s="11" t="s">
        <v>131</v>
      </c>
      <c r="E52" s="12" t="s">
        <v>7</v>
      </c>
      <c r="F52" s="13" t="s">
        <v>132</v>
      </c>
    </row>
    <row r="53" spans="1:6" x14ac:dyDescent="0.2">
      <c r="A53" s="6" t="s">
        <v>8</v>
      </c>
      <c r="B53" s="6" t="s">
        <v>9</v>
      </c>
      <c r="C53" s="6" t="s">
        <v>158</v>
      </c>
      <c r="D53" s="14">
        <v>45887</v>
      </c>
      <c r="E53" s="15">
        <v>22572</v>
      </c>
      <c r="F53" s="16">
        <v>471.87</v>
      </c>
    </row>
    <row r="54" spans="1:6" x14ac:dyDescent="0.2">
      <c r="A54" s="6" t="s">
        <v>8</v>
      </c>
      <c r="B54" s="6" t="s">
        <v>9</v>
      </c>
      <c r="C54" s="6" t="s">
        <v>159</v>
      </c>
      <c r="D54" s="14">
        <v>45888</v>
      </c>
      <c r="E54" s="15">
        <v>22579</v>
      </c>
      <c r="F54" s="16">
        <v>472.01</v>
      </c>
    </row>
    <row r="55" spans="1:6" x14ac:dyDescent="0.2">
      <c r="A55" s="6" t="s">
        <v>8</v>
      </c>
      <c r="B55" s="6" t="s">
        <v>9</v>
      </c>
      <c r="C55" s="6" t="s">
        <v>160</v>
      </c>
      <c r="D55" s="14">
        <v>45889</v>
      </c>
      <c r="E55" s="15">
        <v>22592</v>
      </c>
      <c r="F55" s="16">
        <v>472.29</v>
      </c>
    </row>
    <row r="56" spans="1:6" x14ac:dyDescent="0.2">
      <c r="A56" s="6" t="s">
        <v>8</v>
      </c>
      <c r="B56" s="6" t="s">
        <v>9</v>
      </c>
      <c r="C56" s="6" t="s">
        <v>161</v>
      </c>
      <c r="D56" s="14">
        <v>45890</v>
      </c>
      <c r="E56" s="15">
        <v>22604</v>
      </c>
      <c r="F56" s="16">
        <v>472.54</v>
      </c>
    </row>
    <row r="57" spans="1:6" x14ac:dyDescent="0.2">
      <c r="A57" s="6" t="s">
        <v>8</v>
      </c>
      <c r="B57" s="6" t="s">
        <v>9</v>
      </c>
      <c r="C57" s="6" t="s">
        <v>162</v>
      </c>
      <c r="D57" s="14">
        <v>45891</v>
      </c>
      <c r="E57" s="15">
        <v>22574</v>
      </c>
      <c r="F57" s="16">
        <v>471.91</v>
      </c>
    </row>
    <row r="58" spans="1:6" x14ac:dyDescent="0.2">
      <c r="A58" s="6" t="s">
        <v>8</v>
      </c>
      <c r="B58" s="6" t="s">
        <v>9</v>
      </c>
      <c r="C58" s="6" t="s">
        <v>163</v>
      </c>
      <c r="D58" s="14">
        <v>45892</v>
      </c>
      <c r="E58" s="15">
        <v>22588</v>
      </c>
      <c r="F58" s="16">
        <v>472.2</v>
      </c>
    </row>
    <row r="59" spans="1:6" x14ac:dyDescent="0.2">
      <c r="A59" s="6" t="s">
        <v>8</v>
      </c>
      <c r="B59" s="6" t="s">
        <v>9</v>
      </c>
      <c r="C59" s="6" t="s">
        <v>164</v>
      </c>
      <c r="D59" s="14">
        <v>45893</v>
      </c>
      <c r="E59" s="15">
        <v>22606</v>
      </c>
      <c r="F59" s="16">
        <v>472.58</v>
      </c>
    </row>
    <row r="60" spans="1:6" x14ac:dyDescent="0.2">
      <c r="E60" s="17">
        <f>SUM(E53:E59)</f>
        <v>158115</v>
      </c>
      <c r="F60" s="18">
        <f>SUM(F53:F59)</f>
        <v>3305.3999999999996</v>
      </c>
    </row>
    <row r="64" spans="1:6" x14ac:dyDescent="0.2">
      <c r="A64" s="1" t="s">
        <v>165</v>
      </c>
      <c r="B64" s="1"/>
      <c r="C64" s="1"/>
      <c r="D64" s="1"/>
      <c r="E64" s="1"/>
    </row>
    <row r="65" spans="1:6" x14ac:dyDescent="0.2">
      <c r="A65" s="1" t="s">
        <v>1</v>
      </c>
      <c r="B65" s="1"/>
      <c r="C65" s="1"/>
      <c r="D65" s="1"/>
      <c r="E65" s="20"/>
    </row>
    <row r="66" spans="1:6" x14ac:dyDescent="0.2">
      <c r="A66" s="1" t="s">
        <v>129</v>
      </c>
      <c r="B66" s="1"/>
      <c r="C66" s="1"/>
      <c r="D66" s="1"/>
      <c r="E66" s="10"/>
    </row>
    <row r="67" spans="1:6" x14ac:dyDescent="0.2">
      <c r="A67" s="1" t="s">
        <v>130</v>
      </c>
      <c r="B67" s="1"/>
      <c r="C67" s="1"/>
      <c r="D67" s="1"/>
      <c r="E67" s="1"/>
    </row>
    <row r="68" spans="1:6" x14ac:dyDescent="0.2">
      <c r="A68" s="3" t="s">
        <v>3</v>
      </c>
      <c r="B68" s="3" t="s">
        <v>4</v>
      </c>
      <c r="C68" s="3" t="s">
        <v>5</v>
      </c>
      <c r="D68" s="11" t="s">
        <v>131</v>
      </c>
      <c r="E68" s="12" t="s">
        <v>7</v>
      </c>
      <c r="F68" s="13" t="s">
        <v>132</v>
      </c>
    </row>
    <row r="69" spans="1:6" x14ac:dyDescent="0.2">
      <c r="A69" s="6" t="s">
        <v>8</v>
      </c>
      <c r="B69" s="6" t="s">
        <v>9</v>
      </c>
      <c r="C69" s="6" t="s">
        <v>166</v>
      </c>
      <c r="D69" s="14">
        <v>45894</v>
      </c>
      <c r="E69" s="15">
        <v>22567</v>
      </c>
      <c r="F69" s="16">
        <v>471.76</v>
      </c>
    </row>
    <row r="70" spans="1:6" x14ac:dyDescent="0.2">
      <c r="A70" s="6" t="s">
        <v>8</v>
      </c>
      <c r="B70" s="6" t="s">
        <v>9</v>
      </c>
      <c r="C70" s="6" t="s">
        <v>167</v>
      </c>
      <c r="D70" s="14">
        <v>45895</v>
      </c>
      <c r="E70" s="15">
        <v>22581</v>
      </c>
      <c r="F70" s="16">
        <v>472.05</v>
      </c>
    </row>
    <row r="71" spans="1:6" x14ac:dyDescent="0.2">
      <c r="A71" s="6" t="s">
        <v>8</v>
      </c>
      <c r="B71" s="6" t="s">
        <v>9</v>
      </c>
      <c r="C71" s="6" t="s">
        <v>168</v>
      </c>
      <c r="D71" s="14">
        <v>45896</v>
      </c>
      <c r="E71" s="15">
        <v>22568</v>
      </c>
      <c r="F71" s="16">
        <v>471.78</v>
      </c>
    </row>
    <row r="72" spans="1:6" x14ac:dyDescent="0.2">
      <c r="A72" s="6" t="s">
        <v>8</v>
      </c>
      <c r="B72" s="6" t="s">
        <v>9</v>
      </c>
      <c r="C72" s="6" t="s">
        <v>169</v>
      </c>
      <c r="D72" s="14">
        <v>45897</v>
      </c>
      <c r="E72" s="15">
        <v>22575</v>
      </c>
      <c r="F72" s="16">
        <v>471.93</v>
      </c>
    </row>
    <row r="73" spans="1:6" x14ac:dyDescent="0.2">
      <c r="A73" s="6" t="s">
        <v>8</v>
      </c>
      <c r="B73" s="6" t="s">
        <v>9</v>
      </c>
      <c r="C73" s="6" t="s">
        <v>170</v>
      </c>
      <c r="D73" s="14">
        <v>45898</v>
      </c>
      <c r="E73" s="15">
        <v>22573</v>
      </c>
      <c r="F73" s="16">
        <v>471.89</v>
      </c>
    </row>
    <row r="74" spans="1:6" x14ac:dyDescent="0.2">
      <c r="A74" s="6" t="s">
        <v>8</v>
      </c>
      <c r="B74" s="6" t="s">
        <v>9</v>
      </c>
      <c r="C74" s="6" t="s">
        <v>171</v>
      </c>
      <c r="D74" s="14">
        <v>45899</v>
      </c>
      <c r="E74" s="15">
        <v>22564</v>
      </c>
      <c r="F74" s="16">
        <v>471.7</v>
      </c>
    </row>
    <row r="75" spans="1:6" x14ac:dyDescent="0.2">
      <c r="A75" s="6" t="s">
        <v>8</v>
      </c>
      <c r="B75" s="6" t="s">
        <v>9</v>
      </c>
      <c r="C75" s="6" t="s">
        <v>172</v>
      </c>
      <c r="D75" s="14">
        <v>45900</v>
      </c>
      <c r="E75" s="15">
        <v>22568</v>
      </c>
      <c r="F75" s="16">
        <v>471.78</v>
      </c>
    </row>
    <row r="76" spans="1:6" x14ac:dyDescent="0.2">
      <c r="A76" s="8" t="s">
        <v>101</v>
      </c>
      <c r="E76" s="17">
        <f>SUM(E69:E75)</f>
        <v>157996</v>
      </c>
      <c r="F76" s="18">
        <f>SUM(F69:F75)</f>
        <v>3302.8899999999994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4D1C2-0D30-CB48-BB77-75FA7CFAE4E7}">
  <dimension ref="A1:E80"/>
  <sheetViews>
    <sheetView zoomScale="193" workbookViewId="0">
      <selection activeCell="D5" sqref="D5:E80"/>
    </sheetView>
  </sheetViews>
  <sheetFormatPr baseColWidth="10" defaultRowHeight="16" x14ac:dyDescent="0.2"/>
  <sheetData>
    <row r="1" spans="1:5" x14ac:dyDescent="0.2">
      <c r="A1" s="1" t="s">
        <v>0</v>
      </c>
      <c r="B1" s="1"/>
      <c r="C1" s="1"/>
      <c r="D1" s="21"/>
      <c r="E1" s="1"/>
    </row>
    <row r="2" spans="1:5" x14ac:dyDescent="0.2">
      <c r="A2" s="1" t="s">
        <v>1</v>
      </c>
      <c r="B2" s="1"/>
      <c r="C2" s="1"/>
      <c r="D2" s="2"/>
      <c r="E2" s="10"/>
    </row>
    <row r="3" spans="1:5" x14ac:dyDescent="0.2">
      <c r="A3" s="1" t="s">
        <v>173</v>
      </c>
      <c r="B3" s="1"/>
      <c r="C3" s="1"/>
      <c r="D3" s="2"/>
      <c r="E3" s="1"/>
    </row>
    <row r="4" spans="1:5" x14ac:dyDescent="0.2">
      <c r="A4" s="3" t="s">
        <v>174</v>
      </c>
      <c r="B4" s="3"/>
      <c r="C4" s="3"/>
      <c r="D4" s="2"/>
      <c r="E4" s="3"/>
    </row>
    <row r="5" spans="1:5" x14ac:dyDescent="0.2">
      <c r="A5" s="3" t="s">
        <v>3</v>
      </c>
      <c r="B5" s="3" t="s">
        <v>4</v>
      </c>
      <c r="C5" s="3" t="s">
        <v>5</v>
      </c>
      <c r="D5" s="3" t="s">
        <v>6</v>
      </c>
      <c r="E5" s="4" t="s">
        <v>7</v>
      </c>
    </row>
    <row r="6" spans="1:5" x14ac:dyDescent="0.2">
      <c r="A6" s="5" t="s">
        <v>175</v>
      </c>
      <c r="B6" s="5" t="s">
        <v>176</v>
      </c>
      <c r="C6" s="5" t="s">
        <v>177</v>
      </c>
      <c r="D6" s="2" t="s">
        <v>11</v>
      </c>
      <c r="E6" s="2">
        <v>28639</v>
      </c>
    </row>
    <row r="7" spans="1:5" x14ac:dyDescent="0.2">
      <c r="A7" s="5" t="s">
        <v>175</v>
      </c>
      <c r="B7" s="5" t="s">
        <v>176</v>
      </c>
      <c r="C7" s="5" t="s">
        <v>177</v>
      </c>
      <c r="D7" s="2" t="s">
        <v>27</v>
      </c>
      <c r="E7" s="2">
        <v>25621</v>
      </c>
    </row>
    <row r="8" spans="1:5" x14ac:dyDescent="0.2">
      <c r="A8" s="5" t="s">
        <v>175</v>
      </c>
      <c r="B8" s="5" t="s">
        <v>176</v>
      </c>
      <c r="C8" s="5" t="s">
        <v>177</v>
      </c>
      <c r="D8" s="2" t="s">
        <v>49</v>
      </c>
      <c r="E8" s="2">
        <v>21449</v>
      </c>
    </row>
    <row r="9" spans="1:5" x14ac:dyDescent="0.2">
      <c r="A9" s="5" t="s">
        <v>175</v>
      </c>
      <c r="B9" s="5" t="s">
        <v>176</v>
      </c>
      <c r="C9" s="5" t="s">
        <v>177</v>
      </c>
      <c r="D9" s="2" t="s">
        <v>23</v>
      </c>
      <c r="E9" s="2">
        <v>19754</v>
      </c>
    </row>
    <row r="10" spans="1:5" x14ac:dyDescent="0.2">
      <c r="A10" s="5" t="s">
        <v>175</v>
      </c>
      <c r="B10" s="5" t="s">
        <v>176</v>
      </c>
      <c r="C10" s="5" t="s">
        <v>177</v>
      </c>
      <c r="D10" s="2" t="s">
        <v>24</v>
      </c>
      <c r="E10" s="2">
        <v>17924</v>
      </c>
    </row>
    <row r="11" spans="1:5" x14ac:dyDescent="0.2">
      <c r="A11" s="5" t="s">
        <v>175</v>
      </c>
      <c r="B11" s="5" t="s">
        <v>176</v>
      </c>
      <c r="C11" s="5" t="s">
        <v>177</v>
      </c>
      <c r="D11" s="2" t="s">
        <v>40</v>
      </c>
      <c r="E11" s="6">
        <v>15785</v>
      </c>
    </row>
    <row r="12" spans="1:5" x14ac:dyDescent="0.2">
      <c r="A12" s="5" t="s">
        <v>175</v>
      </c>
      <c r="B12" s="5" t="s">
        <v>176</v>
      </c>
      <c r="C12" s="5" t="s">
        <v>177</v>
      </c>
      <c r="D12" s="2" t="s">
        <v>16</v>
      </c>
      <c r="E12" s="6">
        <v>14953</v>
      </c>
    </row>
    <row r="13" spans="1:5" x14ac:dyDescent="0.2">
      <c r="A13" s="5" t="s">
        <v>175</v>
      </c>
      <c r="B13" s="5" t="s">
        <v>176</v>
      </c>
      <c r="C13" s="5" t="s">
        <v>177</v>
      </c>
      <c r="D13" s="2" t="s">
        <v>25</v>
      </c>
      <c r="E13" s="6">
        <v>14656</v>
      </c>
    </row>
    <row r="14" spans="1:5" x14ac:dyDescent="0.2">
      <c r="A14" s="5" t="s">
        <v>175</v>
      </c>
      <c r="B14" s="5" t="s">
        <v>176</v>
      </c>
      <c r="C14" s="5" t="s">
        <v>177</v>
      </c>
      <c r="D14" s="2" t="s">
        <v>35</v>
      </c>
      <c r="E14" s="6">
        <v>14303</v>
      </c>
    </row>
    <row r="15" spans="1:5" x14ac:dyDescent="0.2">
      <c r="A15" s="5" t="s">
        <v>175</v>
      </c>
      <c r="B15" s="5" t="s">
        <v>176</v>
      </c>
      <c r="C15" s="5" t="s">
        <v>177</v>
      </c>
      <c r="D15" s="2" t="s">
        <v>37</v>
      </c>
      <c r="E15" s="6">
        <v>13914</v>
      </c>
    </row>
    <row r="16" spans="1:5" x14ac:dyDescent="0.2">
      <c r="A16" s="5" t="s">
        <v>175</v>
      </c>
      <c r="B16" s="5" t="s">
        <v>176</v>
      </c>
      <c r="C16" s="5" t="s">
        <v>177</v>
      </c>
      <c r="D16" s="2" t="s">
        <v>12</v>
      </c>
      <c r="E16" s="6">
        <v>13484</v>
      </c>
    </row>
    <row r="17" spans="1:5" x14ac:dyDescent="0.2">
      <c r="A17" s="5" t="s">
        <v>175</v>
      </c>
      <c r="B17" s="5" t="s">
        <v>176</v>
      </c>
      <c r="C17" s="5" t="s">
        <v>177</v>
      </c>
      <c r="D17" s="2" t="s">
        <v>20</v>
      </c>
      <c r="E17" s="6">
        <v>12243</v>
      </c>
    </row>
    <row r="18" spans="1:5" x14ac:dyDescent="0.2">
      <c r="A18" s="5" t="s">
        <v>175</v>
      </c>
      <c r="B18" s="5" t="s">
        <v>176</v>
      </c>
      <c r="C18" s="5" t="s">
        <v>177</v>
      </c>
      <c r="D18" s="2" t="s">
        <v>26</v>
      </c>
      <c r="E18" s="6">
        <v>12041</v>
      </c>
    </row>
    <row r="19" spans="1:5" x14ac:dyDescent="0.2">
      <c r="A19" s="5" t="s">
        <v>175</v>
      </c>
      <c r="B19" s="5" t="s">
        <v>176</v>
      </c>
      <c r="C19" s="5" t="s">
        <v>177</v>
      </c>
      <c r="D19" s="2" t="s">
        <v>32</v>
      </c>
      <c r="E19" s="6">
        <v>10875</v>
      </c>
    </row>
    <row r="20" spans="1:5" x14ac:dyDescent="0.2">
      <c r="A20" s="5" t="s">
        <v>175</v>
      </c>
      <c r="B20" s="5" t="s">
        <v>176</v>
      </c>
      <c r="C20" s="5" t="s">
        <v>177</v>
      </c>
      <c r="D20" s="2" t="s">
        <v>31</v>
      </c>
      <c r="E20" s="6">
        <v>9195</v>
      </c>
    </row>
    <row r="21" spans="1:5" x14ac:dyDescent="0.2">
      <c r="A21" s="5" t="s">
        <v>175</v>
      </c>
      <c r="B21" s="5" t="s">
        <v>176</v>
      </c>
      <c r="C21" s="5" t="s">
        <v>177</v>
      </c>
      <c r="D21" s="2" t="s">
        <v>66</v>
      </c>
      <c r="E21" s="6">
        <v>9128</v>
      </c>
    </row>
    <row r="22" spans="1:5" x14ac:dyDescent="0.2">
      <c r="A22" s="5" t="s">
        <v>175</v>
      </c>
      <c r="B22" s="5" t="s">
        <v>176</v>
      </c>
      <c r="C22" s="5" t="s">
        <v>177</v>
      </c>
      <c r="D22" s="2" t="s">
        <v>39</v>
      </c>
      <c r="E22" s="6">
        <v>8783</v>
      </c>
    </row>
    <row r="23" spans="1:5" x14ac:dyDescent="0.2">
      <c r="A23" s="5" t="s">
        <v>175</v>
      </c>
      <c r="B23" s="5" t="s">
        <v>176</v>
      </c>
      <c r="C23" s="5" t="s">
        <v>177</v>
      </c>
      <c r="D23" s="2" t="s">
        <v>38</v>
      </c>
      <c r="E23" s="6">
        <v>8341</v>
      </c>
    </row>
    <row r="24" spans="1:5" x14ac:dyDescent="0.2">
      <c r="A24" s="5" t="s">
        <v>175</v>
      </c>
      <c r="B24" s="5" t="s">
        <v>176</v>
      </c>
      <c r="C24" s="5" t="s">
        <v>177</v>
      </c>
      <c r="D24" s="2" t="s">
        <v>18</v>
      </c>
      <c r="E24" s="6">
        <v>8325</v>
      </c>
    </row>
    <row r="25" spans="1:5" x14ac:dyDescent="0.2">
      <c r="A25" s="5" t="s">
        <v>175</v>
      </c>
      <c r="B25" s="5" t="s">
        <v>176</v>
      </c>
      <c r="C25" s="5" t="s">
        <v>177</v>
      </c>
      <c r="D25" s="2" t="s">
        <v>45</v>
      </c>
      <c r="E25" s="6">
        <v>7516</v>
      </c>
    </row>
    <row r="26" spans="1:5" x14ac:dyDescent="0.2">
      <c r="A26" s="5" t="s">
        <v>175</v>
      </c>
      <c r="B26" s="5" t="s">
        <v>176</v>
      </c>
      <c r="C26" s="5" t="s">
        <v>177</v>
      </c>
      <c r="D26" s="2" t="s">
        <v>43</v>
      </c>
      <c r="E26" s="6">
        <v>7284</v>
      </c>
    </row>
    <row r="27" spans="1:5" x14ac:dyDescent="0.2">
      <c r="A27" s="5" t="s">
        <v>175</v>
      </c>
      <c r="B27" s="5" t="s">
        <v>176</v>
      </c>
      <c r="C27" s="5" t="s">
        <v>177</v>
      </c>
      <c r="D27" s="2" t="s">
        <v>17</v>
      </c>
      <c r="E27" s="6">
        <v>7164</v>
      </c>
    </row>
    <row r="28" spans="1:5" x14ac:dyDescent="0.2">
      <c r="A28" s="5" t="s">
        <v>175</v>
      </c>
      <c r="B28" s="5" t="s">
        <v>176</v>
      </c>
      <c r="C28" s="5" t="s">
        <v>177</v>
      </c>
      <c r="D28" s="2" t="s">
        <v>48</v>
      </c>
      <c r="E28" s="6">
        <v>6216</v>
      </c>
    </row>
    <row r="29" spans="1:5" x14ac:dyDescent="0.2">
      <c r="A29" s="5" t="s">
        <v>175</v>
      </c>
      <c r="B29" s="5" t="s">
        <v>176</v>
      </c>
      <c r="C29" s="5" t="s">
        <v>177</v>
      </c>
      <c r="D29" s="2" t="s">
        <v>56</v>
      </c>
      <c r="E29" s="6">
        <v>5435</v>
      </c>
    </row>
    <row r="30" spans="1:5" x14ac:dyDescent="0.2">
      <c r="A30" s="5" t="s">
        <v>175</v>
      </c>
      <c r="B30" s="5" t="s">
        <v>176</v>
      </c>
      <c r="C30" s="5" t="s">
        <v>177</v>
      </c>
      <c r="D30" s="2" t="s">
        <v>30</v>
      </c>
      <c r="E30" s="6">
        <v>5265</v>
      </c>
    </row>
    <row r="31" spans="1:5" x14ac:dyDescent="0.2">
      <c r="A31" s="5" t="s">
        <v>175</v>
      </c>
      <c r="B31" s="5" t="s">
        <v>176</v>
      </c>
      <c r="C31" s="5" t="s">
        <v>177</v>
      </c>
      <c r="D31" s="2" t="s">
        <v>63</v>
      </c>
      <c r="E31" s="6">
        <v>5216</v>
      </c>
    </row>
    <row r="32" spans="1:5" x14ac:dyDescent="0.2">
      <c r="A32" s="5" t="s">
        <v>175</v>
      </c>
      <c r="B32" s="5" t="s">
        <v>176</v>
      </c>
      <c r="C32" s="5" t="s">
        <v>177</v>
      </c>
      <c r="D32" s="2" t="s">
        <v>44</v>
      </c>
      <c r="E32" s="6">
        <v>4892</v>
      </c>
    </row>
    <row r="33" spans="1:5" x14ac:dyDescent="0.2">
      <c r="A33" s="5" t="s">
        <v>175</v>
      </c>
      <c r="B33" s="5" t="s">
        <v>176</v>
      </c>
      <c r="C33" s="5" t="s">
        <v>177</v>
      </c>
      <c r="D33" s="2" t="s">
        <v>67</v>
      </c>
      <c r="E33" s="6">
        <v>4175</v>
      </c>
    </row>
    <row r="34" spans="1:5" x14ac:dyDescent="0.2">
      <c r="A34" s="5" t="s">
        <v>175</v>
      </c>
      <c r="B34" s="5" t="s">
        <v>176</v>
      </c>
      <c r="C34" s="5" t="s">
        <v>177</v>
      </c>
      <c r="D34" s="2" t="s">
        <v>64</v>
      </c>
      <c r="E34" s="6">
        <v>4132</v>
      </c>
    </row>
    <row r="35" spans="1:5" x14ac:dyDescent="0.2">
      <c r="A35" s="5" t="s">
        <v>175</v>
      </c>
      <c r="B35" s="5" t="s">
        <v>176</v>
      </c>
      <c r="C35" s="5" t="s">
        <v>177</v>
      </c>
      <c r="D35" s="2" t="s">
        <v>14</v>
      </c>
      <c r="E35" s="6">
        <v>3885</v>
      </c>
    </row>
    <row r="36" spans="1:5" x14ac:dyDescent="0.2">
      <c r="A36" s="5" t="s">
        <v>175</v>
      </c>
      <c r="B36" s="5" t="s">
        <v>176</v>
      </c>
      <c r="C36" s="5" t="s">
        <v>177</v>
      </c>
      <c r="D36" s="2" t="s">
        <v>76</v>
      </c>
      <c r="E36" s="6">
        <v>3742</v>
      </c>
    </row>
    <row r="37" spans="1:5" x14ac:dyDescent="0.2">
      <c r="A37" s="5" t="s">
        <v>175</v>
      </c>
      <c r="B37" s="5" t="s">
        <v>176</v>
      </c>
      <c r="C37" s="5" t="s">
        <v>177</v>
      </c>
      <c r="D37" s="2" t="s">
        <v>69</v>
      </c>
      <c r="E37" s="6">
        <v>3388</v>
      </c>
    </row>
    <row r="38" spans="1:5" x14ac:dyDescent="0.2">
      <c r="A38" s="5" t="s">
        <v>175</v>
      </c>
      <c r="B38" s="5" t="s">
        <v>176</v>
      </c>
      <c r="C38" s="5" t="s">
        <v>177</v>
      </c>
      <c r="D38" s="2" t="s">
        <v>81</v>
      </c>
      <c r="E38" s="6">
        <v>3282</v>
      </c>
    </row>
    <row r="39" spans="1:5" x14ac:dyDescent="0.2">
      <c r="A39" s="5" t="s">
        <v>175</v>
      </c>
      <c r="B39" s="5" t="s">
        <v>176</v>
      </c>
      <c r="C39" s="5" t="s">
        <v>177</v>
      </c>
      <c r="D39" s="2" t="s">
        <v>70</v>
      </c>
      <c r="E39" s="6">
        <v>3094</v>
      </c>
    </row>
    <row r="40" spans="1:5" x14ac:dyDescent="0.2">
      <c r="A40" s="5" t="s">
        <v>175</v>
      </c>
      <c r="B40" s="5" t="s">
        <v>176</v>
      </c>
      <c r="C40" s="5" t="s">
        <v>177</v>
      </c>
      <c r="D40" s="2" t="s">
        <v>74</v>
      </c>
      <c r="E40" s="6">
        <v>3066</v>
      </c>
    </row>
    <row r="41" spans="1:5" x14ac:dyDescent="0.2">
      <c r="A41" s="5" t="s">
        <v>175</v>
      </c>
      <c r="B41" s="5" t="s">
        <v>176</v>
      </c>
      <c r="C41" s="5" t="s">
        <v>177</v>
      </c>
      <c r="D41" s="2" t="s">
        <v>91</v>
      </c>
      <c r="E41" s="6">
        <v>3034</v>
      </c>
    </row>
    <row r="42" spans="1:5" x14ac:dyDescent="0.2">
      <c r="A42" s="5" t="s">
        <v>175</v>
      </c>
      <c r="B42" s="5" t="s">
        <v>176</v>
      </c>
      <c r="C42" s="5" t="s">
        <v>177</v>
      </c>
      <c r="D42" s="2" t="s">
        <v>78</v>
      </c>
      <c r="E42" s="6">
        <v>2926</v>
      </c>
    </row>
    <row r="43" spans="1:5" x14ac:dyDescent="0.2">
      <c r="A43" s="5" t="s">
        <v>175</v>
      </c>
      <c r="B43" s="5" t="s">
        <v>176</v>
      </c>
      <c r="C43" s="5" t="s">
        <v>177</v>
      </c>
      <c r="D43" s="2" t="s">
        <v>84</v>
      </c>
      <c r="E43" s="6">
        <v>2788</v>
      </c>
    </row>
    <row r="44" spans="1:5" x14ac:dyDescent="0.2">
      <c r="A44" s="5" t="s">
        <v>175</v>
      </c>
      <c r="B44" s="5" t="s">
        <v>176</v>
      </c>
      <c r="C44" s="5" t="s">
        <v>177</v>
      </c>
      <c r="D44" s="2" t="s">
        <v>93</v>
      </c>
      <c r="E44" s="6">
        <v>2762</v>
      </c>
    </row>
    <row r="45" spans="1:5" x14ac:dyDescent="0.2">
      <c r="A45" s="5" t="s">
        <v>175</v>
      </c>
      <c r="B45" s="5" t="s">
        <v>176</v>
      </c>
      <c r="C45" s="5" t="s">
        <v>177</v>
      </c>
      <c r="D45" s="2" t="s">
        <v>88</v>
      </c>
      <c r="E45" s="6">
        <v>2590</v>
      </c>
    </row>
    <row r="46" spans="1:5" x14ac:dyDescent="0.2">
      <c r="A46" s="5" t="s">
        <v>175</v>
      </c>
      <c r="B46" s="5" t="s">
        <v>176</v>
      </c>
      <c r="C46" s="5" t="s">
        <v>177</v>
      </c>
      <c r="D46" s="2" t="s">
        <v>85</v>
      </c>
      <c r="E46" s="6">
        <v>2388</v>
      </c>
    </row>
    <row r="47" spans="1:5" x14ac:dyDescent="0.2">
      <c r="A47" s="5" t="s">
        <v>175</v>
      </c>
      <c r="B47" s="5" t="s">
        <v>176</v>
      </c>
      <c r="C47" s="5" t="s">
        <v>177</v>
      </c>
      <c r="D47" s="2" t="s">
        <v>89</v>
      </c>
      <c r="E47" s="6">
        <v>2296</v>
      </c>
    </row>
    <row r="48" spans="1:5" x14ac:dyDescent="0.2">
      <c r="A48" s="5" t="s">
        <v>175</v>
      </c>
      <c r="B48" s="5" t="s">
        <v>176</v>
      </c>
      <c r="C48" s="5" t="s">
        <v>177</v>
      </c>
      <c r="D48" s="2" t="s">
        <v>97</v>
      </c>
      <c r="E48" s="6">
        <v>2282</v>
      </c>
    </row>
    <row r="49" spans="1:5" x14ac:dyDescent="0.2">
      <c r="A49" s="5" t="s">
        <v>175</v>
      </c>
      <c r="B49" s="5" t="s">
        <v>176</v>
      </c>
      <c r="C49" s="5" t="s">
        <v>177</v>
      </c>
      <c r="D49" s="2" t="s">
        <v>61</v>
      </c>
      <c r="E49" s="6">
        <v>2244</v>
      </c>
    </row>
    <row r="50" spans="1:5" x14ac:dyDescent="0.2">
      <c r="A50" s="5" t="s">
        <v>175</v>
      </c>
      <c r="B50" s="5" t="s">
        <v>176</v>
      </c>
      <c r="C50" s="5" t="s">
        <v>177</v>
      </c>
      <c r="D50" s="2" t="s">
        <v>72</v>
      </c>
      <c r="E50" s="6">
        <v>2100</v>
      </c>
    </row>
    <row r="51" spans="1:5" x14ac:dyDescent="0.2">
      <c r="A51" s="5" t="s">
        <v>175</v>
      </c>
      <c r="B51" s="5" t="s">
        <v>176</v>
      </c>
      <c r="C51" s="5" t="s">
        <v>177</v>
      </c>
      <c r="D51" s="2" t="s">
        <v>65</v>
      </c>
      <c r="E51" s="6">
        <v>2020</v>
      </c>
    </row>
    <row r="52" spans="1:5" x14ac:dyDescent="0.2">
      <c r="A52" s="5" t="s">
        <v>175</v>
      </c>
      <c r="B52" s="5" t="s">
        <v>176</v>
      </c>
      <c r="C52" s="5" t="s">
        <v>177</v>
      </c>
      <c r="D52" s="2" t="s">
        <v>36</v>
      </c>
      <c r="E52" s="6">
        <v>1718</v>
      </c>
    </row>
    <row r="53" spans="1:5" x14ac:dyDescent="0.2">
      <c r="A53" s="5" t="s">
        <v>175</v>
      </c>
      <c r="B53" s="5" t="s">
        <v>176</v>
      </c>
      <c r="C53" s="5" t="s">
        <v>177</v>
      </c>
      <c r="D53" s="2" t="s">
        <v>94</v>
      </c>
      <c r="E53" s="6">
        <v>1633</v>
      </c>
    </row>
    <row r="54" spans="1:5" x14ac:dyDescent="0.2">
      <c r="A54" s="5" t="s">
        <v>175</v>
      </c>
      <c r="B54" s="5" t="s">
        <v>176</v>
      </c>
      <c r="C54" s="5" t="s">
        <v>177</v>
      </c>
      <c r="D54" s="2" t="s">
        <v>83</v>
      </c>
      <c r="E54" s="6">
        <v>1579</v>
      </c>
    </row>
    <row r="55" spans="1:5" x14ac:dyDescent="0.2">
      <c r="A55" s="5" t="s">
        <v>175</v>
      </c>
      <c r="B55" s="5" t="s">
        <v>176</v>
      </c>
      <c r="C55" s="5" t="s">
        <v>177</v>
      </c>
      <c r="D55" s="2" t="s">
        <v>92</v>
      </c>
      <c r="E55" s="6">
        <v>1491</v>
      </c>
    </row>
    <row r="56" spans="1:5" x14ac:dyDescent="0.2">
      <c r="A56" s="5" t="s">
        <v>175</v>
      </c>
      <c r="B56" s="5" t="s">
        <v>176</v>
      </c>
      <c r="C56" s="5" t="s">
        <v>177</v>
      </c>
      <c r="D56" s="2" t="s">
        <v>46</v>
      </c>
      <c r="E56" s="6">
        <v>1372</v>
      </c>
    </row>
    <row r="57" spans="1:5" x14ac:dyDescent="0.2">
      <c r="A57" s="5" t="s">
        <v>175</v>
      </c>
      <c r="B57" s="5" t="s">
        <v>176</v>
      </c>
      <c r="C57" s="5" t="s">
        <v>177</v>
      </c>
      <c r="D57" s="2" t="s">
        <v>51</v>
      </c>
      <c r="E57" s="6">
        <v>1213</v>
      </c>
    </row>
    <row r="58" spans="1:5" x14ac:dyDescent="0.2">
      <c r="A58" s="5" t="s">
        <v>175</v>
      </c>
      <c r="B58" s="5" t="s">
        <v>176</v>
      </c>
      <c r="C58" s="5" t="s">
        <v>177</v>
      </c>
      <c r="D58" s="2" t="s">
        <v>87</v>
      </c>
      <c r="E58" s="6">
        <v>1200</v>
      </c>
    </row>
    <row r="59" spans="1:5" x14ac:dyDescent="0.2">
      <c r="A59" s="5" t="s">
        <v>175</v>
      </c>
      <c r="B59" s="5" t="s">
        <v>176</v>
      </c>
      <c r="C59" s="5" t="s">
        <v>177</v>
      </c>
      <c r="D59" s="2" t="s">
        <v>90</v>
      </c>
      <c r="E59" s="6">
        <v>1174</v>
      </c>
    </row>
    <row r="60" spans="1:5" x14ac:dyDescent="0.2">
      <c r="A60" s="5" t="s">
        <v>175</v>
      </c>
      <c r="B60" s="5" t="s">
        <v>176</v>
      </c>
      <c r="C60" s="5" t="s">
        <v>177</v>
      </c>
      <c r="D60" s="2" t="s">
        <v>71</v>
      </c>
      <c r="E60" s="6">
        <v>1073</v>
      </c>
    </row>
    <row r="61" spans="1:5" x14ac:dyDescent="0.2">
      <c r="A61" s="5" t="s">
        <v>175</v>
      </c>
      <c r="B61" s="5" t="s">
        <v>176</v>
      </c>
      <c r="C61" s="5" t="s">
        <v>177</v>
      </c>
      <c r="D61" s="2" t="s">
        <v>53</v>
      </c>
      <c r="E61" s="6">
        <v>861</v>
      </c>
    </row>
    <row r="62" spans="1:5" x14ac:dyDescent="0.2">
      <c r="A62" s="5" t="s">
        <v>175</v>
      </c>
      <c r="B62" s="5" t="s">
        <v>176</v>
      </c>
      <c r="C62" s="5" t="s">
        <v>177</v>
      </c>
      <c r="D62" s="2" t="s">
        <v>178</v>
      </c>
      <c r="E62" s="6">
        <v>837</v>
      </c>
    </row>
    <row r="63" spans="1:5" x14ac:dyDescent="0.2">
      <c r="A63" s="5" t="s">
        <v>175</v>
      </c>
      <c r="B63" s="5" t="s">
        <v>176</v>
      </c>
      <c r="C63" s="5" t="s">
        <v>177</v>
      </c>
      <c r="D63" s="2" t="s">
        <v>79</v>
      </c>
      <c r="E63" s="6">
        <v>761</v>
      </c>
    </row>
    <row r="64" spans="1:5" x14ac:dyDescent="0.2">
      <c r="A64" s="5" t="s">
        <v>175</v>
      </c>
      <c r="B64" s="5" t="s">
        <v>176</v>
      </c>
      <c r="C64" s="5" t="s">
        <v>177</v>
      </c>
      <c r="D64" s="2" t="s">
        <v>98</v>
      </c>
      <c r="E64" s="6">
        <v>697</v>
      </c>
    </row>
    <row r="65" spans="1:5" x14ac:dyDescent="0.2">
      <c r="A65" s="5" t="s">
        <v>175</v>
      </c>
      <c r="B65" s="5" t="s">
        <v>176</v>
      </c>
      <c r="C65" s="5" t="s">
        <v>177</v>
      </c>
      <c r="D65" s="2" t="s">
        <v>62</v>
      </c>
      <c r="E65" s="6">
        <v>541</v>
      </c>
    </row>
    <row r="66" spans="1:5" x14ac:dyDescent="0.2">
      <c r="A66" s="5" t="s">
        <v>175</v>
      </c>
      <c r="B66" s="5" t="s">
        <v>176</v>
      </c>
      <c r="C66" s="5" t="s">
        <v>177</v>
      </c>
      <c r="D66" s="2" t="s">
        <v>60</v>
      </c>
      <c r="E66" s="6">
        <v>501</v>
      </c>
    </row>
    <row r="67" spans="1:5" x14ac:dyDescent="0.2">
      <c r="A67" s="5" t="s">
        <v>175</v>
      </c>
      <c r="B67" s="5" t="s">
        <v>176</v>
      </c>
      <c r="C67" s="5" t="s">
        <v>177</v>
      </c>
      <c r="D67" s="2" t="s">
        <v>179</v>
      </c>
      <c r="E67" s="6">
        <v>496</v>
      </c>
    </row>
    <row r="68" spans="1:5" x14ac:dyDescent="0.2">
      <c r="A68" s="5" t="s">
        <v>175</v>
      </c>
      <c r="B68" s="5" t="s">
        <v>176</v>
      </c>
      <c r="C68" s="5" t="s">
        <v>177</v>
      </c>
      <c r="D68" s="2" t="s">
        <v>54</v>
      </c>
      <c r="E68" s="6">
        <v>441</v>
      </c>
    </row>
    <row r="69" spans="1:5" x14ac:dyDescent="0.2">
      <c r="A69" s="5" t="s">
        <v>175</v>
      </c>
      <c r="B69" s="5" t="s">
        <v>176</v>
      </c>
      <c r="C69" s="5" t="s">
        <v>177</v>
      </c>
      <c r="D69" s="2" t="s">
        <v>96</v>
      </c>
      <c r="E69" s="6">
        <v>416</v>
      </c>
    </row>
    <row r="70" spans="1:5" x14ac:dyDescent="0.2">
      <c r="A70" s="5" t="s">
        <v>175</v>
      </c>
      <c r="B70" s="5" t="s">
        <v>176</v>
      </c>
      <c r="C70" s="5" t="s">
        <v>177</v>
      </c>
      <c r="D70" s="2" t="s">
        <v>99</v>
      </c>
      <c r="E70" s="6">
        <v>304</v>
      </c>
    </row>
    <row r="71" spans="1:5" x14ac:dyDescent="0.2">
      <c r="A71" s="5" t="s">
        <v>175</v>
      </c>
      <c r="B71" s="5" t="s">
        <v>176</v>
      </c>
      <c r="C71" s="5" t="s">
        <v>177</v>
      </c>
      <c r="D71" s="2" t="s">
        <v>86</v>
      </c>
      <c r="E71" s="6">
        <v>290</v>
      </c>
    </row>
    <row r="72" spans="1:5" x14ac:dyDescent="0.2">
      <c r="A72" s="5" t="s">
        <v>175</v>
      </c>
      <c r="B72" s="5" t="s">
        <v>176</v>
      </c>
      <c r="C72" s="5" t="s">
        <v>177</v>
      </c>
      <c r="D72" s="2" t="s">
        <v>73</v>
      </c>
      <c r="E72" s="6">
        <v>268</v>
      </c>
    </row>
    <row r="73" spans="1:5" x14ac:dyDescent="0.2">
      <c r="A73" s="5" t="s">
        <v>175</v>
      </c>
      <c r="B73" s="5" t="s">
        <v>176</v>
      </c>
      <c r="C73" s="5" t="s">
        <v>177</v>
      </c>
      <c r="D73" s="2" t="s">
        <v>82</v>
      </c>
      <c r="E73" s="6">
        <v>268</v>
      </c>
    </row>
    <row r="74" spans="1:5" x14ac:dyDescent="0.2">
      <c r="A74" s="5" t="s">
        <v>175</v>
      </c>
      <c r="B74" s="5" t="s">
        <v>176</v>
      </c>
      <c r="C74" s="5" t="s">
        <v>177</v>
      </c>
      <c r="D74" s="2" t="s">
        <v>80</v>
      </c>
      <c r="E74" s="6">
        <v>165</v>
      </c>
    </row>
    <row r="75" spans="1:5" x14ac:dyDescent="0.2">
      <c r="A75" s="5" t="s">
        <v>175</v>
      </c>
      <c r="B75" s="5" t="s">
        <v>176</v>
      </c>
      <c r="C75" s="5" t="s">
        <v>177</v>
      </c>
      <c r="D75" s="2" t="s">
        <v>57</v>
      </c>
      <c r="E75" s="6">
        <v>138</v>
      </c>
    </row>
    <row r="76" spans="1:5" x14ac:dyDescent="0.2">
      <c r="A76" s="5" t="s">
        <v>175</v>
      </c>
      <c r="B76" s="5" t="s">
        <v>176</v>
      </c>
      <c r="C76" s="5" t="s">
        <v>177</v>
      </c>
      <c r="D76" s="2" t="s">
        <v>77</v>
      </c>
      <c r="E76" s="6">
        <v>133</v>
      </c>
    </row>
    <row r="77" spans="1:5" x14ac:dyDescent="0.2">
      <c r="A77" s="5" t="s">
        <v>175</v>
      </c>
      <c r="B77" s="5" t="s">
        <v>176</v>
      </c>
      <c r="C77" s="5" t="s">
        <v>177</v>
      </c>
      <c r="D77" s="2" t="s">
        <v>180</v>
      </c>
      <c r="E77" s="6">
        <v>106</v>
      </c>
    </row>
    <row r="78" spans="1:5" x14ac:dyDescent="0.2">
      <c r="A78" s="5" t="s">
        <v>175</v>
      </c>
      <c r="B78" s="5" t="s">
        <v>176</v>
      </c>
      <c r="C78" s="5" t="s">
        <v>177</v>
      </c>
      <c r="D78" s="2" t="s">
        <v>95</v>
      </c>
      <c r="E78" s="6">
        <v>97</v>
      </c>
    </row>
    <row r="79" spans="1:5" x14ac:dyDescent="0.2">
      <c r="A79" s="5" t="s">
        <v>175</v>
      </c>
      <c r="B79" s="5" t="s">
        <v>176</v>
      </c>
      <c r="C79" s="5" t="s">
        <v>177</v>
      </c>
      <c r="D79" s="2" t="s">
        <v>181</v>
      </c>
      <c r="E79" s="6">
        <v>77</v>
      </c>
    </row>
    <row r="80" spans="1:5" x14ac:dyDescent="0.2">
      <c r="A80" s="7" t="s">
        <v>101</v>
      </c>
      <c r="E80" s="8">
        <f>SUM(E6:E79)</f>
        <v>404445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AFDF0-9BE3-E64D-A9E8-7A2D18AB1641}">
  <dimension ref="A1:E35"/>
  <sheetViews>
    <sheetView zoomScale="200" workbookViewId="0">
      <selection activeCell="D5" sqref="D5:E35"/>
    </sheetView>
  </sheetViews>
  <sheetFormatPr baseColWidth="10" defaultRowHeight="16" x14ac:dyDescent="0.2"/>
  <sheetData>
    <row r="1" spans="1:5" x14ac:dyDescent="0.2">
      <c r="A1" s="1" t="s">
        <v>0</v>
      </c>
      <c r="B1" s="1"/>
      <c r="C1" s="1"/>
      <c r="D1" s="1"/>
      <c r="E1" s="1"/>
    </row>
    <row r="2" spans="1:5" x14ac:dyDescent="0.2">
      <c r="A2" s="1" t="s">
        <v>1</v>
      </c>
      <c r="B2" s="1"/>
      <c r="C2" s="1"/>
      <c r="D2" s="9"/>
      <c r="E2" s="1"/>
    </row>
    <row r="3" spans="1:5" x14ac:dyDescent="0.2">
      <c r="A3" s="1" t="s">
        <v>173</v>
      </c>
      <c r="B3" s="1"/>
      <c r="C3" s="1"/>
      <c r="D3" s="1"/>
      <c r="E3" s="10"/>
    </row>
    <row r="4" spans="1:5" x14ac:dyDescent="0.2">
      <c r="A4" s="1" t="s">
        <v>103</v>
      </c>
      <c r="B4" s="1"/>
      <c r="C4" s="1"/>
      <c r="D4" s="1"/>
      <c r="E4" s="1"/>
    </row>
    <row r="5" spans="1:5" x14ac:dyDescent="0.2">
      <c r="A5" s="3" t="s">
        <v>3</v>
      </c>
      <c r="B5" s="3" t="s">
        <v>4</v>
      </c>
      <c r="C5" s="3" t="s">
        <v>5</v>
      </c>
      <c r="D5" s="3" t="s">
        <v>104</v>
      </c>
      <c r="E5" s="4" t="s">
        <v>7</v>
      </c>
    </row>
    <row r="6" spans="1:5" x14ac:dyDescent="0.2">
      <c r="A6" s="6" t="s">
        <v>175</v>
      </c>
      <c r="B6" s="6" t="s">
        <v>176</v>
      </c>
      <c r="C6" s="6" t="s">
        <v>177</v>
      </c>
      <c r="D6" s="2" t="s">
        <v>106</v>
      </c>
      <c r="E6" s="2">
        <v>42723</v>
      </c>
    </row>
    <row r="7" spans="1:5" x14ac:dyDescent="0.2">
      <c r="A7" s="6" t="s">
        <v>175</v>
      </c>
      <c r="B7" s="6" t="s">
        <v>176</v>
      </c>
      <c r="C7" s="6" t="s">
        <v>177</v>
      </c>
      <c r="D7" s="2" t="s">
        <v>107</v>
      </c>
      <c r="E7" s="2">
        <v>35119</v>
      </c>
    </row>
    <row r="8" spans="1:5" x14ac:dyDescent="0.2">
      <c r="A8" s="6" t="s">
        <v>175</v>
      </c>
      <c r="B8" s="6" t="s">
        <v>176</v>
      </c>
      <c r="C8" s="6" t="s">
        <v>177</v>
      </c>
      <c r="D8" s="2" t="s">
        <v>108</v>
      </c>
      <c r="E8" s="2">
        <v>33519</v>
      </c>
    </row>
    <row r="9" spans="1:5" x14ac:dyDescent="0.2">
      <c r="A9" s="6" t="s">
        <v>175</v>
      </c>
      <c r="B9" s="6" t="s">
        <v>176</v>
      </c>
      <c r="C9" s="6" t="s">
        <v>177</v>
      </c>
      <c r="D9" s="2" t="s">
        <v>109</v>
      </c>
      <c r="E9" s="2">
        <v>29115</v>
      </c>
    </row>
    <row r="10" spans="1:5" x14ac:dyDescent="0.2">
      <c r="A10" s="6" t="s">
        <v>175</v>
      </c>
      <c r="B10" s="6" t="s">
        <v>176</v>
      </c>
      <c r="C10" s="6" t="s">
        <v>177</v>
      </c>
      <c r="D10" s="2" t="s">
        <v>110</v>
      </c>
      <c r="E10" s="2">
        <v>28704</v>
      </c>
    </row>
    <row r="11" spans="1:5" x14ac:dyDescent="0.2">
      <c r="A11" s="6" t="s">
        <v>175</v>
      </c>
      <c r="B11" s="6" t="s">
        <v>176</v>
      </c>
      <c r="C11" s="6" t="s">
        <v>177</v>
      </c>
      <c r="D11" s="2" t="s">
        <v>112</v>
      </c>
      <c r="E11" s="2">
        <v>22460</v>
      </c>
    </row>
    <row r="12" spans="1:5" x14ac:dyDescent="0.2">
      <c r="A12" s="6" t="s">
        <v>175</v>
      </c>
      <c r="B12" s="6" t="s">
        <v>176</v>
      </c>
      <c r="C12" s="6" t="s">
        <v>177</v>
      </c>
      <c r="D12" s="2" t="s">
        <v>111</v>
      </c>
      <c r="E12" s="2">
        <v>21678</v>
      </c>
    </row>
    <row r="13" spans="1:5" x14ac:dyDescent="0.2">
      <c r="A13" s="6" t="s">
        <v>175</v>
      </c>
      <c r="B13" s="6" t="s">
        <v>176</v>
      </c>
      <c r="C13" s="6" t="s">
        <v>177</v>
      </c>
      <c r="D13" s="2" t="s">
        <v>113</v>
      </c>
      <c r="E13" s="2">
        <v>20020</v>
      </c>
    </row>
    <row r="14" spans="1:5" x14ac:dyDescent="0.2">
      <c r="A14" s="6" t="s">
        <v>175</v>
      </c>
      <c r="B14" s="6" t="s">
        <v>176</v>
      </c>
      <c r="C14" s="6" t="s">
        <v>177</v>
      </c>
      <c r="D14" s="2" t="s">
        <v>115</v>
      </c>
      <c r="E14" s="2">
        <v>19941</v>
      </c>
    </row>
    <row r="15" spans="1:5" x14ac:dyDescent="0.2">
      <c r="A15" s="6" t="s">
        <v>175</v>
      </c>
      <c r="B15" s="6" t="s">
        <v>176</v>
      </c>
      <c r="C15" s="6" t="s">
        <v>177</v>
      </c>
      <c r="D15" s="2" t="s">
        <v>114</v>
      </c>
      <c r="E15" s="2">
        <v>17117</v>
      </c>
    </row>
    <row r="16" spans="1:5" x14ac:dyDescent="0.2">
      <c r="A16" s="6" t="s">
        <v>175</v>
      </c>
      <c r="B16" s="6" t="s">
        <v>176</v>
      </c>
      <c r="C16" s="6" t="s">
        <v>177</v>
      </c>
      <c r="D16" s="2" t="s">
        <v>119</v>
      </c>
      <c r="E16" s="2">
        <v>14723</v>
      </c>
    </row>
    <row r="17" spans="1:5" x14ac:dyDescent="0.2">
      <c r="A17" s="6" t="s">
        <v>175</v>
      </c>
      <c r="B17" s="6" t="s">
        <v>176</v>
      </c>
      <c r="C17" s="6" t="s">
        <v>177</v>
      </c>
      <c r="D17" s="2" t="s">
        <v>116</v>
      </c>
      <c r="E17" s="2">
        <v>14331</v>
      </c>
    </row>
    <row r="18" spans="1:5" x14ac:dyDescent="0.2">
      <c r="A18" s="6" t="s">
        <v>175</v>
      </c>
      <c r="B18" s="6" t="s">
        <v>176</v>
      </c>
      <c r="C18" s="6" t="s">
        <v>177</v>
      </c>
      <c r="D18" s="2" t="s">
        <v>118</v>
      </c>
      <c r="E18" s="2">
        <v>12050</v>
      </c>
    </row>
    <row r="19" spans="1:5" x14ac:dyDescent="0.2">
      <c r="A19" s="6" t="s">
        <v>175</v>
      </c>
      <c r="B19" s="6" t="s">
        <v>176</v>
      </c>
      <c r="C19" s="6" t="s">
        <v>177</v>
      </c>
      <c r="D19" s="2" t="s">
        <v>117</v>
      </c>
      <c r="E19" s="2">
        <v>11634</v>
      </c>
    </row>
    <row r="20" spans="1:5" x14ac:dyDescent="0.2">
      <c r="A20" s="6" t="s">
        <v>175</v>
      </c>
      <c r="B20" s="6" t="s">
        <v>176</v>
      </c>
      <c r="C20" s="6" t="s">
        <v>177</v>
      </c>
      <c r="D20" s="2" t="s">
        <v>120</v>
      </c>
      <c r="E20" s="2">
        <v>10416</v>
      </c>
    </row>
    <row r="21" spans="1:5" x14ac:dyDescent="0.2">
      <c r="A21" s="6" t="s">
        <v>175</v>
      </c>
      <c r="B21" s="6" t="s">
        <v>176</v>
      </c>
      <c r="C21" s="6" t="s">
        <v>177</v>
      </c>
      <c r="D21" s="2" t="s">
        <v>182</v>
      </c>
      <c r="E21" s="2">
        <v>8351</v>
      </c>
    </row>
    <row r="22" spans="1:5" x14ac:dyDescent="0.2">
      <c r="A22" s="6" t="s">
        <v>175</v>
      </c>
      <c r="B22" s="6" t="s">
        <v>176</v>
      </c>
      <c r="C22" s="6" t="s">
        <v>177</v>
      </c>
      <c r="D22" s="2" t="s">
        <v>121</v>
      </c>
      <c r="E22" s="2">
        <v>8316</v>
      </c>
    </row>
    <row r="23" spans="1:5" x14ac:dyDescent="0.2">
      <c r="A23" s="6" t="s">
        <v>175</v>
      </c>
      <c r="B23" s="6" t="s">
        <v>176</v>
      </c>
      <c r="C23" s="6" t="s">
        <v>177</v>
      </c>
      <c r="D23" s="2" t="s">
        <v>122</v>
      </c>
      <c r="E23" s="2">
        <v>7797</v>
      </c>
    </row>
    <row r="24" spans="1:5" x14ac:dyDescent="0.2">
      <c r="A24" s="6" t="s">
        <v>175</v>
      </c>
      <c r="B24" s="6" t="s">
        <v>176</v>
      </c>
      <c r="C24" s="6" t="s">
        <v>177</v>
      </c>
      <c r="D24" s="2" t="s">
        <v>183</v>
      </c>
      <c r="E24" s="2">
        <v>7357</v>
      </c>
    </row>
    <row r="25" spans="1:5" x14ac:dyDescent="0.2">
      <c r="A25" s="6" t="s">
        <v>175</v>
      </c>
      <c r="B25" s="6" t="s">
        <v>176</v>
      </c>
      <c r="C25" s="6" t="s">
        <v>177</v>
      </c>
      <c r="D25" s="2" t="s">
        <v>184</v>
      </c>
      <c r="E25" s="2">
        <v>6237</v>
      </c>
    </row>
    <row r="26" spans="1:5" x14ac:dyDescent="0.2">
      <c r="A26" s="6" t="s">
        <v>175</v>
      </c>
      <c r="B26" s="6" t="s">
        <v>176</v>
      </c>
      <c r="C26" s="6" t="s">
        <v>177</v>
      </c>
      <c r="D26" s="2" t="s">
        <v>125</v>
      </c>
      <c r="E26" s="2">
        <v>5079</v>
      </c>
    </row>
    <row r="27" spans="1:5" x14ac:dyDescent="0.2">
      <c r="A27" s="6" t="s">
        <v>175</v>
      </c>
      <c r="B27" s="6" t="s">
        <v>176</v>
      </c>
      <c r="C27" s="6" t="s">
        <v>177</v>
      </c>
      <c r="D27" s="2" t="s">
        <v>123</v>
      </c>
      <c r="E27" s="2">
        <v>4873</v>
      </c>
    </row>
    <row r="28" spans="1:5" x14ac:dyDescent="0.2">
      <c r="A28" s="6" t="s">
        <v>175</v>
      </c>
      <c r="B28" s="6" t="s">
        <v>176</v>
      </c>
      <c r="C28" s="6" t="s">
        <v>177</v>
      </c>
      <c r="D28" s="2" t="s">
        <v>185</v>
      </c>
      <c r="E28" s="2">
        <v>4771</v>
      </c>
    </row>
    <row r="29" spans="1:5" x14ac:dyDescent="0.2">
      <c r="A29" s="6" t="s">
        <v>175</v>
      </c>
      <c r="B29" s="6" t="s">
        <v>176</v>
      </c>
      <c r="C29" s="6" t="s">
        <v>177</v>
      </c>
      <c r="D29" s="2" t="s">
        <v>126</v>
      </c>
      <c r="E29" s="2">
        <v>4769</v>
      </c>
    </row>
    <row r="30" spans="1:5" x14ac:dyDescent="0.2">
      <c r="A30" s="6" t="s">
        <v>175</v>
      </c>
      <c r="B30" s="6" t="s">
        <v>176</v>
      </c>
      <c r="C30" s="6" t="s">
        <v>177</v>
      </c>
      <c r="D30" s="2" t="s">
        <v>186</v>
      </c>
      <c r="E30" s="2">
        <v>3584</v>
      </c>
    </row>
    <row r="31" spans="1:5" x14ac:dyDescent="0.2">
      <c r="A31" s="6" t="s">
        <v>175</v>
      </c>
      <c r="B31" s="6" t="s">
        <v>176</v>
      </c>
      <c r="C31" s="6" t="s">
        <v>177</v>
      </c>
      <c r="D31" s="2" t="s">
        <v>127</v>
      </c>
      <c r="E31" s="2">
        <v>3576</v>
      </c>
    </row>
    <row r="32" spans="1:5" x14ac:dyDescent="0.2">
      <c r="A32" s="6" t="s">
        <v>175</v>
      </c>
      <c r="B32" s="6" t="s">
        <v>176</v>
      </c>
      <c r="C32" s="6" t="s">
        <v>177</v>
      </c>
      <c r="D32" s="2" t="s">
        <v>187</v>
      </c>
      <c r="E32" s="2">
        <v>2999</v>
      </c>
    </row>
    <row r="33" spans="1:5" x14ac:dyDescent="0.2">
      <c r="A33" s="6" t="s">
        <v>175</v>
      </c>
      <c r="B33" s="6" t="s">
        <v>176</v>
      </c>
      <c r="C33" s="6" t="s">
        <v>177</v>
      </c>
      <c r="D33" s="2" t="s">
        <v>188</v>
      </c>
      <c r="E33" s="2">
        <v>2004</v>
      </c>
    </row>
    <row r="34" spans="1:5" x14ac:dyDescent="0.2">
      <c r="A34" s="6" t="s">
        <v>175</v>
      </c>
      <c r="B34" s="6" t="s">
        <v>176</v>
      </c>
      <c r="C34" s="6" t="s">
        <v>177</v>
      </c>
      <c r="D34" s="2" t="s">
        <v>189</v>
      </c>
      <c r="E34" s="2">
        <v>1182</v>
      </c>
    </row>
    <row r="35" spans="1:5" x14ac:dyDescent="0.2">
      <c r="A35" s="8" t="s">
        <v>101</v>
      </c>
      <c r="E35" s="8">
        <f>SUM(E6:E34)</f>
        <v>404445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E37A-0DA2-8240-A6F7-DDCE56EB5200}">
  <dimension ref="A1:F40"/>
  <sheetViews>
    <sheetView topLeftCell="A20" workbookViewId="0">
      <selection activeCell="D1" sqref="D1:F40"/>
    </sheetView>
  </sheetViews>
  <sheetFormatPr baseColWidth="10" defaultRowHeight="16" x14ac:dyDescent="0.2"/>
  <cols>
    <col min="2" max="2" width="19.1640625" customWidth="1"/>
    <col min="3" max="3" width="35" customWidth="1"/>
    <col min="5" max="5" width="16.6640625" customWidth="1"/>
  </cols>
  <sheetData>
    <row r="1" spans="1:6" x14ac:dyDescent="0.2">
      <c r="A1" s="6" t="s">
        <v>175</v>
      </c>
      <c r="B1" s="6" t="s">
        <v>176</v>
      </c>
      <c r="C1" s="6" t="s">
        <v>190</v>
      </c>
      <c r="D1" s="14">
        <v>45866</v>
      </c>
      <c r="E1" s="15">
        <v>11576</v>
      </c>
      <c r="F1" s="16">
        <v>242.59</v>
      </c>
    </row>
    <row r="2" spans="1:6" x14ac:dyDescent="0.2">
      <c r="A2" s="6" t="s">
        <v>175</v>
      </c>
      <c r="B2" s="6" t="s">
        <v>176</v>
      </c>
      <c r="C2" s="6" t="s">
        <v>191</v>
      </c>
      <c r="D2" s="14">
        <v>45867</v>
      </c>
      <c r="E2" s="15">
        <v>11614</v>
      </c>
      <c r="F2" s="16">
        <v>243.39</v>
      </c>
    </row>
    <row r="3" spans="1:6" x14ac:dyDescent="0.2">
      <c r="A3" s="6" t="s">
        <v>175</v>
      </c>
      <c r="B3" s="6" t="s">
        <v>176</v>
      </c>
      <c r="C3" s="6" t="s">
        <v>192</v>
      </c>
      <c r="D3" s="14">
        <v>45868</v>
      </c>
      <c r="E3" s="15">
        <v>11559</v>
      </c>
      <c r="F3" s="16">
        <v>242.24</v>
      </c>
    </row>
    <row r="4" spans="1:6" x14ac:dyDescent="0.2">
      <c r="A4" s="6" t="s">
        <v>175</v>
      </c>
      <c r="B4" s="6" t="s">
        <v>176</v>
      </c>
      <c r="C4" s="6" t="s">
        <v>193</v>
      </c>
      <c r="D4" s="14">
        <v>45869</v>
      </c>
      <c r="E4" s="15">
        <v>11642</v>
      </c>
      <c r="F4" s="16">
        <v>243.88</v>
      </c>
    </row>
    <row r="5" spans="1:6" x14ac:dyDescent="0.2">
      <c r="A5" s="6" t="s">
        <v>175</v>
      </c>
      <c r="B5" s="6" t="s">
        <v>176</v>
      </c>
      <c r="C5" s="6" t="s">
        <v>194</v>
      </c>
      <c r="D5" s="14">
        <v>45870</v>
      </c>
      <c r="E5" s="15">
        <v>11568</v>
      </c>
      <c r="F5" s="16">
        <v>242.44</v>
      </c>
    </row>
    <row r="6" spans="1:6" x14ac:dyDescent="0.2">
      <c r="A6" s="6" t="s">
        <v>175</v>
      </c>
      <c r="B6" s="6" t="s">
        <v>176</v>
      </c>
      <c r="C6" s="6" t="s">
        <v>195</v>
      </c>
      <c r="D6" s="14">
        <v>45871</v>
      </c>
      <c r="E6" s="15">
        <v>11593</v>
      </c>
      <c r="F6" s="16">
        <v>242.95</v>
      </c>
    </row>
    <row r="7" spans="1:6" x14ac:dyDescent="0.2">
      <c r="A7" s="6" t="s">
        <v>175</v>
      </c>
      <c r="B7" s="6" t="s">
        <v>176</v>
      </c>
      <c r="C7" s="6" t="s">
        <v>196</v>
      </c>
      <c r="D7" s="14">
        <v>45872</v>
      </c>
      <c r="E7" s="15">
        <v>11582</v>
      </c>
      <c r="F7" s="16">
        <v>242.72</v>
      </c>
    </row>
    <row r="8" spans="1:6" x14ac:dyDescent="0.2">
      <c r="A8" s="8" t="s">
        <v>101</v>
      </c>
      <c r="E8" s="17">
        <f>SUM(E1:E7)</f>
        <v>81134</v>
      </c>
      <c r="F8" s="18">
        <f>SUM(F1:F7)</f>
        <v>1700.21</v>
      </c>
    </row>
    <row r="9" spans="1:6" x14ac:dyDescent="0.2">
      <c r="A9" s="6" t="s">
        <v>175</v>
      </c>
      <c r="B9" s="6" t="s">
        <v>176</v>
      </c>
      <c r="C9" s="6" t="s">
        <v>197</v>
      </c>
      <c r="D9" s="14">
        <v>45873</v>
      </c>
      <c r="E9" s="15">
        <v>11581</v>
      </c>
      <c r="F9" s="16">
        <v>242.01</v>
      </c>
    </row>
    <row r="10" spans="1:6" x14ac:dyDescent="0.2">
      <c r="A10" s="6" t="s">
        <v>175</v>
      </c>
      <c r="B10" s="6" t="s">
        <v>176</v>
      </c>
      <c r="C10" s="6" t="s">
        <v>198</v>
      </c>
      <c r="D10" s="14">
        <v>45874</v>
      </c>
      <c r="E10" s="15">
        <v>11618</v>
      </c>
      <c r="F10" s="16">
        <v>242.78</v>
      </c>
    </row>
    <row r="11" spans="1:6" x14ac:dyDescent="0.2">
      <c r="A11" s="6" t="s">
        <v>175</v>
      </c>
      <c r="B11" s="6" t="s">
        <v>176</v>
      </c>
      <c r="C11" s="6" t="s">
        <v>199</v>
      </c>
      <c r="D11" s="14">
        <v>45875</v>
      </c>
      <c r="E11" s="15">
        <v>11590</v>
      </c>
      <c r="F11" s="16">
        <v>242.2</v>
      </c>
    </row>
    <row r="12" spans="1:6" x14ac:dyDescent="0.2">
      <c r="A12" s="6" t="s">
        <v>175</v>
      </c>
      <c r="B12" s="6" t="s">
        <v>176</v>
      </c>
      <c r="C12" s="6" t="s">
        <v>200</v>
      </c>
      <c r="D12" s="14">
        <v>45876</v>
      </c>
      <c r="E12" s="15">
        <v>11588</v>
      </c>
      <c r="F12" s="16">
        <v>242.15</v>
      </c>
    </row>
    <row r="13" spans="1:6" x14ac:dyDescent="0.2">
      <c r="A13" s="6" t="s">
        <v>175</v>
      </c>
      <c r="B13" s="6" t="s">
        <v>176</v>
      </c>
      <c r="C13" s="6" t="s">
        <v>201</v>
      </c>
      <c r="D13" s="14">
        <v>45877</v>
      </c>
      <c r="E13" s="15">
        <v>11603</v>
      </c>
      <c r="F13" s="16">
        <v>242.47</v>
      </c>
    </row>
    <row r="14" spans="1:6" x14ac:dyDescent="0.2">
      <c r="A14" s="6" t="s">
        <v>175</v>
      </c>
      <c r="B14" s="6" t="s">
        <v>176</v>
      </c>
      <c r="C14" s="6" t="s">
        <v>202</v>
      </c>
      <c r="D14" s="14">
        <v>45878</v>
      </c>
      <c r="E14" s="15">
        <v>11579</v>
      </c>
      <c r="F14" s="16">
        <v>241.97</v>
      </c>
    </row>
    <row r="15" spans="1:6" x14ac:dyDescent="0.2">
      <c r="A15" s="6" t="s">
        <v>175</v>
      </c>
      <c r="B15" s="6" t="s">
        <v>176</v>
      </c>
      <c r="C15" s="6" t="s">
        <v>203</v>
      </c>
      <c r="D15" s="14">
        <v>45879</v>
      </c>
      <c r="E15" s="15">
        <v>11608</v>
      </c>
      <c r="F15" s="16">
        <v>242.56</v>
      </c>
    </row>
    <row r="16" spans="1:6" x14ac:dyDescent="0.2">
      <c r="A16" s="8" t="s">
        <v>101</v>
      </c>
      <c r="E16" s="17">
        <f>SUM(E9:E15)</f>
        <v>81167</v>
      </c>
      <c r="F16" s="18">
        <f>SUM(F9:F15)</f>
        <v>1696.1399999999999</v>
      </c>
    </row>
    <row r="17" spans="1:6" x14ac:dyDescent="0.2">
      <c r="A17" s="6" t="s">
        <v>175</v>
      </c>
      <c r="B17" s="6" t="s">
        <v>176</v>
      </c>
      <c r="C17" s="6" t="s">
        <v>204</v>
      </c>
      <c r="D17" s="14">
        <v>45880</v>
      </c>
      <c r="E17" s="15">
        <v>11446</v>
      </c>
      <c r="F17" s="16">
        <v>240.44</v>
      </c>
    </row>
    <row r="18" spans="1:6" x14ac:dyDescent="0.2">
      <c r="A18" s="6" t="s">
        <v>175</v>
      </c>
      <c r="B18" s="6" t="s">
        <v>176</v>
      </c>
      <c r="C18" s="6" t="s">
        <v>205</v>
      </c>
      <c r="D18" s="14">
        <v>45881</v>
      </c>
      <c r="E18" s="15">
        <v>11409</v>
      </c>
      <c r="F18" s="16">
        <v>239.66</v>
      </c>
    </row>
    <row r="19" spans="1:6" x14ac:dyDescent="0.2">
      <c r="A19" s="6" t="s">
        <v>175</v>
      </c>
      <c r="B19" s="6" t="s">
        <v>176</v>
      </c>
      <c r="C19" s="6" t="s">
        <v>206</v>
      </c>
      <c r="D19" s="14">
        <v>45882</v>
      </c>
      <c r="E19" s="15">
        <v>11492</v>
      </c>
      <c r="F19" s="16">
        <v>241.4</v>
      </c>
    </row>
    <row r="20" spans="1:6" x14ac:dyDescent="0.2">
      <c r="A20" s="6" t="s">
        <v>175</v>
      </c>
      <c r="B20" s="6" t="s">
        <v>176</v>
      </c>
      <c r="C20" s="6" t="s">
        <v>207</v>
      </c>
      <c r="D20" s="14">
        <v>45883</v>
      </c>
      <c r="E20" s="15">
        <v>11461</v>
      </c>
      <c r="F20" s="16">
        <v>240.75</v>
      </c>
    </row>
    <row r="21" spans="1:6" x14ac:dyDescent="0.2">
      <c r="A21" s="6" t="s">
        <v>175</v>
      </c>
      <c r="B21" s="6" t="s">
        <v>176</v>
      </c>
      <c r="C21" s="6" t="s">
        <v>208</v>
      </c>
      <c r="D21" s="14">
        <v>45884</v>
      </c>
      <c r="E21" s="15">
        <v>11439</v>
      </c>
      <c r="F21" s="16">
        <v>240.29</v>
      </c>
    </row>
    <row r="22" spans="1:6" x14ac:dyDescent="0.2">
      <c r="A22" s="6" t="s">
        <v>175</v>
      </c>
      <c r="B22" s="6" t="s">
        <v>176</v>
      </c>
      <c r="C22" s="6" t="s">
        <v>209</v>
      </c>
      <c r="D22" s="14">
        <v>45885</v>
      </c>
      <c r="E22" s="15">
        <v>11493</v>
      </c>
      <c r="F22" s="16">
        <v>241.43</v>
      </c>
    </row>
    <row r="23" spans="1:6" x14ac:dyDescent="0.2">
      <c r="A23" s="6" t="s">
        <v>175</v>
      </c>
      <c r="B23" s="6" t="s">
        <v>176</v>
      </c>
      <c r="C23" s="6" t="s">
        <v>210</v>
      </c>
      <c r="D23" s="14">
        <v>45886</v>
      </c>
      <c r="E23" s="15">
        <v>11448</v>
      </c>
      <c r="F23" s="16">
        <v>240.48</v>
      </c>
    </row>
    <row r="24" spans="1:6" x14ac:dyDescent="0.2">
      <c r="E24" s="17">
        <f>SUM(E17:E23)</f>
        <v>80188</v>
      </c>
      <c r="F24" s="18">
        <f>SUM(F17:F23)</f>
        <v>1684.45</v>
      </c>
    </row>
    <row r="25" spans="1:6" x14ac:dyDescent="0.2">
      <c r="A25" s="6" t="s">
        <v>175</v>
      </c>
      <c r="B25" s="6" t="s">
        <v>176</v>
      </c>
      <c r="C25" s="6" t="s">
        <v>211</v>
      </c>
      <c r="D25" s="14">
        <v>45887</v>
      </c>
      <c r="E25" s="15">
        <v>11572</v>
      </c>
      <c r="F25" s="16">
        <v>241.91</v>
      </c>
    </row>
    <row r="26" spans="1:6" x14ac:dyDescent="0.2">
      <c r="A26" s="6" t="s">
        <v>175</v>
      </c>
      <c r="B26" s="6" t="s">
        <v>176</v>
      </c>
      <c r="C26" s="6" t="s">
        <v>212</v>
      </c>
      <c r="D26" s="14">
        <v>45888</v>
      </c>
      <c r="E26" s="15">
        <v>11549</v>
      </c>
      <c r="F26" s="16">
        <v>241.43</v>
      </c>
    </row>
    <row r="27" spans="1:6" x14ac:dyDescent="0.2">
      <c r="A27" s="6" t="s">
        <v>175</v>
      </c>
      <c r="B27" s="6" t="s">
        <v>176</v>
      </c>
      <c r="C27" s="6" t="s">
        <v>213</v>
      </c>
      <c r="D27" s="14">
        <v>45889</v>
      </c>
      <c r="E27" s="15">
        <v>11604</v>
      </c>
      <c r="F27" s="16">
        <v>242.58</v>
      </c>
    </row>
    <row r="28" spans="1:6" x14ac:dyDescent="0.2">
      <c r="A28" s="6" t="s">
        <v>175</v>
      </c>
      <c r="B28" s="6" t="s">
        <v>176</v>
      </c>
      <c r="C28" s="6" t="s">
        <v>214</v>
      </c>
      <c r="D28" s="14">
        <v>45890</v>
      </c>
      <c r="E28" s="15">
        <v>11596</v>
      </c>
      <c r="F28" s="16">
        <v>242.41</v>
      </c>
    </row>
    <row r="29" spans="1:6" x14ac:dyDescent="0.2">
      <c r="A29" s="6" t="s">
        <v>175</v>
      </c>
      <c r="B29" s="6" t="s">
        <v>176</v>
      </c>
      <c r="C29" s="6" t="s">
        <v>215</v>
      </c>
      <c r="D29" s="14">
        <v>45891</v>
      </c>
      <c r="E29" s="15">
        <v>11583</v>
      </c>
      <c r="F29" s="16">
        <v>242.14</v>
      </c>
    </row>
    <row r="30" spans="1:6" x14ac:dyDescent="0.2">
      <c r="A30" s="6" t="s">
        <v>175</v>
      </c>
      <c r="B30" s="6" t="s">
        <v>176</v>
      </c>
      <c r="C30" s="6" t="s">
        <v>216</v>
      </c>
      <c r="D30" s="14">
        <v>45892</v>
      </c>
      <c r="E30" s="15">
        <v>11582</v>
      </c>
      <c r="F30" s="16">
        <v>242.13</v>
      </c>
    </row>
    <row r="31" spans="1:6" x14ac:dyDescent="0.2">
      <c r="A31" s="6" t="s">
        <v>175</v>
      </c>
      <c r="B31" s="6" t="s">
        <v>176</v>
      </c>
      <c r="C31" s="6" t="s">
        <v>217</v>
      </c>
      <c r="D31" s="14">
        <v>45893</v>
      </c>
      <c r="E31" s="15">
        <v>11576</v>
      </c>
      <c r="F31" s="16">
        <v>242</v>
      </c>
    </row>
    <row r="32" spans="1:6" x14ac:dyDescent="0.2">
      <c r="E32" s="17">
        <f>SUM(E25:E31)</f>
        <v>81062</v>
      </c>
      <c r="F32" s="18">
        <f>SUM(F25:F31)</f>
        <v>1694.6</v>
      </c>
    </row>
    <row r="33" spans="1:6" x14ac:dyDescent="0.2">
      <c r="A33" s="6" t="s">
        <v>175</v>
      </c>
      <c r="B33" s="6" t="s">
        <v>176</v>
      </c>
      <c r="C33" s="6" t="s">
        <v>218</v>
      </c>
      <c r="D33" s="14">
        <v>45894</v>
      </c>
      <c r="E33" s="15">
        <v>11549</v>
      </c>
      <c r="F33" s="16">
        <v>241.72</v>
      </c>
    </row>
    <row r="34" spans="1:6" x14ac:dyDescent="0.2">
      <c r="A34" s="6" t="s">
        <v>175</v>
      </c>
      <c r="B34" s="6" t="s">
        <v>176</v>
      </c>
      <c r="C34" s="6" t="s">
        <v>219</v>
      </c>
      <c r="D34" s="14">
        <v>45895</v>
      </c>
      <c r="E34" s="15">
        <v>11562</v>
      </c>
      <c r="F34" s="16">
        <v>241.99</v>
      </c>
    </row>
    <row r="35" spans="1:6" x14ac:dyDescent="0.2">
      <c r="A35" s="6" t="s">
        <v>175</v>
      </c>
      <c r="B35" s="6" t="s">
        <v>176</v>
      </c>
      <c r="C35" s="6" t="s">
        <v>220</v>
      </c>
      <c r="D35" s="14">
        <v>45896</v>
      </c>
      <c r="E35" s="15">
        <v>11573</v>
      </c>
      <c r="F35" s="16">
        <v>242.22</v>
      </c>
    </row>
    <row r="36" spans="1:6" x14ac:dyDescent="0.2">
      <c r="A36" s="6" t="s">
        <v>175</v>
      </c>
      <c r="B36" s="6" t="s">
        <v>176</v>
      </c>
      <c r="C36" s="6" t="s">
        <v>221</v>
      </c>
      <c r="D36" s="14">
        <v>45897</v>
      </c>
      <c r="E36" s="15">
        <v>11544</v>
      </c>
      <c r="F36" s="16">
        <v>242.62</v>
      </c>
    </row>
    <row r="37" spans="1:6" x14ac:dyDescent="0.2">
      <c r="A37" s="6" t="s">
        <v>175</v>
      </c>
      <c r="B37" s="6" t="s">
        <v>176</v>
      </c>
      <c r="C37" s="6" t="s">
        <v>222</v>
      </c>
      <c r="D37" s="14">
        <v>45898</v>
      </c>
      <c r="E37" s="15">
        <v>11561</v>
      </c>
      <c r="F37" s="16">
        <v>242.97</v>
      </c>
    </row>
    <row r="38" spans="1:6" x14ac:dyDescent="0.2">
      <c r="A38" s="6" t="s">
        <v>175</v>
      </c>
      <c r="B38" s="6" t="s">
        <v>176</v>
      </c>
      <c r="C38" s="6" t="s">
        <v>223</v>
      </c>
      <c r="D38" s="14">
        <v>45899</v>
      </c>
      <c r="E38" s="15">
        <v>11554</v>
      </c>
      <c r="F38" s="16">
        <v>242.83</v>
      </c>
    </row>
    <row r="39" spans="1:6" x14ac:dyDescent="0.2">
      <c r="A39" s="6" t="s">
        <v>175</v>
      </c>
      <c r="B39" s="6" t="s">
        <v>176</v>
      </c>
      <c r="C39" s="6" t="s">
        <v>224</v>
      </c>
      <c r="D39" s="14">
        <v>45900</v>
      </c>
      <c r="E39" s="15">
        <v>11551</v>
      </c>
      <c r="F39" s="16">
        <v>242.76</v>
      </c>
    </row>
    <row r="40" spans="1:6" x14ac:dyDescent="0.2">
      <c r="E40" s="17">
        <f>SUM(E33:E39)</f>
        <v>80894</v>
      </c>
      <c r="F40" s="18">
        <f>SUM(F33:F39)</f>
        <v>1697.11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B81A-481F-8148-A47D-6C79E48DEDFE}">
  <dimension ref="A1:M87"/>
  <sheetViews>
    <sheetView topLeftCell="A48" zoomScale="112" workbookViewId="0">
      <selection activeCell="M60" sqref="M60"/>
    </sheetView>
  </sheetViews>
  <sheetFormatPr baseColWidth="10" defaultRowHeight="16" x14ac:dyDescent="0.2"/>
  <sheetData>
    <row r="1" spans="1:13" x14ac:dyDescent="0.2">
      <c r="A1" s="1" t="s">
        <v>225</v>
      </c>
      <c r="B1" s="1"/>
      <c r="C1" s="1"/>
      <c r="D1" s="1"/>
      <c r="E1" s="21"/>
      <c r="F1" s="2"/>
    </row>
    <row r="2" spans="1:13" x14ac:dyDescent="0.2">
      <c r="A2" s="1" t="s">
        <v>1</v>
      </c>
      <c r="B2" s="1"/>
      <c r="C2" s="1"/>
      <c r="D2" s="1"/>
      <c r="E2" s="2"/>
      <c r="F2" s="21"/>
    </row>
    <row r="3" spans="1:13" x14ac:dyDescent="0.2">
      <c r="A3" s="1" t="s">
        <v>226</v>
      </c>
      <c r="B3" s="1"/>
      <c r="C3" s="1"/>
      <c r="D3" s="1"/>
      <c r="E3" s="2"/>
      <c r="F3" s="2"/>
    </row>
    <row r="4" spans="1:13" x14ac:dyDescent="0.2">
      <c r="A4" s="3" t="s">
        <v>174</v>
      </c>
      <c r="B4" s="3"/>
      <c r="C4" s="3"/>
      <c r="D4" s="3"/>
      <c r="E4" s="2"/>
      <c r="F4" s="2"/>
      <c r="I4" s="1" t="s">
        <v>225</v>
      </c>
      <c r="J4" s="1"/>
      <c r="K4" s="1"/>
      <c r="L4" s="1"/>
      <c r="M4" s="1"/>
    </row>
    <row r="5" spans="1:13" x14ac:dyDescent="0.2">
      <c r="A5" s="3" t="s">
        <v>3</v>
      </c>
      <c r="B5" s="3" t="s">
        <v>4</v>
      </c>
      <c r="C5" s="3" t="s">
        <v>227</v>
      </c>
      <c r="D5" s="3" t="s">
        <v>5</v>
      </c>
      <c r="E5" s="3" t="s">
        <v>6</v>
      </c>
      <c r="F5" s="22" t="s">
        <v>7</v>
      </c>
      <c r="I5" s="1" t="s">
        <v>1</v>
      </c>
      <c r="J5" s="1"/>
      <c r="K5" s="1"/>
      <c r="L5" s="9"/>
      <c r="M5" s="1"/>
    </row>
    <row r="6" spans="1:13" x14ac:dyDescent="0.2">
      <c r="A6" s="23" t="s">
        <v>228</v>
      </c>
      <c r="B6" s="6" t="s">
        <v>229</v>
      </c>
      <c r="C6" s="24" t="s">
        <v>228</v>
      </c>
      <c r="D6" s="5" t="s">
        <v>230</v>
      </c>
      <c r="E6" s="2" t="s">
        <v>231</v>
      </c>
      <c r="F6" s="2">
        <v>37184</v>
      </c>
      <c r="I6" s="1" t="s">
        <v>226</v>
      </c>
      <c r="J6" s="1"/>
      <c r="K6" s="1"/>
      <c r="L6" s="9"/>
      <c r="M6" s="10"/>
    </row>
    <row r="7" spans="1:13" x14ac:dyDescent="0.2">
      <c r="A7" s="23" t="s">
        <v>228</v>
      </c>
      <c r="B7" s="6" t="s">
        <v>229</v>
      </c>
      <c r="C7" s="24" t="s">
        <v>228</v>
      </c>
      <c r="D7" s="5" t="s">
        <v>230</v>
      </c>
      <c r="E7" s="2" t="s">
        <v>11</v>
      </c>
      <c r="F7" s="2">
        <v>33161</v>
      </c>
      <c r="I7" s="1" t="s">
        <v>103</v>
      </c>
      <c r="J7" s="1"/>
      <c r="K7" s="1"/>
      <c r="L7" s="1"/>
      <c r="M7" s="1"/>
    </row>
    <row r="8" spans="1:13" x14ac:dyDescent="0.2">
      <c r="A8" s="23" t="s">
        <v>228</v>
      </c>
      <c r="B8" s="6" t="s">
        <v>229</v>
      </c>
      <c r="C8" s="24" t="s">
        <v>228</v>
      </c>
      <c r="D8" s="5" t="s">
        <v>230</v>
      </c>
      <c r="E8" s="2" t="s">
        <v>232</v>
      </c>
      <c r="F8" s="2">
        <v>30699</v>
      </c>
      <c r="I8" s="3" t="s">
        <v>3</v>
      </c>
      <c r="J8" s="3" t="s">
        <v>4</v>
      </c>
      <c r="K8" s="3" t="s">
        <v>5</v>
      </c>
      <c r="L8" s="3" t="s">
        <v>104</v>
      </c>
      <c r="M8" s="4" t="s">
        <v>7</v>
      </c>
    </row>
    <row r="9" spans="1:13" x14ac:dyDescent="0.2">
      <c r="A9" s="23" t="s">
        <v>228</v>
      </c>
      <c r="B9" s="6" t="s">
        <v>229</v>
      </c>
      <c r="C9" s="24" t="s">
        <v>228</v>
      </c>
      <c r="D9" s="5" t="s">
        <v>230</v>
      </c>
      <c r="E9" s="2" t="s">
        <v>233</v>
      </c>
      <c r="F9" s="2">
        <v>29996</v>
      </c>
      <c r="I9" s="23" t="s">
        <v>228</v>
      </c>
      <c r="J9" s="6" t="s">
        <v>229</v>
      </c>
      <c r="K9" s="5" t="s">
        <v>248</v>
      </c>
      <c r="L9" s="2" t="s">
        <v>106</v>
      </c>
      <c r="M9" s="2">
        <v>24425</v>
      </c>
    </row>
    <row r="10" spans="1:13" x14ac:dyDescent="0.2">
      <c r="A10" s="23" t="s">
        <v>228</v>
      </c>
      <c r="B10" s="6" t="s">
        <v>229</v>
      </c>
      <c r="C10" s="24" t="s">
        <v>228</v>
      </c>
      <c r="D10" s="5" t="s">
        <v>230</v>
      </c>
      <c r="E10" s="2" t="s">
        <v>16</v>
      </c>
      <c r="F10" s="2">
        <v>25483</v>
      </c>
      <c r="I10" s="23" t="s">
        <v>228</v>
      </c>
      <c r="J10" s="6" t="s">
        <v>229</v>
      </c>
      <c r="K10" s="5" t="s">
        <v>248</v>
      </c>
      <c r="L10" s="2" t="s">
        <v>107</v>
      </c>
      <c r="M10" s="2">
        <v>23566</v>
      </c>
    </row>
    <row r="11" spans="1:13" x14ac:dyDescent="0.2">
      <c r="A11" s="23" t="s">
        <v>228</v>
      </c>
      <c r="B11" s="6" t="s">
        <v>229</v>
      </c>
      <c r="C11" s="24" t="s">
        <v>228</v>
      </c>
      <c r="D11" s="5" t="s">
        <v>230</v>
      </c>
      <c r="E11" s="2" t="s">
        <v>26</v>
      </c>
      <c r="F11" s="2">
        <v>25341</v>
      </c>
      <c r="I11" s="23" t="s">
        <v>228</v>
      </c>
      <c r="J11" s="6" t="s">
        <v>229</v>
      </c>
      <c r="K11" s="5" t="s">
        <v>248</v>
      </c>
      <c r="L11" s="2" t="s">
        <v>108</v>
      </c>
      <c r="M11" s="2">
        <v>22175</v>
      </c>
    </row>
    <row r="12" spans="1:13" x14ac:dyDescent="0.2">
      <c r="A12" s="23" t="s">
        <v>228</v>
      </c>
      <c r="B12" s="6" t="s">
        <v>229</v>
      </c>
      <c r="C12" s="24" t="s">
        <v>228</v>
      </c>
      <c r="D12" s="5" t="s">
        <v>230</v>
      </c>
      <c r="E12" s="2" t="s">
        <v>25</v>
      </c>
      <c r="F12" s="6">
        <v>22031</v>
      </c>
      <c r="I12" s="23" t="s">
        <v>228</v>
      </c>
      <c r="J12" s="6" t="s">
        <v>229</v>
      </c>
      <c r="K12" s="5" t="s">
        <v>248</v>
      </c>
      <c r="L12" s="2" t="s">
        <v>182</v>
      </c>
      <c r="M12" s="2">
        <v>21649</v>
      </c>
    </row>
    <row r="13" spans="1:13" x14ac:dyDescent="0.2">
      <c r="A13" s="23" t="s">
        <v>228</v>
      </c>
      <c r="B13" s="6" t="s">
        <v>229</v>
      </c>
      <c r="C13" s="24" t="s">
        <v>228</v>
      </c>
      <c r="D13" s="5" t="s">
        <v>230</v>
      </c>
      <c r="E13" s="2" t="s">
        <v>27</v>
      </c>
      <c r="F13" s="6">
        <v>20438</v>
      </c>
      <c r="I13" s="23" t="s">
        <v>228</v>
      </c>
      <c r="J13" s="6" t="s">
        <v>229</v>
      </c>
      <c r="K13" s="5" t="s">
        <v>248</v>
      </c>
      <c r="L13" s="2" t="s">
        <v>110</v>
      </c>
      <c r="M13" s="2">
        <v>21299</v>
      </c>
    </row>
    <row r="14" spans="1:13" x14ac:dyDescent="0.2">
      <c r="A14" s="23" t="s">
        <v>228</v>
      </c>
      <c r="B14" s="6" t="s">
        <v>229</v>
      </c>
      <c r="C14" s="24" t="s">
        <v>228</v>
      </c>
      <c r="D14" s="5" t="s">
        <v>230</v>
      </c>
      <c r="E14" s="2" t="s">
        <v>38</v>
      </c>
      <c r="F14" s="6">
        <v>19631</v>
      </c>
      <c r="I14" s="23" t="s">
        <v>228</v>
      </c>
      <c r="J14" s="6" t="s">
        <v>229</v>
      </c>
      <c r="K14" s="5" t="s">
        <v>248</v>
      </c>
      <c r="L14" s="2" t="s">
        <v>249</v>
      </c>
      <c r="M14" s="2">
        <v>20701</v>
      </c>
    </row>
    <row r="15" spans="1:13" x14ac:dyDescent="0.2">
      <c r="A15" s="23" t="s">
        <v>228</v>
      </c>
      <c r="B15" s="6" t="s">
        <v>229</v>
      </c>
      <c r="C15" s="24" t="s">
        <v>228</v>
      </c>
      <c r="D15" s="5" t="s">
        <v>230</v>
      </c>
      <c r="E15" s="2" t="s">
        <v>234</v>
      </c>
      <c r="F15" s="6">
        <v>18864</v>
      </c>
      <c r="I15" s="23" t="s">
        <v>228</v>
      </c>
      <c r="J15" s="6" t="s">
        <v>229</v>
      </c>
      <c r="K15" s="5" t="s">
        <v>248</v>
      </c>
      <c r="L15" s="2" t="s">
        <v>250</v>
      </c>
      <c r="M15" s="2">
        <v>19769</v>
      </c>
    </row>
    <row r="16" spans="1:13" x14ac:dyDescent="0.2">
      <c r="A16" s="23" t="s">
        <v>228</v>
      </c>
      <c r="B16" s="6" t="s">
        <v>229</v>
      </c>
      <c r="C16" s="24" t="s">
        <v>228</v>
      </c>
      <c r="D16" s="5" t="s">
        <v>230</v>
      </c>
      <c r="E16" s="2" t="s">
        <v>23</v>
      </c>
      <c r="F16" s="6">
        <v>15422</v>
      </c>
      <c r="I16" s="23" t="s">
        <v>228</v>
      </c>
      <c r="J16" s="6" t="s">
        <v>229</v>
      </c>
      <c r="K16" s="5" t="s">
        <v>248</v>
      </c>
      <c r="L16" s="2" t="s">
        <v>187</v>
      </c>
      <c r="M16" s="2">
        <v>19685</v>
      </c>
    </row>
    <row r="17" spans="1:13" x14ac:dyDescent="0.2">
      <c r="A17" s="23" t="s">
        <v>228</v>
      </c>
      <c r="B17" s="6" t="s">
        <v>229</v>
      </c>
      <c r="C17" s="24" t="s">
        <v>228</v>
      </c>
      <c r="D17" s="5" t="s">
        <v>230</v>
      </c>
      <c r="E17" s="2" t="s">
        <v>35</v>
      </c>
      <c r="F17" s="6">
        <v>13880</v>
      </c>
      <c r="I17" s="23" t="s">
        <v>228</v>
      </c>
      <c r="J17" s="6" t="s">
        <v>229</v>
      </c>
      <c r="K17" s="5" t="s">
        <v>248</v>
      </c>
      <c r="L17" s="2" t="s">
        <v>109</v>
      </c>
      <c r="M17" s="2">
        <v>19192</v>
      </c>
    </row>
    <row r="18" spans="1:13" x14ac:dyDescent="0.2">
      <c r="A18" s="23" t="s">
        <v>228</v>
      </c>
      <c r="B18" s="6" t="s">
        <v>229</v>
      </c>
      <c r="C18" s="24" t="s">
        <v>228</v>
      </c>
      <c r="D18" s="5" t="s">
        <v>230</v>
      </c>
      <c r="E18" s="2" t="s">
        <v>235</v>
      </c>
      <c r="F18" s="6">
        <v>12825</v>
      </c>
      <c r="I18" s="23" t="s">
        <v>228</v>
      </c>
      <c r="J18" s="6" t="s">
        <v>229</v>
      </c>
      <c r="K18" s="5" t="s">
        <v>248</v>
      </c>
      <c r="L18" s="2" t="s">
        <v>251</v>
      </c>
      <c r="M18" s="2">
        <v>17467</v>
      </c>
    </row>
    <row r="19" spans="1:13" x14ac:dyDescent="0.2">
      <c r="A19" s="23" t="s">
        <v>228</v>
      </c>
      <c r="B19" s="6" t="s">
        <v>229</v>
      </c>
      <c r="C19" s="24" t="s">
        <v>228</v>
      </c>
      <c r="D19" s="5" t="s">
        <v>230</v>
      </c>
      <c r="E19" s="2" t="s">
        <v>17</v>
      </c>
      <c r="F19" s="6">
        <v>12160</v>
      </c>
      <c r="I19" s="23" t="s">
        <v>228</v>
      </c>
      <c r="J19" s="6" t="s">
        <v>229</v>
      </c>
      <c r="K19" s="5" t="s">
        <v>248</v>
      </c>
      <c r="L19" s="2" t="s">
        <v>186</v>
      </c>
      <c r="M19" s="2">
        <v>16970</v>
      </c>
    </row>
    <row r="20" spans="1:13" x14ac:dyDescent="0.2">
      <c r="A20" s="23" t="s">
        <v>228</v>
      </c>
      <c r="B20" s="6" t="s">
        <v>229</v>
      </c>
      <c r="C20" s="24" t="s">
        <v>228</v>
      </c>
      <c r="D20" s="5" t="s">
        <v>230</v>
      </c>
      <c r="E20" s="2" t="s">
        <v>18</v>
      </c>
      <c r="F20" s="6">
        <v>12014</v>
      </c>
      <c r="I20" s="23" t="s">
        <v>228</v>
      </c>
      <c r="J20" s="6" t="s">
        <v>229</v>
      </c>
      <c r="K20" s="5" t="s">
        <v>248</v>
      </c>
      <c r="L20" s="2" t="s">
        <v>252</v>
      </c>
      <c r="M20" s="2">
        <v>16778</v>
      </c>
    </row>
    <row r="21" spans="1:13" x14ac:dyDescent="0.2">
      <c r="A21" s="23" t="s">
        <v>228</v>
      </c>
      <c r="B21" s="6" t="s">
        <v>229</v>
      </c>
      <c r="C21" s="24" t="s">
        <v>228</v>
      </c>
      <c r="D21" s="5" t="s">
        <v>230</v>
      </c>
      <c r="E21" s="2" t="s">
        <v>236</v>
      </c>
      <c r="F21" s="6">
        <v>11311</v>
      </c>
      <c r="I21" s="23" t="s">
        <v>228</v>
      </c>
      <c r="J21" s="6" t="s">
        <v>229</v>
      </c>
      <c r="K21" s="5" t="s">
        <v>248</v>
      </c>
      <c r="L21" s="2" t="s">
        <v>188</v>
      </c>
      <c r="M21" s="2">
        <v>16643</v>
      </c>
    </row>
    <row r="22" spans="1:13" x14ac:dyDescent="0.2">
      <c r="A22" s="23" t="s">
        <v>228</v>
      </c>
      <c r="B22" s="6" t="s">
        <v>229</v>
      </c>
      <c r="C22" s="24" t="s">
        <v>228</v>
      </c>
      <c r="D22" s="5" t="s">
        <v>230</v>
      </c>
      <c r="E22" s="2" t="s">
        <v>44</v>
      </c>
      <c r="F22" s="6">
        <v>10525</v>
      </c>
      <c r="I22" s="23" t="s">
        <v>228</v>
      </c>
      <c r="J22" s="6" t="s">
        <v>229</v>
      </c>
      <c r="K22" s="5" t="s">
        <v>248</v>
      </c>
      <c r="L22" s="2" t="s">
        <v>111</v>
      </c>
      <c r="M22" s="2">
        <v>16071</v>
      </c>
    </row>
    <row r="23" spans="1:13" x14ac:dyDescent="0.2">
      <c r="A23" s="23" t="s">
        <v>228</v>
      </c>
      <c r="B23" s="6" t="s">
        <v>229</v>
      </c>
      <c r="C23" s="24" t="s">
        <v>228</v>
      </c>
      <c r="D23" s="5" t="s">
        <v>230</v>
      </c>
      <c r="E23" s="2" t="s">
        <v>37</v>
      </c>
      <c r="F23" s="6">
        <v>10290</v>
      </c>
      <c r="I23" s="23" t="s">
        <v>228</v>
      </c>
      <c r="J23" s="6" t="s">
        <v>229</v>
      </c>
      <c r="K23" s="5" t="s">
        <v>248</v>
      </c>
      <c r="L23" s="2" t="s">
        <v>253</v>
      </c>
      <c r="M23" s="2">
        <v>14591</v>
      </c>
    </row>
    <row r="24" spans="1:13" x14ac:dyDescent="0.2">
      <c r="A24" s="23" t="s">
        <v>228</v>
      </c>
      <c r="B24" s="6" t="s">
        <v>229</v>
      </c>
      <c r="C24" s="24" t="s">
        <v>228</v>
      </c>
      <c r="D24" s="5" t="s">
        <v>230</v>
      </c>
      <c r="E24" s="2" t="s">
        <v>237</v>
      </c>
      <c r="F24" s="6">
        <v>9713</v>
      </c>
      <c r="I24" s="23" t="s">
        <v>228</v>
      </c>
      <c r="J24" s="6" t="s">
        <v>229</v>
      </c>
      <c r="K24" s="5" t="s">
        <v>248</v>
      </c>
      <c r="L24" s="2" t="s">
        <v>254</v>
      </c>
      <c r="M24" s="2">
        <v>13660</v>
      </c>
    </row>
    <row r="25" spans="1:13" x14ac:dyDescent="0.2">
      <c r="A25" s="23" t="s">
        <v>228</v>
      </c>
      <c r="B25" s="6" t="s">
        <v>229</v>
      </c>
      <c r="C25" s="24" t="s">
        <v>228</v>
      </c>
      <c r="D25" s="5" t="s">
        <v>230</v>
      </c>
      <c r="E25" s="2" t="s">
        <v>24</v>
      </c>
      <c r="F25" s="6">
        <v>9274</v>
      </c>
      <c r="I25" s="23" t="s">
        <v>228</v>
      </c>
      <c r="J25" s="6" t="s">
        <v>229</v>
      </c>
      <c r="K25" s="5" t="s">
        <v>248</v>
      </c>
      <c r="L25" s="2" t="s">
        <v>255</v>
      </c>
      <c r="M25" s="2">
        <v>13593</v>
      </c>
    </row>
    <row r="26" spans="1:13" x14ac:dyDescent="0.2">
      <c r="A26" s="23" t="s">
        <v>228</v>
      </c>
      <c r="B26" s="6" t="s">
        <v>229</v>
      </c>
      <c r="C26" s="24" t="s">
        <v>228</v>
      </c>
      <c r="D26" s="5" t="s">
        <v>230</v>
      </c>
      <c r="E26" s="2" t="s">
        <v>48</v>
      </c>
      <c r="F26" s="6">
        <v>7202</v>
      </c>
      <c r="I26" s="23" t="s">
        <v>228</v>
      </c>
      <c r="J26" s="6" t="s">
        <v>229</v>
      </c>
      <c r="K26" s="5" t="s">
        <v>248</v>
      </c>
      <c r="L26" s="2" t="s">
        <v>256</v>
      </c>
      <c r="M26" s="2">
        <v>12781</v>
      </c>
    </row>
    <row r="27" spans="1:13" x14ac:dyDescent="0.2">
      <c r="A27" s="23" t="s">
        <v>228</v>
      </c>
      <c r="B27" s="6" t="s">
        <v>229</v>
      </c>
      <c r="C27" s="24" t="s">
        <v>228</v>
      </c>
      <c r="D27" s="5" t="s">
        <v>230</v>
      </c>
      <c r="E27" s="2" t="s">
        <v>40</v>
      </c>
      <c r="F27" s="6">
        <v>6733</v>
      </c>
      <c r="I27" s="23" t="s">
        <v>228</v>
      </c>
      <c r="J27" s="6" t="s">
        <v>229</v>
      </c>
      <c r="K27" s="5" t="s">
        <v>248</v>
      </c>
      <c r="L27" s="2" t="s">
        <v>257</v>
      </c>
      <c r="M27" s="2">
        <v>12002</v>
      </c>
    </row>
    <row r="28" spans="1:13" x14ac:dyDescent="0.2">
      <c r="A28" s="23" t="s">
        <v>228</v>
      </c>
      <c r="B28" s="6" t="s">
        <v>229</v>
      </c>
      <c r="C28" s="24" t="s">
        <v>228</v>
      </c>
      <c r="D28" s="5" t="s">
        <v>230</v>
      </c>
      <c r="E28" s="2" t="s">
        <v>32</v>
      </c>
      <c r="F28" s="6">
        <v>6322</v>
      </c>
      <c r="I28" s="23" t="s">
        <v>228</v>
      </c>
      <c r="J28" s="6" t="s">
        <v>229</v>
      </c>
      <c r="K28" s="5" t="s">
        <v>248</v>
      </c>
      <c r="L28" s="2" t="s">
        <v>113</v>
      </c>
      <c r="M28" s="2">
        <v>11539</v>
      </c>
    </row>
    <row r="29" spans="1:13" x14ac:dyDescent="0.2">
      <c r="A29" s="23" t="s">
        <v>228</v>
      </c>
      <c r="B29" s="6" t="s">
        <v>229</v>
      </c>
      <c r="C29" s="24" t="s">
        <v>228</v>
      </c>
      <c r="D29" s="5" t="s">
        <v>230</v>
      </c>
      <c r="E29" s="2" t="s">
        <v>238</v>
      </c>
      <c r="F29" s="6">
        <v>5475</v>
      </c>
      <c r="I29" s="23" t="s">
        <v>228</v>
      </c>
      <c r="J29" s="6" t="s">
        <v>229</v>
      </c>
      <c r="K29" s="5" t="s">
        <v>248</v>
      </c>
      <c r="L29" s="2" t="s">
        <v>112</v>
      </c>
      <c r="M29" s="2">
        <v>11521</v>
      </c>
    </row>
    <row r="30" spans="1:13" x14ac:dyDescent="0.2">
      <c r="A30" s="23" t="s">
        <v>228</v>
      </c>
      <c r="B30" s="6" t="s">
        <v>229</v>
      </c>
      <c r="C30" s="24" t="s">
        <v>228</v>
      </c>
      <c r="D30" s="5" t="s">
        <v>230</v>
      </c>
      <c r="E30" s="2" t="s">
        <v>51</v>
      </c>
      <c r="F30" s="6">
        <v>5427</v>
      </c>
      <c r="I30" s="23" t="s">
        <v>228</v>
      </c>
      <c r="J30" s="6" t="s">
        <v>229</v>
      </c>
      <c r="K30" s="5" t="s">
        <v>248</v>
      </c>
      <c r="L30" s="2" t="s">
        <v>185</v>
      </c>
      <c r="M30" s="2">
        <v>11041</v>
      </c>
    </row>
    <row r="31" spans="1:13" x14ac:dyDescent="0.2">
      <c r="A31" s="23" t="s">
        <v>228</v>
      </c>
      <c r="B31" s="6" t="s">
        <v>229</v>
      </c>
      <c r="C31" s="24" t="s">
        <v>228</v>
      </c>
      <c r="D31" s="5" t="s">
        <v>230</v>
      </c>
      <c r="E31" s="2" t="s">
        <v>91</v>
      </c>
      <c r="F31" s="6">
        <v>5120</v>
      </c>
      <c r="I31" s="23" t="s">
        <v>228</v>
      </c>
      <c r="J31" s="6" t="s">
        <v>229</v>
      </c>
      <c r="K31" s="5" t="s">
        <v>248</v>
      </c>
      <c r="L31" s="2" t="s">
        <v>258</v>
      </c>
      <c r="M31" s="2">
        <v>9516</v>
      </c>
    </row>
    <row r="32" spans="1:13" x14ac:dyDescent="0.2">
      <c r="A32" s="23" t="s">
        <v>228</v>
      </c>
      <c r="B32" s="6" t="s">
        <v>229</v>
      </c>
      <c r="C32" s="24" t="s">
        <v>228</v>
      </c>
      <c r="D32" s="5" t="s">
        <v>230</v>
      </c>
      <c r="E32" s="2" t="s">
        <v>74</v>
      </c>
      <c r="F32" s="6">
        <v>5034</v>
      </c>
      <c r="I32" s="23" t="s">
        <v>228</v>
      </c>
      <c r="J32" s="6" t="s">
        <v>229</v>
      </c>
      <c r="K32" s="5" t="s">
        <v>248</v>
      </c>
      <c r="L32" s="2" t="s">
        <v>116</v>
      </c>
      <c r="M32" s="2">
        <v>8937</v>
      </c>
    </row>
    <row r="33" spans="1:13" x14ac:dyDescent="0.2">
      <c r="A33" s="23" t="s">
        <v>228</v>
      </c>
      <c r="B33" s="6" t="s">
        <v>229</v>
      </c>
      <c r="C33" s="24" t="s">
        <v>228</v>
      </c>
      <c r="D33" s="5" t="s">
        <v>230</v>
      </c>
      <c r="E33" s="2" t="s">
        <v>12</v>
      </c>
      <c r="F33" s="6">
        <v>5002</v>
      </c>
      <c r="I33" s="23" t="s">
        <v>228</v>
      </c>
      <c r="J33" s="6" t="s">
        <v>229</v>
      </c>
      <c r="K33" s="5" t="s">
        <v>248</v>
      </c>
      <c r="L33" s="2" t="s">
        <v>115</v>
      </c>
      <c r="M33" s="2">
        <v>8886</v>
      </c>
    </row>
    <row r="34" spans="1:13" x14ac:dyDescent="0.2">
      <c r="A34" s="23" t="s">
        <v>228</v>
      </c>
      <c r="B34" s="6" t="s">
        <v>229</v>
      </c>
      <c r="C34" s="24" t="s">
        <v>228</v>
      </c>
      <c r="D34" s="5" t="s">
        <v>230</v>
      </c>
      <c r="E34" s="2" t="s">
        <v>49</v>
      </c>
      <c r="F34" s="6">
        <v>4225</v>
      </c>
      <c r="I34" s="23" t="s">
        <v>228</v>
      </c>
      <c r="J34" s="6" t="s">
        <v>229</v>
      </c>
      <c r="K34" s="5" t="s">
        <v>248</v>
      </c>
      <c r="L34" s="2" t="s">
        <v>259</v>
      </c>
      <c r="M34" s="2">
        <v>8101</v>
      </c>
    </row>
    <row r="35" spans="1:13" x14ac:dyDescent="0.2">
      <c r="A35" s="23" t="s">
        <v>228</v>
      </c>
      <c r="B35" s="6" t="s">
        <v>229</v>
      </c>
      <c r="C35" s="24" t="s">
        <v>228</v>
      </c>
      <c r="D35" s="5" t="s">
        <v>230</v>
      </c>
      <c r="E35" s="2" t="s">
        <v>14</v>
      </c>
      <c r="F35" s="6">
        <v>4070</v>
      </c>
      <c r="I35" s="23" t="s">
        <v>228</v>
      </c>
      <c r="J35" s="6" t="s">
        <v>229</v>
      </c>
      <c r="K35" s="5" t="s">
        <v>248</v>
      </c>
      <c r="L35" s="2" t="s">
        <v>260</v>
      </c>
      <c r="M35" s="2">
        <v>7883</v>
      </c>
    </row>
    <row r="36" spans="1:13" x14ac:dyDescent="0.2">
      <c r="A36" s="23" t="s">
        <v>228</v>
      </c>
      <c r="B36" s="6" t="s">
        <v>229</v>
      </c>
      <c r="C36" s="24" t="s">
        <v>228</v>
      </c>
      <c r="D36" s="5" t="s">
        <v>230</v>
      </c>
      <c r="E36" s="2" t="s">
        <v>63</v>
      </c>
      <c r="F36" s="6">
        <v>3711</v>
      </c>
      <c r="I36" s="23" t="s">
        <v>228</v>
      </c>
      <c r="J36" s="6" t="s">
        <v>229</v>
      </c>
      <c r="K36" s="5" t="s">
        <v>248</v>
      </c>
      <c r="L36" s="2" t="s">
        <v>120</v>
      </c>
      <c r="M36" s="2">
        <v>7282</v>
      </c>
    </row>
    <row r="37" spans="1:13" x14ac:dyDescent="0.2">
      <c r="A37" s="23" t="s">
        <v>228</v>
      </c>
      <c r="B37" s="6" t="s">
        <v>229</v>
      </c>
      <c r="C37" s="24" t="s">
        <v>228</v>
      </c>
      <c r="D37" s="5" t="s">
        <v>230</v>
      </c>
      <c r="E37" s="2" t="s">
        <v>31</v>
      </c>
      <c r="F37" s="6">
        <v>3535</v>
      </c>
      <c r="I37" s="23" t="s">
        <v>228</v>
      </c>
      <c r="J37" s="6" t="s">
        <v>229</v>
      </c>
      <c r="K37" s="5" t="s">
        <v>248</v>
      </c>
      <c r="L37" s="2" t="s">
        <v>261</v>
      </c>
      <c r="M37" s="2">
        <v>7101</v>
      </c>
    </row>
    <row r="38" spans="1:13" x14ac:dyDescent="0.2">
      <c r="A38" s="23" t="s">
        <v>228</v>
      </c>
      <c r="B38" s="6" t="s">
        <v>229</v>
      </c>
      <c r="C38" s="24" t="s">
        <v>228</v>
      </c>
      <c r="D38" s="5" t="s">
        <v>230</v>
      </c>
      <c r="E38" s="2" t="s">
        <v>36</v>
      </c>
      <c r="F38" s="6">
        <v>3456</v>
      </c>
      <c r="I38" s="23" t="s">
        <v>228</v>
      </c>
      <c r="J38" s="6" t="s">
        <v>229</v>
      </c>
      <c r="K38" s="5" t="s">
        <v>248</v>
      </c>
      <c r="L38" s="2" t="s">
        <v>189</v>
      </c>
      <c r="M38" s="2">
        <v>5498</v>
      </c>
    </row>
    <row r="39" spans="1:13" x14ac:dyDescent="0.2">
      <c r="A39" s="23" t="s">
        <v>228</v>
      </c>
      <c r="B39" s="6" t="s">
        <v>229</v>
      </c>
      <c r="C39" s="24" t="s">
        <v>228</v>
      </c>
      <c r="D39" s="5" t="s">
        <v>230</v>
      </c>
      <c r="E39" s="2" t="s">
        <v>30</v>
      </c>
      <c r="F39" s="6">
        <v>3331</v>
      </c>
      <c r="I39" s="23" t="s">
        <v>228</v>
      </c>
      <c r="J39" s="6" t="s">
        <v>229</v>
      </c>
      <c r="K39" s="5" t="s">
        <v>248</v>
      </c>
      <c r="L39" s="2" t="s">
        <v>114</v>
      </c>
      <c r="M39" s="2">
        <v>5053</v>
      </c>
    </row>
    <row r="40" spans="1:13" x14ac:dyDescent="0.2">
      <c r="A40" s="23" t="s">
        <v>228</v>
      </c>
      <c r="B40" s="6" t="s">
        <v>229</v>
      </c>
      <c r="C40" s="24" t="s">
        <v>228</v>
      </c>
      <c r="D40" s="5" t="s">
        <v>230</v>
      </c>
      <c r="E40" s="2" t="s">
        <v>239</v>
      </c>
      <c r="F40" s="6">
        <v>3152</v>
      </c>
      <c r="I40" s="23" t="s">
        <v>228</v>
      </c>
      <c r="J40" s="6" t="s">
        <v>229</v>
      </c>
      <c r="K40" s="5" t="s">
        <v>248</v>
      </c>
      <c r="L40" s="2" t="s">
        <v>262</v>
      </c>
      <c r="M40" s="2">
        <v>4690</v>
      </c>
    </row>
    <row r="41" spans="1:13" x14ac:dyDescent="0.2">
      <c r="A41" s="23" t="s">
        <v>228</v>
      </c>
      <c r="B41" s="6" t="s">
        <v>229</v>
      </c>
      <c r="C41" s="24" t="s">
        <v>228</v>
      </c>
      <c r="D41" s="5" t="s">
        <v>230</v>
      </c>
      <c r="E41" s="2" t="s">
        <v>54</v>
      </c>
      <c r="F41" s="6">
        <v>2954</v>
      </c>
      <c r="I41" s="23" t="s">
        <v>228</v>
      </c>
      <c r="J41" s="6" t="s">
        <v>229</v>
      </c>
      <c r="K41" s="5" t="s">
        <v>248</v>
      </c>
      <c r="L41" s="2" t="s">
        <v>263</v>
      </c>
      <c r="M41" s="2">
        <v>4495</v>
      </c>
    </row>
    <row r="42" spans="1:13" x14ac:dyDescent="0.2">
      <c r="A42" s="23" t="s">
        <v>228</v>
      </c>
      <c r="B42" s="6" t="s">
        <v>229</v>
      </c>
      <c r="C42" s="24" t="s">
        <v>228</v>
      </c>
      <c r="D42" s="5" t="s">
        <v>230</v>
      </c>
      <c r="E42" s="2" t="s">
        <v>62</v>
      </c>
      <c r="F42" s="6">
        <v>2822</v>
      </c>
      <c r="I42" s="23" t="s">
        <v>228</v>
      </c>
      <c r="J42" s="6" t="s">
        <v>229</v>
      </c>
      <c r="K42" s="5" t="s">
        <v>248</v>
      </c>
      <c r="L42" s="2" t="s">
        <v>264</v>
      </c>
      <c r="M42" s="2">
        <v>4140</v>
      </c>
    </row>
    <row r="43" spans="1:13" x14ac:dyDescent="0.2">
      <c r="A43" s="23" t="s">
        <v>228</v>
      </c>
      <c r="B43" s="6" t="s">
        <v>229</v>
      </c>
      <c r="C43" s="24" t="s">
        <v>228</v>
      </c>
      <c r="D43" s="5" t="s">
        <v>230</v>
      </c>
      <c r="E43" s="2" t="s">
        <v>56</v>
      </c>
      <c r="F43" s="6">
        <v>2638</v>
      </c>
      <c r="I43" s="23" t="s">
        <v>228</v>
      </c>
      <c r="J43" s="6" t="s">
        <v>229</v>
      </c>
      <c r="K43" s="5" t="s">
        <v>248</v>
      </c>
      <c r="L43" s="2" t="s">
        <v>119</v>
      </c>
      <c r="M43" s="2">
        <v>4021</v>
      </c>
    </row>
    <row r="44" spans="1:13" x14ac:dyDescent="0.2">
      <c r="A44" s="23" t="s">
        <v>228</v>
      </c>
      <c r="B44" s="6" t="s">
        <v>229</v>
      </c>
      <c r="C44" s="24" t="s">
        <v>228</v>
      </c>
      <c r="D44" s="5" t="s">
        <v>230</v>
      </c>
      <c r="E44" s="2" t="s">
        <v>94</v>
      </c>
      <c r="F44" s="6">
        <v>2427</v>
      </c>
      <c r="I44" s="23" t="s">
        <v>228</v>
      </c>
      <c r="J44" s="6" t="s">
        <v>229</v>
      </c>
      <c r="K44" s="5" t="s">
        <v>248</v>
      </c>
      <c r="L44" s="2" t="s">
        <v>118</v>
      </c>
      <c r="M44" s="2">
        <v>3685</v>
      </c>
    </row>
    <row r="45" spans="1:13" x14ac:dyDescent="0.2">
      <c r="A45" s="23" t="s">
        <v>228</v>
      </c>
      <c r="B45" s="6" t="s">
        <v>229</v>
      </c>
      <c r="C45" s="24" t="s">
        <v>228</v>
      </c>
      <c r="D45" s="5" t="s">
        <v>230</v>
      </c>
      <c r="E45" s="2" t="s">
        <v>57</v>
      </c>
      <c r="F45" s="6">
        <v>2064</v>
      </c>
      <c r="I45" s="23" t="s">
        <v>228</v>
      </c>
      <c r="J45" s="6" t="s">
        <v>229</v>
      </c>
      <c r="K45" s="5" t="s">
        <v>248</v>
      </c>
      <c r="L45" s="2" t="s">
        <v>265</v>
      </c>
      <c r="M45" s="2">
        <v>3574</v>
      </c>
    </row>
    <row r="46" spans="1:13" x14ac:dyDescent="0.2">
      <c r="A46" s="23" t="s">
        <v>228</v>
      </c>
      <c r="B46" s="6" t="s">
        <v>229</v>
      </c>
      <c r="C46" s="24" t="s">
        <v>228</v>
      </c>
      <c r="D46" s="5" t="s">
        <v>230</v>
      </c>
      <c r="E46" s="2" t="s">
        <v>240</v>
      </c>
      <c r="F46" s="6">
        <v>1770</v>
      </c>
      <c r="I46" s="23" t="s">
        <v>228</v>
      </c>
      <c r="J46" s="6" t="s">
        <v>229</v>
      </c>
      <c r="K46" s="5" t="s">
        <v>248</v>
      </c>
      <c r="L46" s="2" t="s">
        <v>266</v>
      </c>
      <c r="M46" s="2">
        <v>3220</v>
      </c>
    </row>
    <row r="47" spans="1:13" x14ac:dyDescent="0.2">
      <c r="A47" s="23" t="s">
        <v>228</v>
      </c>
      <c r="B47" s="6" t="s">
        <v>229</v>
      </c>
      <c r="C47" s="24" t="s">
        <v>228</v>
      </c>
      <c r="D47" s="5" t="s">
        <v>230</v>
      </c>
      <c r="E47" s="2" t="s">
        <v>20</v>
      </c>
      <c r="F47" s="6">
        <v>1686</v>
      </c>
      <c r="I47" s="23" t="s">
        <v>228</v>
      </c>
      <c r="J47" s="6" t="s">
        <v>229</v>
      </c>
      <c r="K47" s="5" t="s">
        <v>248</v>
      </c>
      <c r="L47" s="2" t="s">
        <v>121</v>
      </c>
      <c r="M47" s="2">
        <v>3102</v>
      </c>
    </row>
    <row r="48" spans="1:13" x14ac:dyDescent="0.2">
      <c r="A48" s="23" t="s">
        <v>228</v>
      </c>
      <c r="B48" s="6" t="s">
        <v>229</v>
      </c>
      <c r="C48" s="24" t="s">
        <v>228</v>
      </c>
      <c r="D48" s="5" t="s">
        <v>230</v>
      </c>
      <c r="E48" s="2" t="s">
        <v>72</v>
      </c>
      <c r="F48" s="6">
        <v>1566</v>
      </c>
      <c r="I48" s="23" t="s">
        <v>228</v>
      </c>
      <c r="J48" s="6" t="s">
        <v>229</v>
      </c>
      <c r="K48" s="5" t="s">
        <v>248</v>
      </c>
      <c r="L48" s="2" t="s">
        <v>117</v>
      </c>
      <c r="M48" s="2">
        <v>2226</v>
      </c>
    </row>
    <row r="49" spans="1:13" x14ac:dyDescent="0.2">
      <c r="A49" s="23" t="s">
        <v>228</v>
      </c>
      <c r="B49" s="6" t="s">
        <v>229</v>
      </c>
      <c r="C49" s="24" t="s">
        <v>228</v>
      </c>
      <c r="D49" s="5" t="s">
        <v>230</v>
      </c>
      <c r="E49" s="2" t="s">
        <v>93</v>
      </c>
      <c r="F49" s="6">
        <v>1505</v>
      </c>
      <c r="I49" s="23" t="s">
        <v>228</v>
      </c>
      <c r="J49" s="6" t="s">
        <v>229</v>
      </c>
      <c r="K49" s="5" t="s">
        <v>248</v>
      </c>
      <c r="L49" s="2" t="s">
        <v>126</v>
      </c>
      <c r="M49" s="2">
        <v>2072</v>
      </c>
    </row>
    <row r="50" spans="1:13" x14ac:dyDescent="0.2">
      <c r="A50" s="23" t="s">
        <v>228</v>
      </c>
      <c r="B50" s="6" t="s">
        <v>229</v>
      </c>
      <c r="C50" s="24" t="s">
        <v>228</v>
      </c>
      <c r="D50" s="5" t="s">
        <v>230</v>
      </c>
      <c r="E50" s="2" t="s">
        <v>87</v>
      </c>
      <c r="F50" s="6">
        <v>1405</v>
      </c>
      <c r="I50" s="23" t="s">
        <v>228</v>
      </c>
      <c r="J50" s="6" t="s">
        <v>229</v>
      </c>
      <c r="K50" s="5" t="s">
        <v>248</v>
      </c>
      <c r="L50" s="2" t="s">
        <v>125</v>
      </c>
      <c r="M50" s="2">
        <v>1973</v>
      </c>
    </row>
    <row r="51" spans="1:13" x14ac:dyDescent="0.2">
      <c r="A51" s="23" t="s">
        <v>228</v>
      </c>
      <c r="B51" s="6" t="s">
        <v>229</v>
      </c>
      <c r="C51" s="24" t="s">
        <v>228</v>
      </c>
      <c r="D51" s="5" t="s">
        <v>230</v>
      </c>
      <c r="E51" s="2" t="s">
        <v>179</v>
      </c>
      <c r="F51" s="6">
        <v>1282</v>
      </c>
      <c r="I51" s="23" t="s">
        <v>228</v>
      </c>
      <c r="J51" s="6" t="s">
        <v>229</v>
      </c>
      <c r="K51" s="5" t="s">
        <v>248</v>
      </c>
      <c r="L51" s="2" t="s">
        <v>122</v>
      </c>
      <c r="M51" s="2">
        <v>1577</v>
      </c>
    </row>
    <row r="52" spans="1:13" x14ac:dyDescent="0.2">
      <c r="A52" s="23" t="s">
        <v>228</v>
      </c>
      <c r="B52" s="6" t="s">
        <v>229</v>
      </c>
      <c r="C52" s="24" t="s">
        <v>228</v>
      </c>
      <c r="D52" s="5" t="s">
        <v>230</v>
      </c>
      <c r="E52" s="2" t="s">
        <v>46</v>
      </c>
      <c r="F52" s="6">
        <v>1257</v>
      </c>
      <c r="I52" s="23" t="s">
        <v>228</v>
      </c>
      <c r="J52" s="6" t="s">
        <v>229</v>
      </c>
      <c r="K52" s="5" t="s">
        <v>248</v>
      </c>
      <c r="L52" s="2" t="s">
        <v>267</v>
      </c>
      <c r="M52" s="2">
        <v>1418</v>
      </c>
    </row>
    <row r="53" spans="1:13" x14ac:dyDescent="0.2">
      <c r="A53" s="23" t="s">
        <v>228</v>
      </c>
      <c r="B53" s="6" t="s">
        <v>229</v>
      </c>
      <c r="C53" s="24" t="s">
        <v>228</v>
      </c>
      <c r="D53" s="5" t="s">
        <v>230</v>
      </c>
      <c r="E53" s="2" t="s">
        <v>45</v>
      </c>
      <c r="F53" s="6">
        <v>1147</v>
      </c>
      <c r="I53" s="23" t="s">
        <v>228</v>
      </c>
      <c r="J53" s="6" t="s">
        <v>229</v>
      </c>
      <c r="K53" s="5" t="s">
        <v>248</v>
      </c>
      <c r="L53" s="2" t="s">
        <v>268</v>
      </c>
      <c r="M53" s="2">
        <v>1204</v>
      </c>
    </row>
    <row r="54" spans="1:13" x14ac:dyDescent="0.2">
      <c r="A54" s="23" t="s">
        <v>228</v>
      </c>
      <c r="B54" s="6" t="s">
        <v>229</v>
      </c>
      <c r="C54" s="24" t="s">
        <v>228</v>
      </c>
      <c r="D54" s="5" t="s">
        <v>230</v>
      </c>
      <c r="E54" s="2" t="s">
        <v>65</v>
      </c>
      <c r="F54" s="6">
        <v>1135</v>
      </c>
      <c r="I54" s="23" t="s">
        <v>228</v>
      </c>
      <c r="J54" s="6" t="s">
        <v>229</v>
      </c>
      <c r="K54" s="5" t="s">
        <v>248</v>
      </c>
      <c r="L54" s="2" t="s">
        <v>269</v>
      </c>
      <c r="M54" s="2">
        <v>905</v>
      </c>
    </row>
    <row r="55" spans="1:13" x14ac:dyDescent="0.2">
      <c r="A55" s="23" t="s">
        <v>228</v>
      </c>
      <c r="B55" s="6" t="s">
        <v>229</v>
      </c>
      <c r="C55" s="24" t="s">
        <v>228</v>
      </c>
      <c r="D55" s="5" t="s">
        <v>230</v>
      </c>
      <c r="E55" s="2" t="s">
        <v>241</v>
      </c>
      <c r="F55" s="6">
        <v>1110</v>
      </c>
      <c r="I55" s="23" t="s">
        <v>228</v>
      </c>
      <c r="J55" s="6" t="s">
        <v>229</v>
      </c>
      <c r="K55" s="5" t="s">
        <v>248</v>
      </c>
      <c r="L55" s="2" t="s">
        <v>127</v>
      </c>
      <c r="M55" s="2">
        <v>615</v>
      </c>
    </row>
    <row r="56" spans="1:13" x14ac:dyDescent="0.2">
      <c r="A56" s="23" t="s">
        <v>228</v>
      </c>
      <c r="B56" s="6" t="s">
        <v>229</v>
      </c>
      <c r="C56" s="24" t="s">
        <v>228</v>
      </c>
      <c r="D56" s="5" t="s">
        <v>230</v>
      </c>
      <c r="E56" s="2" t="s">
        <v>84</v>
      </c>
      <c r="F56" s="6">
        <v>900</v>
      </c>
      <c r="I56" s="23" t="s">
        <v>228</v>
      </c>
      <c r="J56" s="6" t="s">
        <v>229</v>
      </c>
      <c r="K56" s="5" t="s">
        <v>248</v>
      </c>
      <c r="L56" s="2" t="s">
        <v>270</v>
      </c>
      <c r="M56" s="2">
        <v>455</v>
      </c>
    </row>
    <row r="57" spans="1:13" x14ac:dyDescent="0.2">
      <c r="A57" s="23" t="s">
        <v>228</v>
      </c>
      <c r="B57" s="6" t="s">
        <v>229</v>
      </c>
      <c r="C57" s="24" t="s">
        <v>228</v>
      </c>
      <c r="D57" s="5" t="s">
        <v>230</v>
      </c>
      <c r="E57" s="2" t="s">
        <v>83</v>
      </c>
      <c r="F57" s="6">
        <v>840</v>
      </c>
      <c r="I57" s="23" t="s">
        <v>228</v>
      </c>
      <c r="J57" s="6" t="s">
        <v>229</v>
      </c>
      <c r="K57" s="5" t="s">
        <v>248</v>
      </c>
      <c r="L57" s="2" t="s">
        <v>123</v>
      </c>
      <c r="M57" s="2">
        <v>452</v>
      </c>
    </row>
    <row r="58" spans="1:13" x14ac:dyDescent="0.2">
      <c r="A58" s="23" t="s">
        <v>228</v>
      </c>
      <c r="B58" s="6" t="s">
        <v>229</v>
      </c>
      <c r="C58" s="24" t="s">
        <v>228</v>
      </c>
      <c r="D58" s="5" t="s">
        <v>230</v>
      </c>
      <c r="E58" s="2" t="s">
        <v>178</v>
      </c>
      <c r="F58" s="6">
        <v>738</v>
      </c>
      <c r="I58" s="23" t="s">
        <v>228</v>
      </c>
      <c r="J58" s="6" t="s">
        <v>229</v>
      </c>
      <c r="K58" s="5" t="s">
        <v>248</v>
      </c>
      <c r="L58" s="2" t="s">
        <v>271</v>
      </c>
      <c r="M58" s="2">
        <v>229</v>
      </c>
    </row>
    <row r="59" spans="1:13" x14ac:dyDescent="0.2">
      <c r="A59" s="23" t="s">
        <v>228</v>
      </c>
      <c r="B59" s="6" t="s">
        <v>229</v>
      </c>
      <c r="C59" s="24" t="s">
        <v>228</v>
      </c>
      <c r="D59" s="5" t="s">
        <v>230</v>
      </c>
      <c r="E59" s="2" t="s">
        <v>90</v>
      </c>
      <c r="F59" s="6">
        <v>699</v>
      </c>
      <c r="I59" s="23" t="s">
        <v>228</v>
      </c>
      <c r="J59" s="6" t="s">
        <v>229</v>
      </c>
      <c r="K59" s="5" t="s">
        <v>248</v>
      </c>
      <c r="L59" s="2" t="s">
        <v>124</v>
      </c>
      <c r="M59" s="2">
        <v>228</v>
      </c>
    </row>
    <row r="60" spans="1:13" x14ac:dyDescent="0.2">
      <c r="A60" s="23" t="s">
        <v>228</v>
      </c>
      <c r="B60" s="6" t="s">
        <v>229</v>
      </c>
      <c r="C60" s="24" t="s">
        <v>228</v>
      </c>
      <c r="D60" s="5" t="s">
        <v>230</v>
      </c>
      <c r="E60" s="2" t="s">
        <v>67</v>
      </c>
      <c r="F60" s="6">
        <v>676</v>
      </c>
      <c r="I60" s="25" t="s">
        <v>101</v>
      </c>
      <c r="M60" s="8">
        <f>SUM(M9:M59)</f>
        <v>489656</v>
      </c>
    </row>
    <row r="61" spans="1:13" x14ac:dyDescent="0.2">
      <c r="A61" s="23" t="s">
        <v>228</v>
      </c>
      <c r="B61" s="6" t="s">
        <v>229</v>
      </c>
      <c r="C61" s="24" t="s">
        <v>228</v>
      </c>
      <c r="D61" s="5" t="s">
        <v>230</v>
      </c>
      <c r="E61" s="2" t="s">
        <v>85</v>
      </c>
      <c r="F61" s="6">
        <v>579</v>
      </c>
    </row>
    <row r="62" spans="1:13" x14ac:dyDescent="0.2">
      <c r="A62" s="23" t="s">
        <v>228</v>
      </c>
      <c r="B62" s="6" t="s">
        <v>229</v>
      </c>
      <c r="C62" s="24" t="s">
        <v>228</v>
      </c>
      <c r="D62" s="5" t="s">
        <v>230</v>
      </c>
      <c r="E62" s="2" t="s">
        <v>59</v>
      </c>
      <c r="F62" s="6">
        <v>443</v>
      </c>
    </row>
    <row r="63" spans="1:13" x14ac:dyDescent="0.2">
      <c r="A63" s="23" t="s">
        <v>228</v>
      </c>
      <c r="B63" s="6" t="s">
        <v>229</v>
      </c>
      <c r="C63" s="24" t="s">
        <v>228</v>
      </c>
      <c r="D63" s="5" t="s">
        <v>230</v>
      </c>
      <c r="E63" s="2" t="s">
        <v>73</v>
      </c>
      <c r="F63" s="6">
        <v>380</v>
      </c>
    </row>
    <row r="64" spans="1:13" x14ac:dyDescent="0.2">
      <c r="A64" s="23" t="s">
        <v>228</v>
      </c>
      <c r="B64" s="6" t="s">
        <v>229</v>
      </c>
      <c r="C64" s="24" t="s">
        <v>228</v>
      </c>
      <c r="D64" s="5" t="s">
        <v>230</v>
      </c>
      <c r="E64" s="2" t="s">
        <v>70</v>
      </c>
      <c r="F64" s="6">
        <v>372</v>
      </c>
    </row>
    <row r="65" spans="1:6" x14ac:dyDescent="0.2">
      <c r="A65" s="23" t="s">
        <v>228</v>
      </c>
      <c r="B65" s="6" t="s">
        <v>229</v>
      </c>
      <c r="C65" s="24" t="s">
        <v>228</v>
      </c>
      <c r="D65" s="5" t="s">
        <v>230</v>
      </c>
      <c r="E65" s="2" t="s">
        <v>66</v>
      </c>
      <c r="F65" s="6">
        <v>354</v>
      </c>
    </row>
    <row r="66" spans="1:6" x14ac:dyDescent="0.2">
      <c r="A66" s="23" t="s">
        <v>228</v>
      </c>
      <c r="B66" s="6" t="s">
        <v>229</v>
      </c>
      <c r="C66" s="24" t="s">
        <v>228</v>
      </c>
      <c r="D66" s="5" t="s">
        <v>230</v>
      </c>
      <c r="E66" s="2" t="s">
        <v>242</v>
      </c>
      <c r="F66" s="6">
        <v>342</v>
      </c>
    </row>
    <row r="67" spans="1:6" x14ac:dyDescent="0.2">
      <c r="A67" s="23" t="s">
        <v>228</v>
      </c>
      <c r="B67" s="6" t="s">
        <v>229</v>
      </c>
      <c r="C67" s="24" t="s">
        <v>228</v>
      </c>
      <c r="D67" s="5" t="s">
        <v>230</v>
      </c>
      <c r="E67" s="2" t="s">
        <v>61</v>
      </c>
      <c r="F67" s="6">
        <v>327</v>
      </c>
    </row>
    <row r="68" spans="1:6" x14ac:dyDescent="0.2">
      <c r="A68" s="23" t="s">
        <v>228</v>
      </c>
      <c r="B68" s="6" t="s">
        <v>229</v>
      </c>
      <c r="C68" s="24" t="s">
        <v>228</v>
      </c>
      <c r="D68" s="5" t="s">
        <v>230</v>
      </c>
      <c r="E68" s="2" t="s">
        <v>97</v>
      </c>
      <c r="F68" s="6">
        <v>325</v>
      </c>
    </row>
    <row r="69" spans="1:6" x14ac:dyDescent="0.2">
      <c r="A69" s="23" t="s">
        <v>228</v>
      </c>
      <c r="B69" s="6" t="s">
        <v>229</v>
      </c>
      <c r="C69" s="24" t="s">
        <v>228</v>
      </c>
      <c r="D69" s="5" t="s">
        <v>230</v>
      </c>
      <c r="E69" s="2" t="s">
        <v>78</v>
      </c>
      <c r="F69" s="6">
        <v>314</v>
      </c>
    </row>
    <row r="70" spans="1:6" x14ac:dyDescent="0.2">
      <c r="A70" s="23" t="s">
        <v>228</v>
      </c>
      <c r="B70" s="6" t="s">
        <v>229</v>
      </c>
      <c r="C70" s="24" t="s">
        <v>228</v>
      </c>
      <c r="D70" s="5" t="s">
        <v>230</v>
      </c>
      <c r="E70" s="2" t="s">
        <v>86</v>
      </c>
      <c r="F70" s="6">
        <v>309</v>
      </c>
    </row>
    <row r="71" spans="1:6" x14ac:dyDescent="0.2">
      <c r="A71" s="23" t="s">
        <v>228</v>
      </c>
      <c r="B71" s="6" t="s">
        <v>229</v>
      </c>
      <c r="C71" s="24" t="s">
        <v>228</v>
      </c>
      <c r="D71" s="5" t="s">
        <v>230</v>
      </c>
      <c r="E71" s="2" t="s">
        <v>53</v>
      </c>
      <c r="F71" s="6">
        <v>307</v>
      </c>
    </row>
    <row r="72" spans="1:6" x14ac:dyDescent="0.2">
      <c r="A72" s="23" t="s">
        <v>228</v>
      </c>
      <c r="B72" s="6" t="s">
        <v>229</v>
      </c>
      <c r="C72" s="24" t="s">
        <v>228</v>
      </c>
      <c r="D72" s="5" t="s">
        <v>230</v>
      </c>
      <c r="E72" s="2" t="s">
        <v>243</v>
      </c>
      <c r="F72" s="6">
        <v>293</v>
      </c>
    </row>
    <row r="73" spans="1:6" x14ac:dyDescent="0.2">
      <c r="A73" s="23" t="s">
        <v>228</v>
      </c>
      <c r="B73" s="6" t="s">
        <v>229</v>
      </c>
      <c r="C73" s="24" t="s">
        <v>228</v>
      </c>
      <c r="D73" s="5" t="s">
        <v>230</v>
      </c>
      <c r="E73" s="2" t="s">
        <v>60</v>
      </c>
      <c r="F73" s="6">
        <v>270</v>
      </c>
    </row>
    <row r="74" spans="1:6" x14ac:dyDescent="0.2">
      <c r="A74" s="23" t="s">
        <v>228</v>
      </c>
      <c r="B74" s="6" t="s">
        <v>229</v>
      </c>
      <c r="C74" s="24" t="s">
        <v>228</v>
      </c>
      <c r="D74" s="5" t="s">
        <v>230</v>
      </c>
      <c r="E74" s="2" t="s">
        <v>89</v>
      </c>
      <c r="F74" s="6">
        <v>261</v>
      </c>
    </row>
    <row r="75" spans="1:6" x14ac:dyDescent="0.2">
      <c r="A75" s="23" t="s">
        <v>228</v>
      </c>
      <c r="B75" s="6" t="s">
        <v>229</v>
      </c>
      <c r="C75" s="24" t="s">
        <v>228</v>
      </c>
      <c r="D75" s="5" t="s">
        <v>230</v>
      </c>
      <c r="E75" s="2" t="s">
        <v>69</v>
      </c>
      <c r="F75" s="6">
        <v>246</v>
      </c>
    </row>
    <row r="76" spans="1:6" x14ac:dyDescent="0.2">
      <c r="A76" s="23" t="s">
        <v>228</v>
      </c>
      <c r="B76" s="6" t="s">
        <v>229</v>
      </c>
      <c r="C76" s="24" t="s">
        <v>228</v>
      </c>
      <c r="D76" s="5" t="s">
        <v>230</v>
      </c>
      <c r="E76" s="2" t="s">
        <v>244</v>
      </c>
      <c r="F76" s="6">
        <v>233</v>
      </c>
    </row>
    <row r="77" spans="1:6" x14ac:dyDescent="0.2">
      <c r="A77" s="23" t="s">
        <v>228</v>
      </c>
      <c r="B77" s="6" t="s">
        <v>229</v>
      </c>
      <c r="C77" s="24" t="s">
        <v>228</v>
      </c>
      <c r="D77" s="5" t="s">
        <v>230</v>
      </c>
      <c r="E77" s="2" t="s">
        <v>245</v>
      </c>
      <c r="F77" s="6">
        <v>229</v>
      </c>
    </row>
    <row r="78" spans="1:6" x14ac:dyDescent="0.2">
      <c r="A78" s="23" t="s">
        <v>228</v>
      </c>
      <c r="B78" s="6" t="s">
        <v>229</v>
      </c>
      <c r="C78" s="24" t="s">
        <v>228</v>
      </c>
      <c r="D78" s="5" t="s">
        <v>230</v>
      </c>
      <c r="E78" s="2" t="s">
        <v>79</v>
      </c>
      <c r="F78" s="6">
        <v>211</v>
      </c>
    </row>
    <row r="79" spans="1:6" x14ac:dyDescent="0.2">
      <c r="A79" s="23" t="s">
        <v>228</v>
      </c>
      <c r="B79" s="6" t="s">
        <v>229</v>
      </c>
      <c r="C79" s="24" t="s">
        <v>228</v>
      </c>
      <c r="D79" s="5" t="s">
        <v>230</v>
      </c>
      <c r="E79" s="2" t="s">
        <v>88</v>
      </c>
      <c r="F79" s="6">
        <v>207</v>
      </c>
    </row>
    <row r="80" spans="1:6" x14ac:dyDescent="0.2">
      <c r="A80" s="23" t="s">
        <v>228</v>
      </c>
      <c r="B80" s="6" t="s">
        <v>229</v>
      </c>
      <c r="C80" s="24" t="s">
        <v>228</v>
      </c>
      <c r="D80" s="5" t="s">
        <v>230</v>
      </c>
      <c r="E80" s="2" t="s">
        <v>95</v>
      </c>
      <c r="F80" s="6">
        <v>205</v>
      </c>
    </row>
    <row r="81" spans="1:6" x14ac:dyDescent="0.2">
      <c r="A81" s="23" t="s">
        <v>228</v>
      </c>
      <c r="B81" s="6" t="s">
        <v>229</v>
      </c>
      <c r="C81" s="24" t="s">
        <v>228</v>
      </c>
      <c r="D81" s="5" t="s">
        <v>230</v>
      </c>
      <c r="E81" s="2" t="s">
        <v>246</v>
      </c>
      <c r="F81" s="6">
        <v>169</v>
      </c>
    </row>
    <row r="82" spans="1:6" x14ac:dyDescent="0.2">
      <c r="A82" s="23" t="s">
        <v>228</v>
      </c>
      <c r="B82" s="6" t="s">
        <v>229</v>
      </c>
      <c r="C82" s="24" t="s">
        <v>228</v>
      </c>
      <c r="D82" s="5" t="s">
        <v>230</v>
      </c>
      <c r="E82" s="2" t="s">
        <v>96</v>
      </c>
      <c r="F82" s="6">
        <v>144</v>
      </c>
    </row>
    <row r="83" spans="1:6" x14ac:dyDescent="0.2">
      <c r="A83" s="23" t="s">
        <v>228</v>
      </c>
      <c r="B83" s="6" t="s">
        <v>229</v>
      </c>
      <c r="C83" s="24" t="s">
        <v>228</v>
      </c>
      <c r="D83" s="5" t="s">
        <v>230</v>
      </c>
      <c r="E83" s="2" t="s">
        <v>99</v>
      </c>
      <c r="F83" s="6">
        <v>137</v>
      </c>
    </row>
    <row r="84" spans="1:6" x14ac:dyDescent="0.2">
      <c r="A84" s="23" t="s">
        <v>228</v>
      </c>
      <c r="B84" s="6" t="s">
        <v>229</v>
      </c>
      <c r="C84" s="24" t="s">
        <v>228</v>
      </c>
      <c r="D84" s="5" t="s">
        <v>230</v>
      </c>
      <c r="E84" s="2" t="s">
        <v>80</v>
      </c>
      <c r="F84" s="6">
        <v>123</v>
      </c>
    </row>
    <row r="85" spans="1:6" x14ac:dyDescent="0.2">
      <c r="A85" s="23" t="s">
        <v>228</v>
      </c>
      <c r="B85" s="6" t="s">
        <v>229</v>
      </c>
      <c r="C85" s="24" t="s">
        <v>228</v>
      </c>
      <c r="D85" s="5" t="s">
        <v>230</v>
      </c>
      <c r="E85" s="2" t="s">
        <v>71</v>
      </c>
      <c r="F85" s="6">
        <v>110</v>
      </c>
    </row>
    <row r="86" spans="1:6" x14ac:dyDescent="0.2">
      <c r="A86" s="23" t="s">
        <v>228</v>
      </c>
      <c r="B86" s="6" t="s">
        <v>229</v>
      </c>
      <c r="C86" s="24" t="s">
        <v>228</v>
      </c>
      <c r="D86" s="5" t="s">
        <v>230</v>
      </c>
      <c r="E86" s="2" t="s">
        <v>247</v>
      </c>
      <c r="F86" s="6">
        <v>108</v>
      </c>
    </row>
    <row r="87" spans="1:6" x14ac:dyDescent="0.2">
      <c r="A87" s="25" t="s">
        <v>101</v>
      </c>
      <c r="F87" s="8">
        <f>SUM(F6:F86)</f>
        <v>489656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AUG BASE SUMMARY</vt:lpstr>
      <vt:lpstr>AUG BASE GEO SUMMARY</vt:lpstr>
      <vt:lpstr>AUG BASE SPEND SUMMARY</vt:lpstr>
      <vt:lpstr>AUG WC SUMMARY</vt:lpstr>
      <vt:lpstr>AUG WC GEO SUMMARY</vt:lpstr>
      <vt:lpstr>AUG  WC SPEND SUMMARY</vt:lpstr>
      <vt:lpstr>AUG PACMAN BONUS W_GEO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Peltz</dc:creator>
  <cp:lastModifiedBy>Josh Peltz</cp:lastModifiedBy>
  <dcterms:created xsi:type="dcterms:W3CDTF">2025-09-03T20:40:20Z</dcterms:created>
  <dcterms:modified xsi:type="dcterms:W3CDTF">2025-09-10T19:48:10Z</dcterms:modified>
</cp:coreProperties>
</file>