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higgins/Library/Mobile Documents/com~apple~CloudDocs/"/>
    </mc:Choice>
  </mc:AlternateContent>
  <xr:revisionPtr revIDLastSave="0" documentId="8_{FF038E4D-5127-5D4C-9630-D0974E9606B5}" xr6:coauthVersionLast="47" xr6:coauthVersionMax="47" xr10:uidLastSave="{00000000-0000-0000-0000-000000000000}"/>
  <bookViews>
    <workbookView xWindow="0" yWindow="500" windowWidth="28480" windowHeight="16100" firstSheet="1" activeTab="6" xr2:uid="{C10E4BB2-7FCD-074A-B58D-F134132D1652}"/>
  </bookViews>
  <sheets>
    <sheet name="Week 1-2 BASE 10.27-11.9" sheetId="1" r:id="rId1"/>
    <sheet name="Week 1-2 BASE + GEO 10.27-11.9" sheetId="2" r:id="rId2"/>
    <sheet name="Week 1 BASE DLY SPND 10.27-11.2" sheetId="3" r:id="rId3"/>
    <sheet name="TREATMENT 11.3-11.16" sheetId="13" r:id="rId4"/>
    <sheet name="TREATMENT + GEO 11.3-11.16" sheetId="14" r:id="rId5"/>
    <sheet name="TREATMENT DAILY SPND 11.3-11.16" sheetId="15" r:id="rId6"/>
    <sheet name="CONTROL 11.3-11.16" sheetId="16" r:id="rId7"/>
    <sheet name="CONTROL + GEO 11.3-11.16" sheetId="17" r:id="rId8"/>
    <sheet name="CONTROL DAILY SPND 11.3-11.16" sheetId="18" r:id="rId9"/>
    <sheet name="Week 1-3 WC 10.27-11.16" sheetId="4" r:id="rId10"/>
    <sheet name="Week 1-3 WC (+) GEO 10.27-11.16" sheetId="5" r:id="rId11"/>
    <sheet name="Week 1-3 WC DLY SPD 10.27-11.16" sheetId="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6" l="1"/>
  <c r="F18" i="15" l="1"/>
  <c r="E18" i="15"/>
  <c r="E19" i="14"/>
  <c r="F106" i="13"/>
  <c r="F27" i="13"/>
  <c r="F18" i="18"/>
  <c r="E18" i="18"/>
  <c r="E19" i="17"/>
  <c r="F27" i="16"/>
  <c r="F27" i="6" l="1"/>
  <c r="E27" i="6"/>
  <c r="E23" i="5"/>
  <c r="F76" i="4"/>
  <c r="F15" i="3" l="1"/>
  <c r="E15" i="3"/>
  <c r="E32" i="2" l="1"/>
  <c r="F117" i="1"/>
  <c r="F27" i="1"/>
</calcChain>
</file>

<file path=xl/sharedStrings.xml><?xml version="1.0" encoding="utf-8"?>
<sst xmlns="http://schemas.openxmlformats.org/spreadsheetml/2006/main" count="1657" uniqueCount="259">
  <si>
    <t>Timezone: America/New_York</t>
  </si>
  <si>
    <t xml:space="preserve">Filters: Order ID IN (7205)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</si>
  <si>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</si>
  <si>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</si>
  <si>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</si>
  <si>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</si>
  <si>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</si>
  <si>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</si>
  <si>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</si>
  <si>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(7205) Betonline 2025</t>
  </si>
  <si>
    <t>Adam Carolla Show</t>
  </si>
  <si>
    <t>"YOUR WELCOME" with Michael Malice</t>
  </si>
  <si>
    <t>The Adam and Dr. Drew Show</t>
  </si>
  <si>
    <t>Notsam Wrestling</t>
  </si>
  <si>
    <t>The Steve Austin Show</t>
  </si>
  <si>
    <t xml:space="preserve">CarCast </t>
  </si>
  <si>
    <t xml:space="preserve">The Morning After STL </t>
  </si>
  <si>
    <t>One MANS Opinion with Jeff Mans</t>
  </si>
  <si>
    <t>Going Racing with Adam Carolla</t>
  </si>
  <si>
    <t>Plugged In with Chris Howard</t>
  </si>
  <si>
    <t>The Michael Irvin Podcast</t>
  </si>
  <si>
    <t>Uncut with Jay Cutler</t>
  </si>
  <si>
    <t>The Big Podcast With Shaq</t>
  </si>
  <si>
    <t xml:space="preserve">No Gruffs Given with Sean Avery </t>
  </si>
  <si>
    <t xml:space="preserve">Big Shot Bob Pod with Robert Horry </t>
  </si>
  <si>
    <t xml:space="preserve">Everyday Greatness: The Ray Lewis Podcast </t>
  </si>
  <si>
    <t>Dr. Hockey</t>
  </si>
  <si>
    <t>Jim Beaver's Project Action</t>
  </si>
  <si>
    <t xml:space="preserve">The Deegans </t>
  </si>
  <si>
    <t>Foley Is Pod</t>
  </si>
  <si>
    <t xml:space="preserve">Hotboxin With Mike Tyson </t>
  </si>
  <si>
    <t>TOTAL</t>
  </si>
  <si>
    <t xml:space="preserve">Filters: Order ID IN (7206) </t>
  </si>
  <si>
    <t>(7206) Betonline 2025</t>
  </si>
  <si>
    <t>Cold Case Files</t>
  </si>
  <si>
    <t>Reasonable Doubt</t>
  </si>
  <si>
    <t>Sex, Lies &amp; Murder</t>
  </si>
  <si>
    <t>The World of Phil Hendrie</t>
  </si>
  <si>
    <t>The Consult: Real FBI Profilers</t>
  </si>
  <si>
    <t>On Brand with Jon and Marisa</t>
  </si>
  <si>
    <t>Be Very Afraid: A Horror Podcast</t>
  </si>
  <si>
    <t>I Survived</t>
  </si>
  <si>
    <t>SUS: Share Ur Scare</t>
  </si>
  <si>
    <t>Varnamtown</t>
  </si>
  <si>
    <t>Ever After with Jaleel White</t>
  </si>
  <si>
    <t>Fully Booked by Kirkus Reviews</t>
  </si>
  <si>
    <t>Let's Do Life with Autumn Calabrese</t>
  </si>
  <si>
    <t>CIVIL</t>
  </si>
  <si>
    <t>Nappy Boy Radio with T-Pain</t>
  </si>
  <si>
    <t>Bad Bad Thing: The Blackstone Sisters</t>
  </si>
  <si>
    <t>The Michael Harrison Interview</t>
  </si>
  <si>
    <t>Lost In Panama</t>
  </si>
  <si>
    <t>The Funny Papers with Jersey Jerry</t>
  </si>
  <si>
    <t>It's Not Only Football: Friday Night Lights and Beyond</t>
  </si>
  <si>
    <t>Salty with Captain Lee</t>
  </si>
  <si>
    <t>The Dan Abrams Podcast (PodcastOne)</t>
  </si>
  <si>
    <t>Let Me Save You 25 Years</t>
  </si>
  <si>
    <t>Cheating: When Love Lies</t>
  </si>
  <si>
    <t>expediTIously with Tip "T.I." Harris</t>
  </si>
  <si>
    <t>Murder Made Me Famous</t>
  </si>
  <si>
    <t>From Negative to Positive with Pitbull</t>
  </si>
  <si>
    <t>Ransom</t>
  </si>
  <si>
    <t>The Producer's Guide: Todd Garner &amp; Hollywood's Elite</t>
  </si>
  <si>
    <t>Real Crime: The REELZ Files</t>
  </si>
  <si>
    <t>Adam Carolla's Exclusive Interviews</t>
  </si>
  <si>
    <t>Dark Hollywood: The Reelz Files</t>
  </si>
  <si>
    <t>Adam's Best</t>
  </si>
  <si>
    <t>Ace On The House</t>
  </si>
  <si>
    <t>Earth to Ariana</t>
  </si>
  <si>
    <t>Blunt Force Truth</t>
  </si>
  <si>
    <t>From Zero: A Conversation with Mike Shinoda and Emily Armstrong</t>
  </si>
  <si>
    <t>Zero Stars</t>
  </si>
  <si>
    <t>Living in Adoptionland with Bryan Elliott</t>
  </si>
  <si>
    <t>Bret Easton Ellis Podcast</t>
  </si>
  <si>
    <t>Hammered Heroes (And Villains)</t>
  </si>
  <si>
    <t>Knock Knock</t>
  </si>
  <si>
    <t>HOT ROD Pod: Where It All Began</t>
  </si>
  <si>
    <t>Talk To Me</t>
  </si>
  <si>
    <t>The Kelly Osbourne and Jeff Beacher Show</t>
  </si>
  <si>
    <t>Wholeheartedly with Kendall and Galey</t>
  </si>
  <si>
    <t>This Is Monsters</t>
  </si>
  <si>
    <t>Copycat Killers</t>
  </si>
  <si>
    <t>Invisible Choir</t>
  </si>
  <si>
    <t>We (Almost) Made It</t>
  </si>
  <si>
    <t>Bounceback with Uncle Tim</t>
  </si>
  <si>
    <t>Keep It A Buck with Bobby Portis</t>
  </si>
  <si>
    <t>Mind. Body. No Soul.</t>
  </si>
  <si>
    <t>C-Sessions…with Randall Broad</t>
  </si>
  <si>
    <t>Idiotically Speaking with Chris Kattan</t>
  </si>
  <si>
    <t>Kicking It With The Koves</t>
  </si>
  <si>
    <t>Geffen Playhouse Unscripted</t>
  </si>
  <si>
    <t>All Dollars. No $ense</t>
  </si>
  <si>
    <t>The Campaign Managers with Kellyanne Conway and David Plouffe</t>
  </si>
  <si>
    <t>Adam Carolla Show Daily Brief</t>
  </si>
  <si>
    <t>All of the Above with Norman Lear</t>
  </si>
  <si>
    <t>The Watercooler</t>
  </si>
  <si>
    <t>The Head &amp; The Heart</t>
  </si>
  <si>
    <t>The Big Brother Jake Podcast</t>
  </si>
  <si>
    <t>Who I Am</t>
  </si>
  <si>
    <t>Nemeth Bros</t>
  </si>
  <si>
    <t>Comeback Kids</t>
  </si>
  <si>
    <t>The Narc and Me</t>
  </si>
  <si>
    <t>Innovation on the Edge with Microsoft Edge</t>
  </si>
  <si>
    <t>We Are Not Journalists</t>
  </si>
  <si>
    <t>The Benchwarmers Podcast with Sonny Carolla</t>
  </si>
  <si>
    <t>Adam Carolla Live</t>
  </si>
  <si>
    <t>Love First Aid</t>
  </si>
  <si>
    <t>Adam Carolla Show Clips</t>
  </si>
  <si>
    <t>The Her Voice Podcast</t>
  </si>
  <si>
    <t>Treating Thyroid Eye Disease</t>
  </si>
  <si>
    <t>Off Brand with Nema Vand</t>
  </si>
  <si>
    <t>Chop Shop</t>
  </si>
  <si>
    <t>Botany &amp; Barrels</t>
  </si>
  <si>
    <t>The Prediction Trade</t>
  </si>
  <si>
    <t>Carolla Classics </t>
  </si>
  <si>
    <t xml:space="preserve">Filters: Order ID IN (7205);(7206) </t>
  </si>
  <si>
    <t>Splits: Order ID,Order,Campaign ID,Geo-Region,Audio Impressions</t>
  </si>
  <si>
    <t>Geo - Region</t>
  </si>
  <si>
    <t>(7205);(7206)</t>
  </si>
  <si>
    <t>(7205);(7206) Betonline 2025</t>
  </si>
  <si>
    <t>California (ca)</t>
  </si>
  <si>
    <t>Texas (tx)</t>
  </si>
  <si>
    <t>Florida (fl)</t>
  </si>
  <si>
    <t>Illinois (il)</t>
  </si>
  <si>
    <t>Washington (wa)</t>
  </si>
  <si>
    <t>Georgia (ga)</t>
  </si>
  <si>
    <t>Minnesota (mn)</t>
  </si>
  <si>
    <t>Utah (ut)</t>
  </si>
  <si>
    <t>North Carolina (nc)</t>
  </si>
  <si>
    <t>Missouri (mo)</t>
  </si>
  <si>
    <t>South Carolina (sc)</t>
  </si>
  <si>
    <t>Alabama (al)</t>
  </si>
  <si>
    <t>Arizona (az)</t>
  </si>
  <si>
    <t>Wisconsin (wi)</t>
  </si>
  <si>
    <t>Virginia (va)</t>
  </si>
  <si>
    <t>Idaho (id)</t>
  </si>
  <si>
    <t>Oklahoma (ok)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</si>
  <si>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</si>
  <si>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</si>
  <si>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</si>
  <si>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</si>
  <si>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</si>
  <si>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</si>
  <si>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</si>
  <si>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Hawaii (hi)</t>
  </si>
  <si>
    <t>Alaska (ak)</t>
  </si>
  <si>
    <t>Splits: Order ID,Order,Campaign ID,Day,Audio Impressions</t>
  </si>
  <si>
    <t>Day</t>
  </si>
  <si>
    <t>$ By Day</t>
  </si>
  <si>
    <t>(7205);(7206) Betonline 2025-10-27/2025-10-27</t>
  </si>
  <si>
    <t>(7205);(7206) Betonline 2025-10-28/2025-10-28</t>
  </si>
  <si>
    <t>(7205);(7206) Betonline 2025-10-29/2025-10-29</t>
  </si>
  <si>
    <t>(7205);(7206) Betonline 2025-10-30/2025-10-30</t>
  </si>
  <si>
    <t>(7205);(7206) Betonline 2025-10-31/2025-10-31</t>
  </si>
  <si>
    <t>(7205);(7206) Betonline 2025-11-01/2025-11-01</t>
  </si>
  <si>
    <t>(7205);(7206) Betonline 2025-11-02/2025-11-02</t>
  </si>
  <si>
    <t xml:space="preserve">Filters: Order ID IN (7207) </t>
  </si>
  <si>
    <t>CONNECT with Jonathan Mark</t>
  </si>
  <si>
    <t>The Jay Jay French Connection: Beyond the Music</t>
  </si>
  <si>
    <t>(7207) Betonline 2025</t>
  </si>
  <si>
    <t xml:space="preserve">Filters: Order ID IN (7207*) </t>
  </si>
  <si>
    <t>(7207*)</t>
  </si>
  <si>
    <t>(7207*) Betonline 2025</t>
  </si>
  <si>
    <t>New York (ny)</t>
  </si>
  <si>
    <t>Massachusetts (ma)</t>
  </si>
  <si>
    <t>Ohio (oh)</t>
  </si>
  <si>
    <t>Colorado (co)</t>
  </si>
  <si>
    <t>Kentucky (ky)</t>
  </si>
  <si>
    <t>(7207*) Betonline 2025-10-27/2025-10-27</t>
  </si>
  <si>
    <t>(7207*) Betonline 2025-10-28/2025-10-28</t>
  </si>
  <si>
    <t>(7207*) Betonline 2025-10-29/2025-10-29</t>
  </si>
  <si>
    <t>(7207*) Betonline 2025-10-30/2025-10-30</t>
  </si>
  <si>
    <t>(7207*) Betonline 2025-10-31/2025-10-31</t>
  </si>
  <si>
    <t>(7207*) Betonline 2025-11-01/2025-11-01</t>
  </si>
  <si>
    <t>(7207*) Betonline 2025-11-02/2025-11-02</t>
  </si>
  <si>
    <t>Interval: 2025-10-27/2025-11-09</t>
  </si>
  <si>
    <t>(7207*) Betonline 2025-11-03/2025-11-03</t>
  </si>
  <si>
    <t>(7207*) Betonline 2025-11-04/2025-11-04</t>
  </si>
  <si>
    <t>(7207*) Betonline 2025-11-05/2025-11-05</t>
  </si>
  <si>
    <t>(7207*) Betonline 2025-11-06/2025-11-06</t>
  </si>
  <si>
    <t>(7207*) Betonline 2025-11-07/2025-11-07</t>
  </si>
  <si>
    <t>(7207*) Betonline 2025-11-08/2025-11-08</t>
  </si>
  <si>
    <t>(7207*) Betonline 2025-11-09/2025-11-09</t>
  </si>
  <si>
    <t>(7205) Betonline 2025-10-27/2025-11-09</t>
  </si>
  <si>
    <t>(7205);(7206) Betonline 2025-10-27/2025-11-09</t>
  </si>
  <si>
    <t>(7205);(7206) Betonline 2025-11-03/2025-11-03</t>
  </si>
  <si>
    <t>(7205);(7206) Betonline 2025-11-04/2025-11-04</t>
  </si>
  <si>
    <t xml:space="preserve">Filters: Order ID IN (7208) </t>
  </si>
  <si>
    <t xml:space="preserve">Filters: Order ID IN (7209) </t>
  </si>
  <si>
    <t>(7208) Betonline 2025</t>
  </si>
  <si>
    <t xml:space="preserve">"YOUR WELCOME" with Michael Malice </t>
  </si>
  <si>
    <t xml:space="preserve">The Steve Austin Show </t>
  </si>
  <si>
    <t xml:space="preserve">Notsam Wrestling </t>
  </si>
  <si>
    <t xml:space="preserve">One MANS Opinion with Jeff Mans </t>
  </si>
  <si>
    <t xml:space="preserve">The Michael Irvin Podcast </t>
  </si>
  <si>
    <t xml:space="preserve">Uncut with Jay Cutler </t>
  </si>
  <si>
    <t>Unplugged Chris Howard</t>
  </si>
  <si>
    <t xml:space="preserve">Going Racing with Adam Carolla </t>
  </si>
  <si>
    <t xml:space="preserve">Foley Is Pod </t>
  </si>
  <si>
    <t xml:space="preserve">Dr. Hockey </t>
  </si>
  <si>
    <t>(7209) Betonline 2025</t>
  </si>
  <si>
    <t xml:space="preserve">Filters: Order ID IN (7208);(7209) </t>
  </si>
  <si>
    <t>(7208);(7209)</t>
  </si>
  <si>
    <t>(7208);(7209) Betonline 2025</t>
  </si>
  <si>
    <t xml:space="preserve">Filters: Order ID IN (7208; 7209) </t>
  </si>
  <si>
    <t>(7208; 7209)</t>
  </si>
  <si>
    <t>(7208; 7209) Betonline 2025</t>
  </si>
  <si>
    <t>(7208; 7209) Betonline 2025-11-05/2025-11-05</t>
  </si>
  <si>
    <t>(7208; 7209) Betonline 2025-11-06/2025-11-06</t>
  </si>
  <si>
    <t>(7208; 7209) Betonline 2025-11-07/2025-11-07</t>
  </si>
  <si>
    <t>(7208; 7209) Betonline 2025-11-08/2025-11-08</t>
  </si>
  <si>
    <t>(7208; 7209) Betonline 2025-11-09/2025-11-09</t>
  </si>
  <si>
    <t>(7210) Betonline 2025</t>
  </si>
  <si>
    <t xml:space="preserve">Filters: Order ID IN (7210) </t>
  </si>
  <si>
    <t xml:space="preserve">Filters: Order ID IN (7211) </t>
  </si>
  <si>
    <t>(7211) Betonline 2025</t>
  </si>
  <si>
    <t xml:space="preserve">Filters: Order ID IN (7210);(7211) </t>
  </si>
  <si>
    <t>(7210);(7211)</t>
  </si>
  <si>
    <t>(7210);(7211) Betonline 2025</t>
  </si>
  <si>
    <t xml:space="preserve">Filters: Order ID IN (7210; 7211) </t>
  </si>
  <si>
    <t>(7210; 7211)</t>
  </si>
  <si>
    <t>(7210; 7211) Betonline 2025</t>
  </si>
  <si>
    <t>(7210; 7211) Betonline 2025-11-05/2025-11-05</t>
  </si>
  <si>
    <t>(7210; 7211) Betonline 2025-11-06/2025-11-06</t>
  </si>
  <si>
    <t>(7210; 7211) Betonline 2025-11-07/2025-11-07</t>
  </si>
  <si>
    <t>(7210; 7211) Betonline 2025-11-08/2025-11-08</t>
  </si>
  <si>
    <t>(7210; 7211) Betonline 2025-11-09/2025-11-09</t>
  </si>
  <si>
    <t>(7206) Betonline 2025-10-27/2025-11-09</t>
  </si>
  <si>
    <t>Interval: 2025-10-27/2025-11-16</t>
  </si>
  <si>
    <t>(7207) Betonline 2025-10-27/2025-11-16</t>
  </si>
  <si>
    <t>(7207*) Betonline 2025-10-27/2025-11-16</t>
  </si>
  <si>
    <t>(7207*) Betonline 2025-11-10/2025-11-10</t>
  </si>
  <si>
    <t>(7207*) Betonline 2025-11-11/2025-11-11</t>
  </si>
  <si>
    <t>(7207*) Betonline 2025-11-12/2025-11-12</t>
  </si>
  <si>
    <t>(7207*) Betonline 2025-11-13/2025-11-13</t>
  </si>
  <si>
    <t>(7207*) Betonline 2025-11-14/2025-11-14</t>
  </si>
  <si>
    <t>(7207*) Betonline 2025-11-15/2025-11-15</t>
  </si>
  <si>
    <t>(7207*) Betonline 2025-11-16/2025-11-16</t>
  </si>
  <si>
    <t>Interval: 2025-11-03/2025-11-16</t>
  </si>
  <si>
    <t>(7210) Betonline 2025-11-03/2025-11-16</t>
  </si>
  <si>
    <t>(7210);(7211) Betonline 2025-11-03/2025-11-16</t>
  </si>
  <si>
    <t>(7210; 7211) Betonline 2025-11-10/2025-11-10</t>
  </si>
  <si>
    <t>(7210; 7211) Betonline 2025-11-11/2025-11-11</t>
  </si>
  <si>
    <t>(7210; 7211) Betonline 2025-11-12/2025-11-12</t>
  </si>
  <si>
    <t>(7210; 7211) Betonline 2025-11-13/2025-11-13</t>
  </si>
  <si>
    <t>(7210; 7211) Betonline 2025-11-14/2025-11-14</t>
  </si>
  <si>
    <t>(7210; 7211) Betonline 2025-11-15/2025-11-15</t>
  </si>
  <si>
    <t>(7210; 7211) Betonline 2025-11-16/2025-11-16</t>
  </si>
  <si>
    <t>(7211) Betonline 2025-11-03/2025-11-16</t>
  </si>
  <si>
    <t>(7208) Betonline 2025-11-03/2025-11-16</t>
  </si>
  <si>
    <t>(7209) Betonline 2025-11-03/2025-11-16</t>
  </si>
  <si>
    <t>(7208);(7209) Betonline 2025-11-03/2025-11-16</t>
  </si>
  <si>
    <t>(7208; 7209) Betonline 2025-11-10/2025-11-10</t>
  </si>
  <si>
    <t>(7208; 7209) Betonline 2025-11-11/2025-11-11</t>
  </si>
  <si>
    <t>(7208; 7209) Betonline 2025-11-12/2025-11-12</t>
  </si>
  <si>
    <t>(7208; 7209) Betonline 2025-11-13/2025-11-13</t>
  </si>
  <si>
    <t>(7208; 7209) Betonline 2025-11-14/2025-11-14</t>
  </si>
  <si>
    <t>(7208; 7209) Betonline 2025-11-15/2025-11-15</t>
  </si>
  <si>
    <t>(7208; 7209) Betonline 2025-11-16/2025-11-16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</si>
</sst>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color theme="1"/>
      <name val="Helvetica"/>
      <family val="2"/>
    </font>
    <font>
      <b/>
      <sz val="11.5"/>
      <color rgb="FF222222"/>
      <name val="Aptos Narrow"/>
      <scheme val="minor"/>
    </font>
    <font>
      <sz val="10"/>
      <color rgb="FF00B05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5" fillId="0" borderId="0" xfId="0" applyFont="1" applyAlignment="1">
      <alignment horizontal="left"/>
    </xf>
    <xf numFmtId="8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8" fontId="6" fillId="2" borderId="0" xfId="0" applyNumberFormat="1" applyFont="1" applyFill="1" applyAlignment="1">
      <alignment horizontal="center"/>
    </xf>
    <xf numFmtId="3" fontId="0" fillId="0" borderId="0" xfId="0" applyNumberFormat="1"/>
    <xf numFmtId="0" fontId="8" fillId="0" borderId="0" xfId="0" applyFont="1"/>
    <xf numFmtId="8" fontId="0" fillId="0" borderId="0" xfId="0" applyNumberFormat="1"/>
    <xf numFmtId="0" fontId="6" fillId="0" borderId="0" xfId="0" applyFont="1"/>
    <xf numFmtId="0" fontId="7" fillId="0" borderId="0" xfId="0" applyFont="1"/>
    <xf numFmtId="9" fontId="0" fillId="0" borderId="0" xfId="0" applyNumberFormat="1"/>
    <xf numFmtId="10" fontId="0" fillId="0" borderId="0" xfId="0" applyNumberForma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8" fontId="5" fillId="0" borderId="0" xfId="0" applyNumberFormat="1" applyFont="1"/>
    <xf numFmtId="14" fontId="5" fillId="2" borderId="0" xfId="0" applyNumberFormat="1" applyFont="1" applyFill="1" applyAlignment="1">
      <alignment horizontal="center" vertical="center"/>
    </xf>
    <xf numFmtId="8" fontId="5" fillId="2" borderId="0" xfId="0" applyNumberFormat="1" applyFont="1" applyFill="1" applyAlignment="1">
      <alignment horizontal="center"/>
    </xf>
    <xf numFmtId="4" fontId="0" fillId="0" borderId="0" xfId="0" applyNumberFormat="1"/>
    <xf numFmtId="10" fontId="0" fillId="0" borderId="0" xfId="0" applyNumberFormat="1" applyAlignment="1">
      <alignment horizontal="center"/>
    </xf>
    <xf numFmtId="0" fontId="6" fillId="0" borderId="0" xfId="0" applyFont="1" applyFill="1"/>
    <xf numFmtId="0" fontId="9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0" fillId="2" borderId="0" xfId="0" applyFont="1" applyFill="1" applyAlignment="1">
      <alignment horizontal="right"/>
    </xf>
    <xf numFmtId="0" fontId="10" fillId="0" borderId="0" xfId="0" applyFont="1" applyFill="1" applyAlignment="1">
      <alignment horizontal="right"/>
    </xf>
    <xf numFmtId="0" fontId="6" fillId="0" borderId="0" xfId="0" applyFont="1" applyFill="1" applyAlignment="1">
      <alignment horizontal="center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9070-5B40-C242-A43E-D2D33EFFD716}">
  <dimension ref="A1:O119"/>
  <sheetViews>
    <sheetView topLeftCell="A59" workbookViewId="0">
      <selection activeCell="I9" sqref="I9"/>
    </sheetView>
  </sheetViews>
  <sheetFormatPr baseColWidth="10" defaultRowHeight="16" x14ac:dyDescent="0.2"/>
  <cols>
    <col min="2" max="2" width="20.5" customWidth="1"/>
    <col min="4" max="4" width="38" customWidth="1"/>
    <col min="5" max="5" width="51.83203125" customWidth="1"/>
    <col min="6" max="6" width="26.33203125" customWidth="1"/>
    <col min="7" max="7" width="17.1640625" customWidth="1"/>
  </cols>
  <sheetData>
    <row r="1" spans="1:12" x14ac:dyDescent="0.2">
      <c r="A1" s="1" t="s">
        <v>175</v>
      </c>
      <c r="B1" s="1"/>
      <c r="C1" s="1"/>
      <c r="D1" s="1"/>
      <c r="E1" s="2"/>
      <c r="F1" s="2"/>
      <c r="G1" s="2"/>
      <c r="H1" s="2"/>
      <c r="I1" s="1"/>
    </row>
    <row r="2" spans="1:12" x14ac:dyDescent="0.2">
      <c r="A2" s="1" t="s">
        <v>0</v>
      </c>
      <c r="B2" s="1"/>
      <c r="C2" s="1"/>
      <c r="D2" s="1"/>
      <c r="E2" s="4"/>
      <c r="F2" s="4"/>
      <c r="G2" s="2"/>
      <c r="H2" s="2"/>
      <c r="I2" s="3"/>
    </row>
    <row r="3" spans="1:12" x14ac:dyDescent="0.2">
      <c r="A3" s="1" t="s">
        <v>1</v>
      </c>
      <c r="B3" s="1"/>
      <c r="C3" s="1"/>
      <c r="D3" s="1"/>
      <c r="E3" s="4"/>
      <c r="F3" s="4"/>
      <c r="G3" s="4"/>
      <c r="H3" s="4"/>
      <c r="I3" s="1"/>
    </row>
    <row r="4" spans="1:12" x14ac:dyDescent="0.2">
      <c r="A4" s="5" t="s">
        <v>2</v>
      </c>
      <c r="B4" s="5"/>
      <c r="C4" s="5"/>
      <c r="D4" s="5"/>
      <c r="E4" s="2"/>
      <c r="F4" s="2"/>
      <c r="G4" s="2"/>
      <c r="H4" s="2"/>
      <c r="I4" s="5"/>
      <c r="J4" s="21"/>
    </row>
    <row r="5" spans="1:12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</row>
    <row r="6" spans="1:12" x14ac:dyDescent="0.2">
      <c r="A6" s="7">
        <v>7205</v>
      </c>
      <c r="B6" s="8" t="s">
        <v>9</v>
      </c>
      <c r="C6" s="8">
        <v>7205</v>
      </c>
      <c r="D6" s="9" t="s">
        <v>183</v>
      </c>
      <c r="E6" s="2" t="s">
        <v>10</v>
      </c>
      <c r="F6" s="2">
        <v>53247</v>
      </c>
      <c r="G6" s="2"/>
      <c r="H6" s="2"/>
      <c r="I6" s="2"/>
      <c r="J6" s="2"/>
    </row>
    <row r="7" spans="1:12" x14ac:dyDescent="0.2">
      <c r="A7" s="7">
        <v>7205</v>
      </c>
      <c r="B7" s="8" t="s">
        <v>9</v>
      </c>
      <c r="C7" s="8">
        <v>7205</v>
      </c>
      <c r="D7" s="9" t="s">
        <v>183</v>
      </c>
      <c r="E7" s="2" t="s">
        <v>11</v>
      </c>
      <c r="F7" s="2">
        <v>45388</v>
      </c>
      <c r="G7" s="2"/>
      <c r="H7" s="2"/>
      <c r="I7" s="2"/>
      <c r="J7" s="2"/>
    </row>
    <row r="8" spans="1:12" x14ac:dyDescent="0.2">
      <c r="A8" s="7">
        <v>7205</v>
      </c>
      <c r="B8" s="8" t="s">
        <v>9</v>
      </c>
      <c r="C8" s="8">
        <v>7205</v>
      </c>
      <c r="D8" s="9" t="s">
        <v>183</v>
      </c>
      <c r="E8" s="2" t="s">
        <v>14</v>
      </c>
      <c r="F8" s="2">
        <v>43111</v>
      </c>
      <c r="G8" s="2"/>
      <c r="H8" s="2"/>
      <c r="I8" s="2"/>
      <c r="J8" s="2"/>
    </row>
    <row r="9" spans="1:12" x14ac:dyDescent="0.2">
      <c r="A9" s="7">
        <v>7205</v>
      </c>
      <c r="B9" s="8" t="s">
        <v>9</v>
      </c>
      <c r="C9" s="8">
        <v>7205</v>
      </c>
      <c r="D9" s="9" t="s">
        <v>183</v>
      </c>
      <c r="E9" s="2" t="s">
        <v>12</v>
      </c>
      <c r="F9" s="2">
        <v>40499</v>
      </c>
      <c r="G9" s="2"/>
      <c r="H9" s="2"/>
      <c r="I9" s="2"/>
      <c r="J9" s="2"/>
      <c r="K9" s="2"/>
    </row>
    <row r="10" spans="1:12" x14ac:dyDescent="0.2">
      <c r="A10" s="7">
        <v>7205</v>
      </c>
      <c r="B10" s="8" t="s">
        <v>9</v>
      </c>
      <c r="C10" s="8">
        <v>7205</v>
      </c>
      <c r="D10" s="9" t="s">
        <v>183</v>
      </c>
      <c r="E10" s="2" t="s">
        <v>13</v>
      </c>
      <c r="F10" s="2">
        <v>35914</v>
      </c>
      <c r="G10" s="2"/>
      <c r="H10" s="2"/>
      <c r="I10" s="2"/>
      <c r="J10" s="2"/>
      <c r="L10" s="2"/>
    </row>
    <row r="11" spans="1:12" x14ac:dyDescent="0.2">
      <c r="A11" s="7">
        <v>7205</v>
      </c>
      <c r="B11" s="8" t="s">
        <v>9</v>
      </c>
      <c r="C11" s="8">
        <v>7205</v>
      </c>
      <c r="D11" s="9" t="s">
        <v>183</v>
      </c>
      <c r="E11" s="2" t="s">
        <v>16</v>
      </c>
      <c r="F11" s="2">
        <v>27483</v>
      </c>
      <c r="G11" s="2"/>
      <c r="H11" s="2"/>
      <c r="I11" s="2"/>
      <c r="J11" s="2"/>
    </row>
    <row r="12" spans="1:12" x14ac:dyDescent="0.2">
      <c r="A12" s="7">
        <v>7205</v>
      </c>
      <c r="B12" s="8" t="s">
        <v>9</v>
      </c>
      <c r="C12" s="8">
        <v>7205</v>
      </c>
      <c r="D12" s="9" t="s">
        <v>183</v>
      </c>
      <c r="E12" s="2" t="s">
        <v>15</v>
      </c>
      <c r="F12" s="2">
        <v>25300</v>
      </c>
      <c r="G12" s="2"/>
      <c r="H12" s="2"/>
      <c r="I12" s="2"/>
      <c r="J12" s="2"/>
    </row>
    <row r="13" spans="1:12" x14ac:dyDescent="0.2">
      <c r="A13" s="7">
        <v>7205</v>
      </c>
      <c r="B13" s="8" t="s">
        <v>9</v>
      </c>
      <c r="C13" s="8">
        <v>7205</v>
      </c>
      <c r="D13" s="9" t="s">
        <v>183</v>
      </c>
      <c r="E13" s="2" t="s">
        <v>17</v>
      </c>
      <c r="F13" s="2">
        <v>22241</v>
      </c>
      <c r="G13" s="2"/>
      <c r="H13" s="2"/>
      <c r="I13" s="2"/>
      <c r="J13" s="2"/>
      <c r="K13" s="2"/>
    </row>
    <row r="14" spans="1:12" x14ac:dyDescent="0.2">
      <c r="A14" s="7">
        <v>7205</v>
      </c>
      <c r="B14" s="8" t="s">
        <v>9</v>
      </c>
      <c r="C14" s="8">
        <v>7205</v>
      </c>
      <c r="D14" s="9" t="s">
        <v>183</v>
      </c>
      <c r="E14" s="2" t="s">
        <v>19</v>
      </c>
      <c r="F14" s="2">
        <v>11789</v>
      </c>
      <c r="G14" s="2"/>
      <c r="H14" s="2"/>
      <c r="I14" s="2"/>
      <c r="J14" s="2"/>
    </row>
    <row r="15" spans="1:12" x14ac:dyDescent="0.2">
      <c r="A15" s="7">
        <v>7205</v>
      </c>
      <c r="B15" s="8" t="s">
        <v>9</v>
      </c>
      <c r="C15" s="8">
        <v>7205</v>
      </c>
      <c r="D15" s="9" t="s">
        <v>183</v>
      </c>
      <c r="E15" s="2" t="s">
        <v>20</v>
      </c>
      <c r="F15" s="2">
        <v>11010</v>
      </c>
      <c r="G15" s="2"/>
      <c r="H15" s="2"/>
      <c r="I15" s="2"/>
      <c r="J15" s="2"/>
    </row>
    <row r="16" spans="1:12" x14ac:dyDescent="0.2">
      <c r="A16" s="7">
        <v>7205</v>
      </c>
      <c r="B16" s="8" t="s">
        <v>9</v>
      </c>
      <c r="C16" s="8">
        <v>7205</v>
      </c>
      <c r="D16" s="9" t="s">
        <v>183</v>
      </c>
      <c r="E16" s="2" t="s">
        <v>18</v>
      </c>
      <c r="F16" s="2">
        <v>10143</v>
      </c>
      <c r="G16" s="2"/>
      <c r="H16" s="2"/>
      <c r="I16" s="2"/>
      <c r="J16" s="2"/>
    </row>
    <row r="17" spans="1:15" x14ac:dyDescent="0.2">
      <c r="A17" s="7">
        <v>7205</v>
      </c>
      <c r="B17" s="8" t="s">
        <v>9</v>
      </c>
      <c r="C17" s="8">
        <v>7205</v>
      </c>
      <c r="D17" s="9" t="s">
        <v>183</v>
      </c>
      <c r="E17" s="2" t="s">
        <v>21</v>
      </c>
      <c r="F17" s="2">
        <v>7016</v>
      </c>
      <c r="G17" s="2"/>
      <c r="H17" s="2"/>
      <c r="I17" s="2"/>
      <c r="J17" s="2"/>
    </row>
    <row r="18" spans="1:15" x14ac:dyDescent="0.2">
      <c r="A18" s="7">
        <v>7205</v>
      </c>
      <c r="B18" s="8" t="s">
        <v>9</v>
      </c>
      <c r="C18" s="8">
        <v>7205</v>
      </c>
      <c r="D18" s="9" t="s">
        <v>183</v>
      </c>
      <c r="E18" s="2" t="s">
        <v>22</v>
      </c>
      <c r="F18" s="2">
        <v>5266</v>
      </c>
      <c r="G18" s="2"/>
      <c r="H18" s="2"/>
      <c r="I18" s="2"/>
      <c r="J18" s="2"/>
    </row>
    <row r="19" spans="1:15" x14ac:dyDescent="0.2">
      <c r="A19" s="7">
        <v>7205</v>
      </c>
      <c r="B19" s="8" t="s">
        <v>9</v>
      </c>
      <c r="C19" s="8">
        <v>7205</v>
      </c>
      <c r="D19" s="9" t="s">
        <v>183</v>
      </c>
      <c r="E19" s="2" t="s">
        <v>23</v>
      </c>
      <c r="F19" s="2">
        <v>4213</v>
      </c>
      <c r="G19" s="2"/>
      <c r="H19" s="2"/>
      <c r="I19" s="2"/>
      <c r="J19" s="2"/>
      <c r="K19" s="2"/>
    </row>
    <row r="20" spans="1:15" x14ac:dyDescent="0.2">
      <c r="A20" s="7">
        <v>7205</v>
      </c>
      <c r="B20" s="8" t="s">
        <v>9</v>
      </c>
      <c r="C20" s="8">
        <v>7205</v>
      </c>
      <c r="D20" s="9" t="s">
        <v>183</v>
      </c>
      <c r="E20" s="2" t="s">
        <v>24</v>
      </c>
      <c r="F20" s="2">
        <v>1561</v>
      </c>
      <c r="G20" s="2"/>
      <c r="H20" s="2"/>
      <c r="I20" s="2"/>
      <c r="J20" s="2"/>
    </row>
    <row r="21" spans="1:15" x14ac:dyDescent="0.2">
      <c r="A21" s="7">
        <v>7205</v>
      </c>
      <c r="B21" s="8" t="s">
        <v>9</v>
      </c>
      <c r="C21" s="8">
        <v>7205</v>
      </c>
      <c r="D21" s="9" t="s">
        <v>183</v>
      </c>
      <c r="E21" s="2" t="s">
        <v>25</v>
      </c>
      <c r="F21" s="2">
        <v>1435</v>
      </c>
      <c r="G21" s="2"/>
      <c r="H21" s="2"/>
      <c r="I21" s="2"/>
      <c r="J21" s="2"/>
    </row>
    <row r="22" spans="1:15" x14ac:dyDescent="0.2">
      <c r="A22" s="7">
        <v>7205</v>
      </c>
      <c r="B22" s="8" t="s">
        <v>9</v>
      </c>
      <c r="C22" s="8">
        <v>7205</v>
      </c>
      <c r="D22" s="9" t="s">
        <v>183</v>
      </c>
      <c r="E22" s="2" t="s">
        <v>27</v>
      </c>
      <c r="F22" s="2">
        <v>1252</v>
      </c>
      <c r="G22" s="2"/>
      <c r="H22" s="2"/>
      <c r="I22" s="2"/>
      <c r="J22" s="2"/>
      <c r="O22" s="2"/>
    </row>
    <row r="23" spans="1:15" x14ac:dyDescent="0.2">
      <c r="A23" s="7">
        <v>7205</v>
      </c>
      <c r="B23" s="8" t="s">
        <v>9</v>
      </c>
      <c r="C23" s="8">
        <v>7205</v>
      </c>
      <c r="D23" s="9" t="s">
        <v>183</v>
      </c>
      <c r="E23" s="2" t="s">
        <v>26</v>
      </c>
      <c r="F23" s="2">
        <v>1174</v>
      </c>
      <c r="G23" s="2"/>
      <c r="H23" s="2"/>
      <c r="I23" s="2"/>
      <c r="J23" s="2"/>
    </row>
    <row r="24" spans="1:15" x14ac:dyDescent="0.2">
      <c r="A24" s="7">
        <v>7205</v>
      </c>
      <c r="B24" s="8" t="s">
        <v>9</v>
      </c>
      <c r="C24" s="8">
        <v>7205</v>
      </c>
      <c r="D24" s="9" t="s">
        <v>183</v>
      </c>
      <c r="E24" s="9" t="s">
        <v>28</v>
      </c>
      <c r="F24" s="9">
        <v>1101</v>
      </c>
      <c r="G24" s="2"/>
      <c r="H24" s="9"/>
      <c r="I24" s="2"/>
      <c r="J24" s="2"/>
    </row>
    <row r="25" spans="1:15" x14ac:dyDescent="0.2">
      <c r="A25" s="7">
        <v>7205</v>
      </c>
      <c r="B25" s="8" t="s">
        <v>9</v>
      </c>
      <c r="C25" s="8">
        <v>7205</v>
      </c>
      <c r="D25" s="9" t="s">
        <v>183</v>
      </c>
      <c r="E25" s="2" t="s">
        <v>29</v>
      </c>
      <c r="F25" s="2">
        <v>854</v>
      </c>
      <c r="G25" s="2"/>
      <c r="H25" s="2"/>
      <c r="I25" s="2"/>
      <c r="J25" s="2"/>
      <c r="O25" s="2"/>
    </row>
    <row r="26" spans="1:15" x14ac:dyDescent="0.2">
      <c r="A26" s="7">
        <v>7205</v>
      </c>
      <c r="B26" s="8" t="s">
        <v>9</v>
      </c>
      <c r="C26" s="8">
        <v>7205</v>
      </c>
      <c r="D26" s="9" t="s">
        <v>183</v>
      </c>
      <c r="E26" s="2" t="s">
        <v>30</v>
      </c>
      <c r="F26" s="2">
        <v>10</v>
      </c>
      <c r="G26" s="2"/>
      <c r="H26" s="2"/>
      <c r="I26" s="2"/>
      <c r="J26" s="2"/>
    </row>
    <row r="27" spans="1:15" x14ac:dyDescent="0.2">
      <c r="A27" s="10" t="s">
        <v>31</v>
      </c>
      <c r="B27" s="25"/>
      <c r="F27" s="10">
        <f>SUM(F6:F26)</f>
        <v>350007</v>
      </c>
      <c r="G27" s="24"/>
    </row>
    <row r="31" spans="1:15" x14ac:dyDescent="0.2">
      <c r="A31" s="1" t="s">
        <v>175</v>
      </c>
      <c r="B31" s="1"/>
      <c r="C31" s="1"/>
      <c r="D31" s="1"/>
      <c r="E31" s="4"/>
      <c r="F31" s="4"/>
      <c r="G31" s="2"/>
    </row>
    <row r="32" spans="1:15" x14ac:dyDescent="0.2">
      <c r="A32" s="1" t="s">
        <v>0</v>
      </c>
      <c r="B32" s="1"/>
      <c r="C32" s="1"/>
      <c r="D32" s="1"/>
      <c r="E32" s="4"/>
      <c r="F32" s="4"/>
      <c r="G32" s="2"/>
    </row>
    <row r="33" spans="1:9" x14ac:dyDescent="0.2">
      <c r="A33" s="1" t="s">
        <v>32</v>
      </c>
      <c r="B33" s="1"/>
      <c r="C33" s="1"/>
      <c r="D33" s="1"/>
      <c r="E33" s="4"/>
      <c r="F33" s="4"/>
      <c r="G33" s="2"/>
    </row>
    <row r="34" spans="1:9" x14ac:dyDescent="0.2">
      <c r="A34" s="5" t="s">
        <v>2</v>
      </c>
      <c r="B34" s="5"/>
      <c r="C34" s="5"/>
      <c r="D34" s="5"/>
      <c r="E34" s="2"/>
      <c r="F34" s="2"/>
      <c r="G34" s="2"/>
    </row>
    <row r="35" spans="1:9" x14ac:dyDescent="0.2">
      <c r="A35" s="5" t="s">
        <v>3</v>
      </c>
      <c r="B35" s="5" t="s">
        <v>4</v>
      </c>
      <c r="C35" s="5" t="s">
        <v>5</v>
      </c>
      <c r="D35" s="5" t="s">
        <v>6</v>
      </c>
      <c r="E35" s="5" t="s">
        <v>7</v>
      </c>
      <c r="F35" s="6" t="s">
        <v>8</v>
      </c>
      <c r="G35" s="6"/>
    </row>
    <row r="36" spans="1:9" x14ac:dyDescent="0.2">
      <c r="A36" s="11">
        <v>7206</v>
      </c>
      <c r="B36" s="9" t="s">
        <v>33</v>
      </c>
      <c r="C36" s="9">
        <v>7206</v>
      </c>
      <c r="D36" s="9" t="s">
        <v>227</v>
      </c>
      <c r="E36" s="2" t="s">
        <v>34</v>
      </c>
      <c r="F36" s="2">
        <v>36555</v>
      </c>
      <c r="G36" s="2"/>
    </row>
    <row r="37" spans="1:9" x14ac:dyDescent="0.2">
      <c r="A37" s="11">
        <v>7206</v>
      </c>
      <c r="B37" s="9" t="s">
        <v>33</v>
      </c>
      <c r="C37" s="9">
        <v>7206</v>
      </c>
      <c r="D37" s="9" t="s">
        <v>227</v>
      </c>
      <c r="E37" s="2" t="s">
        <v>35</v>
      </c>
      <c r="F37" s="2">
        <v>35479</v>
      </c>
      <c r="G37" s="2"/>
      <c r="I37" s="21"/>
    </row>
    <row r="38" spans="1:9" x14ac:dyDescent="0.2">
      <c r="A38" s="11">
        <v>7206</v>
      </c>
      <c r="B38" s="9" t="s">
        <v>33</v>
      </c>
      <c r="C38" s="9">
        <v>7206</v>
      </c>
      <c r="D38" s="9" t="s">
        <v>227</v>
      </c>
      <c r="E38" s="2" t="s">
        <v>36</v>
      </c>
      <c r="F38" s="2">
        <v>32389</v>
      </c>
      <c r="G38" s="9"/>
    </row>
    <row r="39" spans="1:9" x14ac:dyDescent="0.2">
      <c r="A39" s="11">
        <v>7206</v>
      </c>
      <c r="B39" s="9" t="s">
        <v>33</v>
      </c>
      <c r="C39" s="9">
        <v>7206</v>
      </c>
      <c r="D39" s="9" t="s">
        <v>227</v>
      </c>
      <c r="E39" s="2" t="s">
        <v>38</v>
      </c>
      <c r="F39" s="2">
        <v>30829</v>
      </c>
      <c r="G39" s="9"/>
    </row>
    <row r="40" spans="1:9" x14ac:dyDescent="0.2">
      <c r="A40" s="11">
        <v>7206</v>
      </c>
      <c r="B40" s="9" t="s">
        <v>33</v>
      </c>
      <c r="C40" s="9">
        <v>7206</v>
      </c>
      <c r="D40" s="9" t="s">
        <v>227</v>
      </c>
      <c r="E40" s="2" t="s">
        <v>37</v>
      </c>
      <c r="F40" s="2">
        <v>29135</v>
      </c>
      <c r="G40" s="2"/>
    </row>
    <row r="41" spans="1:9" x14ac:dyDescent="0.2">
      <c r="A41" s="11">
        <v>7206</v>
      </c>
      <c r="B41" s="9" t="s">
        <v>33</v>
      </c>
      <c r="C41" s="9">
        <v>7206</v>
      </c>
      <c r="D41" s="9" t="s">
        <v>227</v>
      </c>
      <c r="E41" s="2" t="s">
        <v>41</v>
      </c>
      <c r="F41" s="2">
        <v>26604</v>
      </c>
      <c r="G41" s="9"/>
    </row>
    <row r="42" spans="1:9" x14ac:dyDescent="0.2">
      <c r="A42" s="11">
        <v>7206</v>
      </c>
      <c r="B42" s="9" t="s">
        <v>33</v>
      </c>
      <c r="C42" s="9">
        <v>7206</v>
      </c>
      <c r="D42" s="9" t="s">
        <v>227</v>
      </c>
      <c r="E42" s="2" t="s">
        <v>39</v>
      </c>
      <c r="F42" s="2">
        <v>26062</v>
      </c>
      <c r="G42" s="9"/>
    </row>
    <row r="43" spans="1:9" x14ac:dyDescent="0.2">
      <c r="A43" s="11">
        <v>7206</v>
      </c>
      <c r="B43" s="9" t="s">
        <v>33</v>
      </c>
      <c r="C43" s="9">
        <v>7206</v>
      </c>
      <c r="D43" s="9" t="s">
        <v>227</v>
      </c>
      <c r="E43" s="2" t="s">
        <v>40</v>
      </c>
      <c r="F43" s="2">
        <v>25774</v>
      </c>
      <c r="G43" s="2"/>
    </row>
    <row r="44" spans="1:9" x14ac:dyDescent="0.2">
      <c r="A44" s="11">
        <v>7206</v>
      </c>
      <c r="B44" s="9" t="s">
        <v>33</v>
      </c>
      <c r="C44" s="9">
        <v>7206</v>
      </c>
      <c r="D44" s="9" t="s">
        <v>227</v>
      </c>
      <c r="E44" s="2" t="s">
        <v>43</v>
      </c>
      <c r="F44" s="2">
        <v>25141</v>
      </c>
      <c r="G44" s="9"/>
    </row>
    <row r="45" spans="1:9" x14ac:dyDescent="0.2">
      <c r="A45" s="11">
        <v>7206</v>
      </c>
      <c r="B45" s="9" t="s">
        <v>33</v>
      </c>
      <c r="C45" s="9">
        <v>7206</v>
      </c>
      <c r="D45" s="9" t="s">
        <v>227</v>
      </c>
      <c r="E45" s="2" t="s">
        <v>42</v>
      </c>
      <c r="F45" s="2">
        <v>24795</v>
      </c>
      <c r="G45" s="9"/>
    </row>
    <row r="46" spans="1:9" x14ac:dyDescent="0.2">
      <c r="A46" s="11">
        <v>7206</v>
      </c>
      <c r="B46" s="9" t="s">
        <v>33</v>
      </c>
      <c r="C46" s="9">
        <v>7206</v>
      </c>
      <c r="D46" s="9" t="s">
        <v>227</v>
      </c>
      <c r="E46" s="2" t="s">
        <v>45</v>
      </c>
      <c r="F46" s="2">
        <v>22483</v>
      </c>
      <c r="G46" s="9"/>
    </row>
    <row r="47" spans="1:9" x14ac:dyDescent="0.2">
      <c r="A47" s="11">
        <v>7206</v>
      </c>
      <c r="B47" s="9" t="s">
        <v>33</v>
      </c>
      <c r="C47" s="9">
        <v>7206</v>
      </c>
      <c r="D47" s="9" t="s">
        <v>227</v>
      </c>
      <c r="E47" s="2" t="s">
        <v>46</v>
      </c>
      <c r="F47" s="2">
        <v>21267</v>
      </c>
      <c r="G47" s="9"/>
    </row>
    <row r="48" spans="1:9" x14ac:dyDescent="0.2">
      <c r="A48" s="11">
        <v>7206</v>
      </c>
      <c r="B48" s="9" t="s">
        <v>33</v>
      </c>
      <c r="C48" s="9">
        <v>7206</v>
      </c>
      <c r="D48" s="9" t="s">
        <v>227</v>
      </c>
      <c r="E48" s="2" t="s">
        <v>44</v>
      </c>
      <c r="F48" s="2">
        <v>20827</v>
      </c>
      <c r="G48" s="9"/>
    </row>
    <row r="49" spans="1:7" x14ac:dyDescent="0.2">
      <c r="A49" s="11">
        <v>7206</v>
      </c>
      <c r="B49" s="9" t="s">
        <v>33</v>
      </c>
      <c r="C49" s="9">
        <v>7206</v>
      </c>
      <c r="D49" s="9" t="s">
        <v>227</v>
      </c>
      <c r="E49" s="2" t="s">
        <v>47</v>
      </c>
      <c r="F49" s="2">
        <v>20351</v>
      </c>
      <c r="G49" s="9"/>
    </row>
    <row r="50" spans="1:7" x14ac:dyDescent="0.2">
      <c r="A50" s="11">
        <v>7206</v>
      </c>
      <c r="B50" s="9" t="s">
        <v>33</v>
      </c>
      <c r="C50" s="9">
        <v>7206</v>
      </c>
      <c r="D50" s="9" t="s">
        <v>227</v>
      </c>
      <c r="E50" s="2" t="s">
        <v>48</v>
      </c>
      <c r="F50" s="2">
        <v>18760</v>
      </c>
      <c r="G50" s="9"/>
    </row>
    <row r="51" spans="1:7" x14ac:dyDescent="0.2">
      <c r="A51" s="11">
        <v>7206</v>
      </c>
      <c r="B51" s="9" t="s">
        <v>33</v>
      </c>
      <c r="C51" s="9">
        <v>7206</v>
      </c>
      <c r="D51" s="9" t="s">
        <v>227</v>
      </c>
      <c r="E51" s="2" t="s">
        <v>49</v>
      </c>
      <c r="F51" s="2">
        <v>18429</v>
      </c>
      <c r="G51" s="9"/>
    </row>
    <row r="52" spans="1:7" x14ac:dyDescent="0.2">
      <c r="A52" s="11">
        <v>7206</v>
      </c>
      <c r="B52" s="9" t="s">
        <v>33</v>
      </c>
      <c r="C52" s="9">
        <v>7206</v>
      </c>
      <c r="D52" s="9" t="s">
        <v>227</v>
      </c>
      <c r="E52" s="2" t="s">
        <v>51</v>
      </c>
      <c r="F52" s="2">
        <v>16720</v>
      </c>
      <c r="G52" s="9"/>
    </row>
    <row r="53" spans="1:7" x14ac:dyDescent="0.2">
      <c r="A53" s="11">
        <v>7206</v>
      </c>
      <c r="B53" s="9" t="s">
        <v>33</v>
      </c>
      <c r="C53" s="9">
        <v>7206</v>
      </c>
      <c r="D53" s="9" t="s">
        <v>227</v>
      </c>
      <c r="E53" s="2" t="s">
        <v>50</v>
      </c>
      <c r="F53" s="2">
        <v>15382</v>
      </c>
      <c r="G53" s="9"/>
    </row>
    <row r="54" spans="1:7" x14ac:dyDescent="0.2">
      <c r="A54" s="11">
        <v>7206</v>
      </c>
      <c r="B54" s="9" t="s">
        <v>33</v>
      </c>
      <c r="C54" s="9">
        <v>7206</v>
      </c>
      <c r="D54" s="9" t="s">
        <v>227</v>
      </c>
      <c r="E54" s="2" t="s">
        <v>52</v>
      </c>
      <c r="F54" s="2">
        <v>14145</v>
      </c>
      <c r="G54" s="9"/>
    </row>
    <row r="55" spans="1:7" x14ac:dyDescent="0.2">
      <c r="A55" s="11">
        <v>7206</v>
      </c>
      <c r="B55" s="9" t="s">
        <v>33</v>
      </c>
      <c r="C55" s="9">
        <v>7206</v>
      </c>
      <c r="D55" s="9" t="s">
        <v>227</v>
      </c>
      <c r="E55" s="2" t="s">
        <v>53</v>
      </c>
      <c r="F55" s="2">
        <v>13462</v>
      </c>
      <c r="G55" s="9"/>
    </row>
    <row r="56" spans="1:7" x14ac:dyDescent="0.2">
      <c r="A56" s="11">
        <v>7206</v>
      </c>
      <c r="B56" s="9" t="s">
        <v>33</v>
      </c>
      <c r="C56" s="9">
        <v>7206</v>
      </c>
      <c r="D56" s="9" t="s">
        <v>227</v>
      </c>
      <c r="E56" s="2" t="s">
        <v>55</v>
      </c>
      <c r="F56" s="2">
        <v>12677</v>
      </c>
      <c r="G56" s="9"/>
    </row>
    <row r="57" spans="1:7" x14ac:dyDescent="0.2">
      <c r="A57" s="11">
        <v>7206</v>
      </c>
      <c r="B57" s="9" t="s">
        <v>33</v>
      </c>
      <c r="C57" s="9">
        <v>7206</v>
      </c>
      <c r="D57" s="9" t="s">
        <v>227</v>
      </c>
      <c r="E57" s="2" t="s">
        <v>54</v>
      </c>
      <c r="F57" s="2">
        <v>12414</v>
      </c>
      <c r="G57" s="9"/>
    </row>
    <row r="58" spans="1:7" x14ac:dyDescent="0.2">
      <c r="A58" s="11">
        <v>7206</v>
      </c>
      <c r="B58" s="9" t="s">
        <v>33</v>
      </c>
      <c r="C58" s="9">
        <v>7206</v>
      </c>
      <c r="D58" s="9" t="s">
        <v>227</v>
      </c>
      <c r="E58" s="2" t="s">
        <v>59</v>
      </c>
      <c r="F58" s="2">
        <v>12287</v>
      </c>
      <c r="G58" s="9"/>
    </row>
    <row r="59" spans="1:7" x14ac:dyDescent="0.2">
      <c r="A59" s="11">
        <v>7206</v>
      </c>
      <c r="B59" s="9" t="s">
        <v>33</v>
      </c>
      <c r="C59" s="9">
        <v>7206</v>
      </c>
      <c r="D59" s="9" t="s">
        <v>227</v>
      </c>
      <c r="E59" s="2" t="s">
        <v>57</v>
      </c>
      <c r="F59" s="2">
        <v>12025</v>
      </c>
      <c r="G59" s="9"/>
    </row>
    <row r="60" spans="1:7" x14ac:dyDescent="0.2">
      <c r="A60" s="11">
        <v>7206</v>
      </c>
      <c r="B60" s="9" t="s">
        <v>33</v>
      </c>
      <c r="C60" s="9">
        <v>7206</v>
      </c>
      <c r="D60" s="9" t="s">
        <v>227</v>
      </c>
      <c r="E60" s="2" t="s">
        <v>56</v>
      </c>
      <c r="F60" s="2">
        <v>11984</v>
      </c>
      <c r="G60" s="9"/>
    </row>
    <row r="61" spans="1:7" x14ac:dyDescent="0.2">
      <c r="A61" s="11">
        <v>7206</v>
      </c>
      <c r="B61" s="9" t="s">
        <v>33</v>
      </c>
      <c r="C61" s="9">
        <v>7206</v>
      </c>
      <c r="D61" s="9" t="s">
        <v>227</v>
      </c>
      <c r="E61" s="2" t="s">
        <v>61</v>
      </c>
      <c r="F61" s="2">
        <v>10764</v>
      </c>
      <c r="G61" s="9"/>
    </row>
    <row r="62" spans="1:7" x14ac:dyDescent="0.2">
      <c r="A62" s="11">
        <v>7206</v>
      </c>
      <c r="B62" s="9" t="s">
        <v>33</v>
      </c>
      <c r="C62" s="9">
        <v>7206</v>
      </c>
      <c r="D62" s="9" t="s">
        <v>227</v>
      </c>
      <c r="E62" s="2" t="s">
        <v>58</v>
      </c>
      <c r="F62" s="2">
        <v>9925</v>
      </c>
      <c r="G62" s="9"/>
    </row>
    <row r="63" spans="1:7" x14ac:dyDescent="0.2">
      <c r="A63" s="11">
        <v>7206</v>
      </c>
      <c r="B63" s="9" t="s">
        <v>33</v>
      </c>
      <c r="C63" s="9">
        <v>7206</v>
      </c>
      <c r="D63" s="9" t="s">
        <v>227</v>
      </c>
      <c r="E63" s="2" t="s">
        <v>60</v>
      </c>
      <c r="F63" s="2">
        <v>9016</v>
      </c>
      <c r="G63" s="9"/>
    </row>
    <row r="64" spans="1:7" x14ac:dyDescent="0.2">
      <c r="A64" s="11">
        <v>7206</v>
      </c>
      <c r="B64" s="9" t="s">
        <v>33</v>
      </c>
      <c r="C64" s="9">
        <v>7206</v>
      </c>
      <c r="D64" s="9" t="s">
        <v>227</v>
      </c>
      <c r="E64" s="2" t="s">
        <v>65</v>
      </c>
      <c r="F64" s="2">
        <v>8745</v>
      </c>
      <c r="G64" s="9"/>
    </row>
    <row r="65" spans="1:7" x14ac:dyDescent="0.2">
      <c r="A65" s="11">
        <v>7206</v>
      </c>
      <c r="B65" s="9" t="s">
        <v>33</v>
      </c>
      <c r="C65" s="9">
        <v>7206</v>
      </c>
      <c r="D65" s="9" t="s">
        <v>227</v>
      </c>
      <c r="E65" s="2" t="s">
        <v>62</v>
      </c>
      <c r="F65" s="2">
        <v>8442</v>
      </c>
      <c r="G65" s="9"/>
    </row>
    <row r="66" spans="1:7" x14ac:dyDescent="0.2">
      <c r="A66" s="11">
        <v>7206</v>
      </c>
      <c r="B66" s="9" t="s">
        <v>33</v>
      </c>
      <c r="C66" s="9">
        <v>7206</v>
      </c>
      <c r="D66" s="9" t="s">
        <v>227</v>
      </c>
      <c r="E66" s="2" t="s">
        <v>63</v>
      </c>
      <c r="F66" s="2">
        <v>7371</v>
      </c>
      <c r="G66" s="9"/>
    </row>
    <row r="67" spans="1:7" x14ac:dyDescent="0.2">
      <c r="A67" s="11">
        <v>7206</v>
      </c>
      <c r="B67" s="9" t="s">
        <v>33</v>
      </c>
      <c r="C67" s="9">
        <v>7206</v>
      </c>
      <c r="D67" s="9" t="s">
        <v>227</v>
      </c>
      <c r="E67" s="2" t="s">
        <v>64</v>
      </c>
      <c r="F67" s="2">
        <v>7232</v>
      </c>
      <c r="G67" s="9"/>
    </row>
    <row r="68" spans="1:7" x14ac:dyDescent="0.2">
      <c r="A68" s="11">
        <v>7206</v>
      </c>
      <c r="B68" s="9" t="s">
        <v>33</v>
      </c>
      <c r="C68" s="9">
        <v>7206</v>
      </c>
      <c r="D68" s="9" t="s">
        <v>227</v>
      </c>
      <c r="E68" s="2" t="s">
        <v>66</v>
      </c>
      <c r="F68" s="2">
        <v>6528</v>
      </c>
      <c r="G68" s="9"/>
    </row>
    <row r="69" spans="1:7" x14ac:dyDescent="0.2">
      <c r="A69" s="11">
        <v>7206</v>
      </c>
      <c r="B69" s="9" t="s">
        <v>33</v>
      </c>
      <c r="C69" s="9">
        <v>7206</v>
      </c>
      <c r="D69" s="9" t="s">
        <v>227</v>
      </c>
      <c r="E69" s="2" t="s">
        <v>69</v>
      </c>
      <c r="F69" s="2">
        <v>6314</v>
      </c>
      <c r="G69" s="9"/>
    </row>
    <row r="70" spans="1:7" x14ac:dyDescent="0.2">
      <c r="A70" s="11">
        <v>7206</v>
      </c>
      <c r="B70" s="9" t="s">
        <v>33</v>
      </c>
      <c r="C70" s="9">
        <v>7206</v>
      </c>
      <c r="D70" s="9" t="s">
        <v>227</v>
      </c>
      <c r="E70" s="2" t="s">
        <v>67</v>
      </c>
      <c r="F70" s="2">
        <v>6096</v>
      </c>
      <c r="G70" s="9"/>
    </row>
    <row r="71" spans="1:7" x14ac:dyDescent="0.2">
      <c r="A71" s="11">
        <v>7206</v>
      </c>
      <c r="B71" s="9" t="s">
        <v>33</v>
      </c>
      <c r="C71" s="9">
        <v>7206</v>
      </c>
      <c r="D71" s="9" t="s">
        <v>227</v>
      </c>
      <c r="E71" s="2" t="s">
        <v>70</v>
      </c>
      <c r="F71" s="2">
        <v>5771</v>
      </c>
      <c r="G71" s="9"/>
    </row>
    <row r="72" spans="1:7" x14ac:dyDescent="0.2">
      <c r="A72" s="11">
        <v>7206</v>
      </c>
      <c r="B72" s="9" t="s">
        <v>33</v>
      </c>
      <c r="C72" s="9">
        <v>7206</v>
      </c>
      <c r="D72" s="9" t="s">
        <v>227</v>
      </c>
      <c r="E72" s="2" t="s">
        <v>68</v>
      </c>
      <c r="F72" s="2">
        <v>5475</v>
      </c>
      <c r="G72" s="9"/>
    </row>
    <row r="73" spans="1:7" x14ac:dyDescent="0.2">
      <c r="A73" s="11">
        <v>7206</v>
      </c>
      <c r="B73" s="9" t="s">
        <v>33</v>
      </c>
      <c r="C73" s="9">
        <v>7206</v>
      </c>
      <c r="D73" s="9" t="s">
        <v>227</v>
      </c>
      <c r="E73" s="2" t="s">
        <v>73</v>
      </c>
      <c r="F73" s="2">
        <v>5183</v>
      </c>
      <c r="G73" s="9"/>
    </row>
    <row r="74" spans="1:7" x14ac:dyDescent="0.2">
      <c r="A74" s="11">
        <v>7206</v>
      </c>
      <c r="B74" s="9" t="s">
        <v>33</v>
      </c>
      <c r="C74" s="9">
        <v>7206</v>
      </c>
      <c r="D74" s="9" t="s">
        <v>227</v>
      </c>
      <c r="E74" s="2" t="s">
        <v>80</v>
      </c>
      <c r="F74" s="2">
        <v>3763</v>
      </c>
      <c r="G74" s="9"/>
    </row>
    <row r="75" spans="1:7" x14ac:dyDescent="0.2">
      <c r="A75" s="11">
        <v>7206</v>
      </c>
      <c r="B75" s="9" t="s">
        <v>33</v>
      </c>
      <c r="C75" s="9">
        <v>7206</v>
      </c>
      <c r="D75" s="9" t="s">
        <v>227</v>
      </c>
      <c r="E75" s="2" t="s">
        <v>75</v>
      </c>
      <c r="F75" s="2">
        <v>3692</v>
      </c>
      <c r="G75" s="9"/>
    </row>
    <row r="76" spans="1:7" x14ac:dyDescent="0.2">
      <c r="A76" s="11">
        <v>7206</v>
      </c>
      <c r="B76" s="9" t="s">
        <v>33</v>
      </c>
      <c r="C76" s="9">
        <v>7206</v>
      </c>
      <c r="D76" s="9" t="s">
        <v>227</v>
      </c>
      <c r="E76" s="2" t="s">
        <v>71</v>
      </c>
      <c r="F76" s="2">
        <v>3652</v>
      </c>
      <c r="G76" s="9"/>
    </row>
    <row r="77" spans="1:7" x14ac:dyDescent="0.2">
      <c r="A77" s="11">
        <v>7206</v>
      </c>
      <c r="B77" s="9" t="s">
        <v>33</v>
      </c>
      <c r="C77" s="9">
        <v>7206</v>
      </c>
      <c r="D77" s="9" t="s">
        <v>227</v>
      </c>
      <c r="E77" s="2" t="s">
        <v>74</v>
      </c>
      <c r="F77" s="2">
        <v>3555</v>
      </c>
      <c r="G77" s="9"/>
    </row>
    <row r="78" spans="1:7" x14ac:dyDescent="0.2">
      <c r="A78" s="11">
        <v>7206</v>
      </c>
      <c r="B78" s="9" t="s">
        <v>33</v>
      </c>
      <c r="C78" s="9">
        <v>7206</v>
      </c>
      <c r="D78" s="9" t="s">
        <v>227</v>
      </c>
      <c r="E78" s="2" t="s">
        <v>77</v>
      </c>
      <c r="F78" s="2">
        <v>3523</v>
      </c>
      <c r="G78" s="9"/>
    </row>
    <row r="79" spans="1:7" x14ac:dyDescent="0.2">
      <c r="A79" s="11">
        <v>7206</v>
      </c>
      <c r="B79" s="9" t="s">
        <v>33</v>
      </c>
      <c r="C79" s="9">
        <v>7206</v>
      </c>
      <c r="D79" s="9" t="s">
        <v>227</v>
      </c>
      <c r="E79" s="2" t="s">
        <v>72</v>
      </c>
      <c r="F79" s="2">
        <v>3248</v>
      </c>
      <c r="G79" s="9"/>
    </row>
    <row r="80" spans="1:7" x14ac:dyDescent="0.2">
      <c r="A80" s="11">
        <v>7206</v>
      </c>
      <c r="B80" s="9" t="s">
        <v>33</v>
      </c>
      <c r="C80" s="9">
        <v>7206</v>
      </c>
      <c r="D80" s="9" t="s">
        <v>227</v>
      </c>
      <c r="E80" s="2" t="s">
        <v>76</v>
      </c>
      <c r="F80" s="2">
        <v>3194</v>
      </c>
      <c r="G80" s="9"/>
    </row>
    <row r="81" spans="1:7" x14ac:dyDescent="0.2">
      <c r="A81" s="11">
        <v>7206</v>
      </c>
      <c r="B81" s="9" t="s">
        <v>33</v>
      </c>
      <c r="C81" s="9">
        <v>7206</v>
      </c>
      <c r="D81" s="9" t="s">
        <v>227</v>
      </c>
      <c r="E81" s="2" t="s">
        <v>78</v>
      </c>
      <c r="F81" s="2">
        <v>2438</v>
      </c>
      <c r="G81" s="9"/>
    </row>
    <row r="82" spans="1:7" x14ac:dyDescent="0.2">
      <c r="A82" s="11">
        <v>7206</v>
      </c>
      <c r="B82" s="9" t="s">
        <v>33</v>
      </c>
      <c r="C82" s="9">
        <v>7206</v>
      </c>
      <c r="D82" s="9" t="s">
        <v>227</v>
      </c>
      <c r="E82" s="2" t="s">
        <v>81</v>
      </c>
      <c r="F82" s="2">
        <v>2434</v>
      </c>
      <c r="G82" s="9"/>
    </row>
    <row r="83" spans="1:7" x14ac:dyDescent="0.2">
      <c r="A83" s="11">
        <v>7206</v>
      </c>
      <c r="B83" s="9" t="s">
        <v>33</v>
      </c>
      <c r="C83" s="9">
        <v>7206</v>
      </c>
      <c r="D83" s="9" t="s">
        <v>227</v>
      </c>
      <c r="E83" s="2" t="s">
        <v>79</v>
      </c>
      <c r="F83" s="2">
        <v>1953</v>
      </c>
      <c r="G83" s="9"/>
    </row>
    <row r="84" spans="1:7" x14ac:dyDescent="0.2">
      <c r="A84" s="11">
        <v>7206</v>
      </c>
      <c r="B84" s="9" t="s">
        <v>33</v>
      </c>
      <c r="C84" s="9">
        <v>7206</v>
      </c>
      <c r="D84" s="9" t="s">
        <v>227</v>
      </c>
      <c r="E84" s="2" t="s">
        <v>84</v>
      </c>
      <c r="F84" s="2">
        <v>1489</v>
      </c>
      <c r="G84" s="9"/>
    </row>
    <row r="85" spans="1:7" x14ac:dyDescent="0.2">
      <c r="A85" s="11">
        <v>7206</v>
      </c>
      <c r="B85" s="9" t="s">
        <v>33</v>
      </c>
      <c r="C85" s="9">
        <v>7206</v>
      </c>
      <c r="D85" s="9" t="s">
        <v>227</v>
      </c>
      <c r="E85" s="2" t="s">
        <v>82</v>
      </c>
      <c r="F85" s="2">
        <v>1481</v>
      </c>
      <c r="G85" s="9"/>
    </row>
    <row r="86" spans="1:7" x14ac:dyDescent="0.2">
      <c r="A86" s="11">
        <v>7206</v>
      </c>
      <c r="B86" s="9" t="s">
        <v>33</v>
      </c>
      <c r="C86" s="9">
        <v>7206</v>
      </c>
      <c r="D86" s="9" t="s">
        <v>227</v>
      </c>
      <c r="E86" s="2" t="s">
        <v>85</v>
      </c>
      <c r="F86" s="2">
        <v>1471</v>
      </c>
      <c r="G86" s="9"/>
    </row>
    <row r="87" spans="1:7" x14ac:dyDescent="0.2">
      <c r="A87" s="11">
        <v>7206</v>
      </c>
      <c r="B87" s="9" t="s">
        <v>33</v>
      </c>
      <c r="C87" s="9">
        <v>7206</v>
      </c>
      <c r="D87" s="9" t="s">
        <v>227</v>
      </c>
      <c r="E87" s="2" t="s">
        <v>88</v>
      </c>
      <c r="F87" s="2">
        <v>1434</v>
      </c>
      <c r="G87" s="9"/>
    </row>
    <row r="88" spans="1:7" x14ac:dyDescent="0.2">
      <c r="A88" s="11">
        <v>7206</v>
      </c>
      <c r="B88" s="9" t="s">
        <v>33</v>
      </c>
      <c r="C88" s="9">
        <v>7206</v>
      </c>
      <c r="D88" s="9" t="s">
        <v>227</v>
      </c>
      <c r="E88" s="2" t="s">
        <v>87</v>
      </c>
      <c r="F88" s="2">
        <v>1388</v>
      </c>
      <c r="G88" s="9"/>
    </row>
    <row r="89" spans="1:7" x14ac:dyDescent="0.2">
      <c r="A89" s="11">
        <v>7206</v>
      </c>
      <c r="B89" s="9" t="s">
        <v>33</v>
      </c>
      <c r="C89" s="9">
        <v>7206</v>
      </c>
      <c r="D89" s="9" t="s">
        <v>227</v>
      </c>
      <c r="E89" s="2" t="s">
        <v>83</v>
      </c>
      <c r="F89" s="2">
        <v>1259</v>
      </c>
      <c r="G89" s="9"/>
    </row>
    <row r="90" spans="1:7" x14ac:dyDescent="0.2">
      <c r="A90" s="11">
        <v>7206</v>
      </c>
      <c r="B90" s="9" t="s">
        <v>33</v>
      </c>
      <c r="C90" s="9">
        <v>7206</v>
      </c>
      <c r="D90" s="9" t="s">
        <v>227</v>
      </c>
      <c r="E90" s="2" t="s">
        <v>86</v>
      </c>
      <c r="F90" s="2">
        <v>1246</v>
      </c>
      <c r="G90" s="9"/>
    </row>
    <row r="91" spans="1:7" x14ac:dyDescent="0.2">
      <c r="A91" s="11">
        <v>7206</v>
      </c>
      <c r="B91" s="9" t="s">
        <v>33</v>
      </c>
      <c r="C91" s="9">
        <v>7206</v>
      </c>
      <c r="D91" s="9" t="s">
        <v>227</v>
      </c>
      <c r="E91" s="2" t="s">
        <v>89</v>
      </c>
      <c r="F91" s="2">
        <v>1163</v>
      </c>
      <c r="G91" s="9"/>
    </row>
    <row r="92" spans="1:7" x14ac:dyDescent="0.2">
      <c r="A92" s="11">
        <v>7206</v>
      </c>
      <c r="B92" s="9" t="s">
        <v>33</v>
      </c>
      <c r="C92" s="9">
        <v>7206</v>
      </c>
      <c r="D92" s="9" t="s">
        <v>227</v>
      </c>
      <c r="E92" s="2" t="s">
        <v>90</v>
      </c>
      <c r="F92" s="2">
        <v>1113</v>
      </c>
      <c r="G92" s="9"/>
    </row>
    <row r="93" spans="1:7" x14ac:dyDescent="0.2">
      <c r="A93" s="11">
        <v>7206</v>
      </c>
      <c r="B93" s="9" t="s">
        <v>33</v>
      </c>
      <c r="C93" s="9">
        <v>7206</v>
      </c>
      <c r="D93" s="9" t="s">
        <v>227</v>
      </c>
      <c r="E93" s="2" t="s">
        <v>91</v>
      </c>
      <c r="F93" s="2">
        <v>1015</v>
      </c>
      <c r="G93" s="9"/>
    </row>
    <row r="94" spans="1:7" x14ac:dyDescent="0.2">
      <c r="A94" s="11">
        <v>7206</v>
      </c>
      <c r="B94" s="9" t="s">
        <v>33</v>
      </c>
      <c r="C94" s="9">
        <v>7206</v>
      </c>
      <c r="D94" s="9" t="s">
        <v>227</v>
      </c>
      <c r="E94" s="2" t="s">
        <v>92</v>
      </c>
      <c r="F94" s="2">
        <v>998</v>
      </c>
      <c r="G94" s="9"/>
    </row>
    <row r="95" spans="1:7" x14ac:dyDescent="0.2">
      <c r="A95" s="11">
        <v>7206</v>
      </c>
      <c r="B95" s="9" t="s">
        <v>33</v>
      </c>
      <c r="C95" s="9">
        <v>7206</v>
      </c>
      <c r="D95" s="9" t="s">
        <v>227</v>
      </c>
      <c r="E95" s="2" t="s">
        <v>94</v>
      </c>
      <c r="F95" s="2">
        <v>885</v>
      </c>
      <c r="G95" s="9"/>
    </row>
    <row r="96" spans="1:7" x14ac:dyDescent="0.2">
      <c r="A96" s="11">
        <v>7206</v>
      </c>
      <c r="B96" s="9" t="s">
        <v>33</v>
      </c>
      <c r="C96" s="9">
        <v>7206</v>
      </c>
      <c r="D96" s="9" t="s">
        <v>227</v>
      </c>
      <c r="E96" s="2" t="s">
        <v>93</v>
      </c>
      <c r="F96" s="2">
        <v>880</v>
      </c>
      <c r="G96" s="9"/>
    </row>
    <row r="97" spans="1:9" x14ac:dyDescent="0.2">
      <c r="A97" s="11">
        <v>7206</v>
      </c>
      <c r="B97" s="9" t="s">
        <v>33</v>
      </c>
      <c r="C97" s="9">
        <v>7206</v>
      </c>
      <c r="D97" s="9" t="s">
        <v>227</v>
      </c>
      <c r="E97" s="2" t="s">
        <v>95</v>
      </c>
      <c r="F97" s="2">
        <v>786</v>
      </c>
      <c r="G97" s="9"/>
    </row>
    <row r="98" spans="1:9" x14ac:dyDescent="0.2">
      <c r="A98" s="11">
        <v>7206</v>
      </c>
      <c r="B98" s="9" t="s">
        <v>33</v>
      </c>
      <c r="C98" s="9">
        <v>7206</v>
      </c>
      <c r="D98" s="9" t="s">
        <v>227</v>
      </c>
      <c r="E98" s="2" t="s">
        <v>96</v>
      </c>
      <c r="F98" s="2">
        <v>616</v>
      </c>
      <c r="G98" s="9"/>
    </row>
    <row r="99" spans="1:9" x14ac:dyDescent="0.2">
      <c r="A99" s="11">
        <v>7206</v>
      </c>
      <c r="B99" s="9" t="s">
        <v>33</v>
      </c>
      <c r="C99" s="9">
        <v>7206</v>
      </c>
      <c r="D99" s="9" t="s">
        <v>227</v>
      </c>
      <c r="E99" s="2" t="s">
        <v>97</v>
      </c>
      <c r="F99" s="2">
        <v>589</v>
      </c>
      <c r="G99" s="9"/>
    </row>
    <row r="100" spans="1:9" x14ac:dyDescent="0.2">
      <c r="A100" s="11">
        <v>7206</v>
      </c>
      <c r="B100" s="9" t="s">
        <v>33</v>
      </c>
      <c r="C100" s="9">
        <v>7206</v>
      </c>
      <c r="D100" s="9" t="s">
        <v>227</v>
      </c>
      <c r="E100" s="2" t="s">
        <v>98</v>
      </c>
      <c r="F100" s="2">
        <v>499</v>
      </c>
      <c r="G100" s="9"/>
    </row>
    <row r="101" spans="1:9" x14ac:dyDescent="0.2">
      <c r="A101" s="11">
        <v>7206</v>
      </c>
      <c r="B101" s="9" t="s">
        <v>33</v>
      </c>
      <c r="C101" s="9">
        <v>7206</v>
      </c>
      <c r="D101" s="9" t="s">
        <v>227</v>
      </c>
      <c r="E101" s="2" t="s">
        <v>99</v>
      </c>
      <c r="F101" s="2">
        <v>483</v>
      </c>
      <c r="G101" s="9"/>
    </row>
    <row r="102" spans="1:9" x14ac:dyDescent="0.2">
      <c r="A102" s="11">
        <v>7206</v>
      </c>
      <c r="B102" s="9" t="s">
        <v>33</v>
      </c>
      <c r="C102" s="9">
        <v>7206</v>
      </c>
      <c r="D102" s="9" t="s">
        <v>227</v>
      </c>
      <c r="E102" s="2" t="s">
        <v>100</v>
      </c>
      <c r="F102" s="2">
        <v>456</v>
      </c>
      <c r="G102" s="9"/>
    </row>
    <row r="103" spans="1:9" x14ac:dyDescent="0.2">
      <c r="A103" s="11">
        <v>7206</v>
      </c>
      <c r="B103" s="9" t="s">
        <v>33</v>
      </c>
      <c r="C103" s="9">
        <v>7206</v>
      </c>
      <c r="D103" s="9" t="s">
        <v>227</v>
      </c>
      <c r="E103" s="2" t="s">
        <v>101</v>
      </c>
      <c r="F103" s="2">
        <v>378</v>
      </c>
      <c r="G103" s="9"/>
    </row>
    <row r="104" spans="1:9" x14ac:dyDescent="0.2">
      <c r="A104" s="11">
        <v>7206</v>
      </c>
      <c r="B104" s="9" t="s">
        <v>33</v>
      </c>
      <c r="C104" s="9">
        <v>7206</v>
      </c>
      <c r="D104" s="9" t="s">
        <v>227</v>
      </c>
      <c r="E104" s="2" t="s">
        <v>102</v>
      </c>
      <c r="F104" s="2">
        <v>364</v>
      </c>
      <c r="G104" s="9"/>
    </row>
    <row r="105" spans="1:9" x14ac:dyDescent="0.2">
      <c r="A105" s="11">
        <v>7206</v>
      </c>
      <c r="B105" s="9" t="s">
        <v>33</v>
      </c>
      <c r="C105" s="9">
        <v>7206</v>
      </c>
      <c r="D105" s="9" t="s">
        <v>227</v>
      </c>
      <c r="E105" s="2" t="s">
        <v>114</v>
      </c>
      <c r="F105" s="2">
        <v>332</v>
      </c>
      <c r="G105" s="9"/>
    </row>
    <row r="106" spans="1:9" x14ac:dyDescent="0.2">
      <c r="A106" s="11">
        <v>7206</v>
      </c>
      <c r="B106" s="9" t="s">
        <v>33</v>
      </c>
      <c r="C106" s="9">
        <v>7206</v>
      </c>
      <c r="D106" s="9" t="s">
        <v>227</v>
      </c>
      <c r="E106" s="2" t="s">
        <v>104</v>
      </c>
      <c r="F106" s="2">
        <v>280</v>
      </c>
      <c r="G106" s="9"/>
    </row>
    <row r="107" spans="1:9" x14ac:dyDescent="0.2">
      <c r="A107" s="11">
        <v>7206</v>
      </c>
      <c r="B107" s="9" t="s">
        <v>33</v>
      </c>
      <c r="C107" s="9">
        <v>7206</v>
      </c>
      <c r="D107" s="9" t="s">
        <v>227</v>
      </c>
      <c r="E107" s="2" t="s">
        <v>105</v>
      </c>
      <c r="F107" s="2">
        <v>259</v>
      </c>
      <c r="G107" s="9"/>
    </row>
    <row r="108" spans="1:9" x14ac:dyDescent="0.2">
      <c r="A108" s="11">
        <v>7206</v>
      </c>
      <c r="B108" s="9" t="s">
        <v>33</v>
      </c>
      <c r="C108" s="9">
        <v>7206</v>
      </c>
      <c r="D108" s="9" t="s">
        <v>227</v>
      </c>
      <c r="E108" s="2" t="s">
        <v>106</v>
      </c>
      <c r="F108" s="2">
        <v>229</v>
      </c>
      <c r="G108" s="9"/>
    </row>
    <row r="109" spans="1:9" x14ac:dyDescent="0.2">
      <c r="A109" s="11">
        <v>7206</v>
      </c>
      <c r="B109" s="9" t="s">
        <v>33</v>
      </c>
      <c r="C109" s="9">
        <v>7206</v>
      </c>
      <c r="D109" s="9" t="s">
        <v>227</v>
      </c>
      <c r="E109" s="2" t="s">
        <v>107</v>
      </c>
      <c r="F109" s="2">
        <v>217</v>
      </c>
      <c r="G109" s="9"/>
      <c r="I109" s="2"/>
    </row>
    <row r="110" spans="1:9" x14ac:dyDescent="0.2">
      <c r="A110" s="11">
        <v>7206</v>
      </c>
      <c r="B110" s="9" t="s">
        <v>33</v>
      </c>
      <c r="C110" s="9">
        <v>7206</v>
      </c>
      <c r="D110" s="9" t="s">
        <v>227</v>
      </c>
      <c r="E110" s="2" t="s">
        <v>108</v>
      </c>
      <c r="F110" s="2">
        <v>199</v>
      </c>
      <c r="G110" s="9"/>
    </row>
    <row r="111" spans="1:9" x14ac:dyDescent="0.2">
      <c r="A111" s="11">
        <v>7206</v>
      </c>
      <c r="B111" s="9" t="s">
        <v>33</v>
      </c>
      <c r="C111" s="9">
        <v>7206</v>
      </c>
      <c r="D111" s="9" t="s">
        <v>227</v>
      </c>
      <c r="E111" s="2" t="s">
        <v>109</v>
      </c>
      <c r="F111" s="2">
        <v>169</v>
      </c>
      <c r="G111" s="9"/>
    </row>
    <row r="112" spans="1:9" x14ac:dyDescent="0.2">
      <c r="A112" s="11">
        <v>7206</v>
      </c>
      <c r="B112" s="9" t="s">
        <v>33</v>
      </c>
      <c r="C112" s="9">
        <v>7206</v>
      </c>
      <c r="D112" s="9" t="s">
        <v>227</v>
      </c>
      <c r="E112" s="2" t="s">
        <v>110</v>
      </c>
      <c r="F112" s="2">
        <v>154</v>
      </c>
      <c r="G112" s="9"/>
    </row>
    <row r="113" spans="1:7" x14ac:dyDescent="0.2">
      <c r="A113" s="11">
        <v>7206</v>
      </c>
      <c r="B113" s="9" t="s">
        <v>33</v>
      </c>
      <c r="C113" s="9">
        <v>7206</v>
      </c>
      <c r="D113" s="9" t="s">
        <v>227</v>
      </c>
      <c r="E113" s="2" t="s">
        <v>111</v>
      </c>
      <c r="F113" s="2">
        <v>149</v>
      </c>
      <c r="G113" s="9"/>
    </row>
    <row r="114" spans="1:7" x14ac:dyDescent="0.2">
      <c r="A114" s="11">
        <v>7206</v>
      </c>
      <c r="B114" s="9" t="s">
        <v>33</v>
      </c>
      <c r="C114" s="9">
        <v>7206</v>
      </c>
      <c r="D114" s="9" t="s">
        <v>227</v>
      </c>
      <c r="E114" s="2" t="s">
        <v>112</v>
      </c>
      <c r="F114" s="2">
        <v>133</v>
      </c>
      <c r="G114" s="9"/>
    </row>
    <row r="115" spans="1:7" x14ac:dyDescent="0.2">
      <c r="A115" s="11">
        <v>7206</v>
      </c>
      <c r="B115" s="9" t="s">
        <v>33</v>
      </c>
      <c r="C115" s="9">
        <v>7206</v>
      </c>
      <c r="D115" s="9" t="s">
        <v>227</v>
      </c>
      <c r="E115" s="2" t="s">
        <v>113</v>
      </c>
      <c r="F115" s="2">
        <v>115</v>
      </c>
      <c r="G115" s="9"/>
    </row>
    <row r="116" spans="1:7" x14ac:dyDescent="0.2">
      <c r="A116" s="11">
        <v>7206</v>
      </c>
      <c r="B116" s="9" t="s">
        <v>33</v>
      </c>
      <c r="C116" s="9">
        <v>7206</v>
      </c>
      <c r="D116" s="9" t="s">
        <v>227</v>
      </c>
      <c r="E116" s="2" t="s">
        <v>103</v>
      </c>
      <c r="F116" s="2">
        <v>56</v>
      </c>
      <c r="G116" s="9"/>
    </row>
    <row r="117" spans="1:7" x14ac:dyDescent="0.2">
      <c r="A117" s="10" t="s">
        <v>31</v>
      </c>
      <c r="F117" s="10">
        <f>SUM(F36:F116)</f>
        <v>686575</v>
      </c>
    </row>
    <row r="119" spans="1:7" x14ac:dyDescent="0.2">
      <c r="B119" s="24"/>
      <c r="G119" s="24"/>
    </row>
  </sheetData>
  <sortState xmlns:xlrd2="http://schemas.microsoft.com/office/spreadsheetml/2017/richdata2" ref="A36:F116">
    <sortCondition descending="1" ref="F36:F1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1DDA-486B-2B4F-9857-75E98350D082}">
  <dimension ref="A1:H32"/>
  <sheetViews>
    <sheetView workbookViewId="0">
      <selection activeCell="G11" sqref="G11"/>
    </sheetView>
  </sheetViews>
  <sheetFormatPr baseColWidth="10" defaultRowHeight="16" x14ac:dyDescent="0.2"/>
  <cols>
    <col min="1" max="1" width="17" customWidth="1"/>
    <col min="2" max="2" width="27.6640625" customWidth="1"/>
    <col min="3" max="3" width="41.5" customWidth="1"/>
    <col min="4" max="5" width="22.5" customWidth="1"/>
    <col min="6" max="6" width="20" customWidth="1"/>
  </cols>
  <sheetData>
    <row r="1" spans="1:8" x14ac:dyDescent="0.2">
      <c r="A1" s="1" t="s">
        <v>175</v>
      </c>
      <c r="B1" s="1"/>
      <c r="C1" s="1"/>
      <c r="D1" s="1"/>
      <c r="E1" s="1"/>
      <c r="F1" s="1"/>
    </row>
    <row r="2" spans="1:8" x14ac:dyDescent="0.2">
      <c r="A2" s="1" t="s">
        <v>0</v>
      </c>
      <c r="B2" s="1"/>
      <c r="C2" s="1"/>
      <c r="D2" s="1"/>
      <c r="E2" s="1"/>
      <c r="F2" s="1"/>
    </row>
    <row r="3" spans="1:8" x14ac:dyDescent="0.2">
      <c r="A3" s="1" t="s">
        <v>115</v>
      </c>
      <c r="B3" s="1"/>
      <c r="C3" s="1"/>
      <c r="D3" s="1"/>
      <c r="E3" s="1"/>
      <c r="F3" s="3"/>
    </row>
    <row r="4" spans="1:8" x14ac:dyDescent="0.2">
      <c r="A4" s="1" t="s">
        <v>116</v>
      </c>
      <c r="B4" s="1"/>
      <c r="C4" s="1"/>
      <c r="D4" s="1"/>
      <c r="E4" s="1"/>
      <c r="F4" s="1"/>
    </row>
    <row r="5" spans="1:8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</row>
    <row r="6" spans="1:8" x14ac:dyDescent="0.2">
      <c r="A6" s="9" t="s">
        <v>118</v>
      </c>
      <c r="B6" s="9" t="s">
        <v>119</v>
      </c>
      <c r="C6" s="9" t="s">
        <v>184</v>
      </c>
      <c r="D6" s="9" t="s">
        <v>120</v>
      </c>
      <c r="E6" s="2">
        <v>77351</v>
      </c>
      <c r="F6" s="2"/>
      <c r="G6" s="9"/>
      <c r="H6" s="2"/>
    </row>
    <row r="7" spans="1:8" x14ac:dyDescent="0.2">
      <c r="A7" s="9" t="s">
        <v>118</v>
      </c>
      <c r="B7" s="9" t="s">
        <v>119</v>
      </c>
      <c r="C7" s="9" t="s">
        <v>184</v>
      </c>
      <c r="D7" s="9" t="s">
        <v>125</v>
      </c>
      <c r="E7" s="2">
        <v>69679</v>
      </c>
      <c r="F7" s="2"/>
      <c r="G7" s="9"/>
      <c r="H7" s="2"/>
    </row>
    <row r="8" spans="1:8" x14ac:dyDescent="0.2">
      <c r="A8" s="9" t="s">
        <v>118</v>
      </c>
      <c r="B8" s="9" t="s">
        <v>119</v>
      </c>
      <c r="C8" s="9" t="s">
        <v>184</v>
      </c>
      <c r="D8" s="9" t="s">
        <v>121</v>
      </c>
      <c r="E8" s="2">
        <v>71381</v>
      </c>
      <c r="F8" s="2"/>
      <c r="G8" s="9"/>
      <c r="H8" s="2"/>
    </row>
    <row r="9" spans="1:8" x14ac:dyDescent="0.2">
      <c r="A9" s="9" t="s">
        <v>118</v>
      </c>
      <c r="B9" s="9" t="s">
        <v>119</v>
      </c>
      <c r="C9" s="9" t="s">
        <v>184</v>
      </c>
      <c r="D9" s="9" t="s">
        <v>126</v>
      </c>
      <c r="E9" s="2">
        <v>61273</v>
      </c>
      <c r="F9" s="2"/>
      <c r="G9" s="9"/>
      <c r="H9" s="2"/>
    </row>
    <row r="10" spans="1:8" x14ac:dyDescent="0.2">
      <c r="A10" s="9" t="s">
        <v>118</v>
      </c>
      <c r="B10" s="9" t="s">
        <v>119</v>
      </c>
      <c r="C10" s="9" t="s">
        <v>184</v>
      </c>
      <c r="D10" s="9" t="s">
        <v>127</v>
      </c>
      <c r="E10" s="2">
        <v>60873</v>
      </c>
      <c r="F10" s="2"/>
      <c r="G10" s="9"/>
      <c r="H10" s="2"/>
    </row>
    <row r="11" spans="1:8" x14ac:dyDescent="0.2">
      <c r="A11" s="9" t="s">
        <v>118</v>
      </c>
      <c r="B11" s="9" t="s">
        <v>119</v>
      </c>
      <c r="C11" s="9" t="s">
        <v>184</v>
      </c>
      <c r="D11" s="9" t="s">
        <v>122</v>
      </c>
      <c r="E11" s="2">
        <v>64861</v>
      </c>
      <c r="F11" s="2"/>
      <c r="G11" s="9"/>
      <c r="H11" s="2"/>
    </row>
    <row r="12" spans="1:8" x14ac:dyDescent="0.2">
      <c r="A12" s="9" t="s">
        <v>118</v>
      </c>
      <c r="B12" s="9" t="s">
        <v>119</v>
      </c>
      <c r="C12" s="9" t="s">
        <v>184</v>
      </c>
      <c r="D12" s="9" t="s">
        <v>124</v>
      </c>
      <c r="E12" s="2">
        <v>60383</v>
      </c>
      <c r="F12" s="2"/>
      <c r="G12" s="9"/>
      <c r="H12" s="2"/>
    </row>
    <row r="13" spans="1:8" x14ac:dyDescent="0.2">
      <c r="A13" s="9" t="s">
        <v>118</v>
      </c>
      <c r="B13" s="9" t="s">
        <v>119</v>
      </c>
      <c r="C13" s="9" t="s">
        <v>184</v>
      </c>
      <c r="D13" s="9" t="s">
        <v>128</v>
      </c>
      <c r="E13" s="2">
        <v>57796</v>
      </c>
      <c r="F13" s="2"/>
      <c r="G13" s="9"/>
      <c r="H13" s="2"/>
    </row>
    <row r="14" spans="1:8" x14ac:dyDescent="0.2">
      <c r="A14" s="9" t="s">
        <v>118</v>
      </c>
      <c r="B14" s="9" t="s">
        <v>119</v>
      </c>
      <c r="C14" s="9" t="s">
        <v>184</v>
      </c>
      <c r="D14" s="9" t="s">
        <v>129</v>
      </c>
      <c r="E14" s="2">
        <v>48658</v>
      </c>
      <c r="F14" s="2"/>
      <c r="G14" s="9"/>
      <c r="H14" s="2"/>
    </row>
    <row r="15" spans="1:8" x14ac:dyDescent="0.2">
      <c r="A15" s="9" t="s">
        <v>118</v>
      </c>
      <c r="B15" s="9" t="s">
        <v>119</v>
      </c>
      <c r="C15" s="9" t="s">
        <v>184</v>
      </c>
      <c r="D15" s="9" t="s">
        <v>123</v>
      </c>
      <c r="E15" s="2">
        <v>47697</v>
      </c>
      <c r="F15" s="2"/>
      <c r="G15" s="9"/>
      <c r="H15" s="2"/>
    </row>
    <row r="16" spans="1:8" x14ac:dyDescent="0.2">
      <c r="A16" s="9" t="s">
        <v>118</v>
      </c>
      <c r="B16" s="9" t="s">
        <v>119</v>
      </c>
      <c r="C16" s="9" t="s">
        <v>184</v>
      </c>
      <c r="D16" s="9" t="s">
        <v>130</v>
      </c>
      <c r="E16" s="2">
        <v>44532</v>
      </c>
      <c r="F16" s="2"/>
      <c r="G16" s="9"/>
      <c r="H16" s="2"/>
    </row>
    <row r="17" spans="1:8" x14ac:dyDescent="0.2">
      <c r="A17" s="9" t="s">
        <v>118</v>
      </c>
      <c r="B17" s="9" t="s">
        <v>119</v>
      </c>
      <c r="C17" s="9" t="s">
        <v>184</v>
      </c>
      <c r="D17" s="9" t="s">
        <v>131</v>
      </c>
      <c r="E17" s="2">
        <v>41567</v>
      </c>
      <c r="F17" s="2"/>
      <c r="G17" s="9"/>
      <c r="H17" s="2"/>
    </row>
    <row r="18" spans="1:8" x14ac:dyDescent="0.2">
      <c r="A18" s="9" t="s">
        <v>118</v>
      </c>
      <c r="B18" s="9" t="s">
        <v>119</v>
      </c>
      <c r="C18" s="9" t="s">
        <v>184</v>
      </c>
      <c r="D18" s="9" t="s">
        <v>132</v>
      </c>
      <c r="E18" s="2">
        <v>39735</v>
      </c>
      <c r="F18" s="2"/>
      <c r="G18" s="9"/>
      <c r="H18" s="2"/>
    </row>
    <row r="19" spans="1:8" x14ac:dyDescent="0.2">
      <c r="A19" s="9" t="s">
        <v>118</v>
      </c>
      <c r="B19" s="9" t="s">
        <v>119</v>
      </c>
      <c r="C19" s="9" t="s">
        <v>184</v>
      </c>
      <c r="D19" s="9" t="s">
        <v>133</v>
      </c>
      <c r="E19" s="2">
        <v>38499</v>
      </c>
      <c r="F19" s="2"/>
      <c r="G19" s="9"/>
      <c r="H19" s="2"/>
    </row>
    <row r="20" spans="1:8" x14ac:dyDescent="0.2">
      <c r="A20" s="9" t="s">
        <v>118</v>
      </c>
      <c r="B20" s="9" t="s">
        <v>119</v>
      </c>
      <c r="C20" s="9" t="s">
        <v>184</v>
      </c>
      <c r="D20" s="9" t="s">
        <v>134</v>
      </c>
      <c r="E20" s="2">
        <v>37251</v>
      </c>
      <c r="F20" s="2"/>
      <c r="G20" s="9"/>
      <c r="H20" s="2"/>
    </row>
    <row r="21" spans="1:8" x14ac:dyDescent="0.2">
      <c r="A21" s="9" t="s">
        <v>118</v>
      </c>
      <c r="B21" s="9" t="s">
        <v>119</v>
      </c>
      <c r="C21" s="9" t="s">
        <v>184</v>
      </c>
      <c r="D21" s="9" t="s">
        <v>135</v>
      </c>
      <c r="E21" s="2">
        <v>33384</v>
      </c>
      <c r="F21" s="2"/>
      <c r="G21" s="9"/>
      <c r="H21" s="2"/>
    </row>
    <row r="22" spans="1:8" x14ac:dyDescent="0.2">
      <c r="A22" s="9" t="s">
        <v>118</v>
      </c>
      <c r="B22" s="9" t="s">
        <v>119</v>
      </c>
      <c r="C22" s="9" t="s">
        <v>184</v>
      </c>
      <c r="D22" s="9" t="s">
        <v>136</v>
      </c>
      <c r="E22" s="2">
        <v>29861</v>
      </c>
      <c r="F22" s="2"/>
      <c r="G22" s="9"/>
      <c r="H22" s="2"/>
    </row>
    <row r="23" spans="1:8" x14ac:dyDescent="0.2">
      <c r="A23" s="9" t="s">
        <v>118</v>
      </c>
      <c r="B23" s="9" t="s">
        <v>119</v>
      </c>
      <c r="C23" s="9" t="s">
        <v>184</v>
      </c>
      <c r="D23" s="9" t="s">
        <v>137</v>
      </c>
      <c r="E23" s="2">
        <v>27946</v>
      </c>
      <c r="F23" s="2"/>
      <c r="G23" s="9"/>
      <c r="H23" s="2"/>
    </row>
    <row r="24" spans="1:8" x14ac:dyDescent="0.2">
      <c r="A24" s="9" t="s">
        <v>118</v>
      </c>
      <c r="B24" s="9" t="s">
        <v>119</v>
      </c>
      <c r="C24" s="9" t="s">
        <v>184</v>
      </c>
      <c r="D24" s="9" t="s">
        <v>138</v>
      </c>
      <c r="E24" s="2">
        <v>25357</v>
      </c>
      <c r="F24" s="2"/>
      <c r="G24" s="9"/>
      <c r="H24" s="2"/>
    </row>
    <row r="25" spans="1:8" x14ac:dyDescent="0.2">
      <c r="A25" s="9" t="s">
        <v>118</v>
      </c>
      <c r="B25" s="9" t="s">
        <v>119</v>
      </c>
      <c r="C25" s="9" t="s">
        <v>184</v>
      </c>
      <c r="D25" s="9" t="s">
        <v>139</v>
      </c>
      <c r="E25" s="2">
        <v>23176</v>
      </c>
      <c r="F25" s="2"/>
      <c r="G25" s="9"/>
      <c r="H25" s="2"/>
    </row>
    <row r="26" spans="1:8" x14ac:dyDescent="0.2">
      <c r="A26" s="9" t="s">
        <v>118</v>
      </c>
      <c r="B26" s="9" t="s">
        <v>119</v>
      </c>
      <c r="C26" s="9" t="s">
        <v>184</v>
      </c>
      <c r="D26" s="9" t="s">
        <v>140</v>
      </c>
      <c r="E26" s="2">
        <v>21836</v>
      </c>
      <c r="F26" s="2"/>
      <c r="G26" s="9"/>
      <c r="H26" s="2"/>
    </row>
    <row r="27" spans="1:8" x14ac:dyDescent="0.2">
      <c r="A27" s="9" t="s">
        <v>118</v>
      </c>
      <c r="B27" s="9" t="s">
        <v>119</v>
      </c>
      <c r="C27" s="9" t="s">
        <v>184</v>
      </c>
      <c r="D27" s="9" t="s">
        <v>141</v>
      </c>
      <c r="E27" s="2">
        <v>19523</v>
      </c>
      <c r="F27" s="2"/>
      <c r="G27" s="9"/>
      <c r="H27" s="2"/>
    </row>
    <row r="28" spans="1:8" x14ac:dyDescent="0.2">
      <c r="A28" s="9" t="s">
        <v>118</v>
      </c>
      <c r="B28" s="9" t="s">
        <v>119</v>
      </c>
      <c r="C28" s="9" t="s">
        <v>184</v>
      </c>
      <c r="D28" s="9" t="s">
        <v>142</v>
      </c>
      <c r="E28" s="2">
        <v>12821</v>
      </c>
      <c r="F28" s="2"/>
      <c r="G28" s="9"/>
      <c r="H28" s="2"/>
    </row>
    <row r="29" spans="1:8" x14ac:dyDescent="0.2">
      <c r="A29" s="9" t="s">
        <v>118</v>
      </c>
      <c r="B29" s="9" t="s">
        <v>119</v>
      </c>
      <c r="C29" s="9" t="s">
        <v>184</v>
      </c>
      <c r="D29" s="9" t="s">
        <v>143</v>
      </c>
      <c r="E29" s="2">
        <v>11183</v>
      </c>
      <c r="F29" s="2"/>
      <c r="G29" s="9"/>
      <c r="H29" s="2"/>
    </row>
    <row r="30" spans="1:8" x14ac:dyDescent="0.2">
      <c r="A30" s="9" t="s">
        <v>118</v>
      </c>
      <c r="B30" s="9" t="s">
        <v>119</v>
      </c>
      <c r="C30" s="9" t="s">
        <v>184</v>
      </c>
      <c r="D30" s="9" t="s">
        <v>144</v>
      </c>
      <c r="E30" s="2">
        <v>5962</v>
      </c>
      <c r="F30" s="2"/>
      <c r="G30" s="9"/>
      <c r="H30" s="2"/>
    </row>
    <row r="31" spans="1:8" x14ac:dyDescent="0.2">
      <c r="A31" s="9" t="s">
        <v>118</v>
      </c>
      <c r="B31" s="9" t="s">
        <v>119</v>
      </c>
      <c r="C31" s="9" t="s">
        <v>184</v>
      </c>
      <c r="D31" s="9" t="s">
        <v>145</v>
      </c>
      <c r="E31" s="2">
        <v>3997</v>
      </c>
      <c r="F31" s="2"/>
      <c r="G31" s="9"/>
      <c r="H31" s="2"/>
    </row>
    <row r="32" spans="1:8" x14ac:dyDescent="0.2">
      <c r="A32" s="10" t="s">
        <v>31</v>
      </c>
      <c r="E32" s="10">
        <f>SUM(E6:E31)</f>
        <v>1036582</v>
      </c>
      <c r="F32" s="24"/>
    </row>
  </sheetData>
  <sortState xmlns:xlrd2="http://schemas.microsoft.com/office/spreadsheetml/2017/richdata2" ref="A6:E31">
    <sortCondition descending="1" ref="E6:E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DEEE-CE45-AA4E-85E5-BEF3FF1D8918}">
  <dimension ref="A1:F15"/>
  <sheetViews>
    <sheetView workbookViewId="0">
      <selection activeCell="E20" sqref="E20"/>
    </sheetView>
  </sheetViews>
  <sheetFormatPr baseColWidth="10" defaultRowHeight="16" x14ac:dyDescent="0.2"/>
  <cols>
    <col min="1" max="1" width="12.5" customWidth="1"/>
    <col min="2" max="2" width="25" customWidth="1"/>
    <col min="3" max="3" width="39.6640625" customWidth="1"/>
    <col min="5" max="5" width="19" customWidth="1"/>
    <col min="6" max="6" width="17.83203125" customWidth="1"/>
  </cols>
  <sheetData>
    <row r="1" spans="1:6" x14ac:dyDescent="0.2">
      <c r="A1" s="1" t="s">
        <v>175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12"/>
      <c r="F2" s="21"/>
    </row>
    <row r="3" spans="1:6" x14ac:dyDescent="0.2">
      <c r="A3" s="1" t="s">
        <v>115</v>
      </c>
      <c r="B3" s="1"/>
      <c r="C3" s="1"/>
      <c r="D3" s="1"/>
      <c r="E3" s="3"/>
    </row>
    <row r="4" spans="1:6" x14ac:dyDescent="0.2">
      <c r="A4" s="1" t="s">
        <v>146</v>
      </c>
      <c r="B4" s="1"/>
      <c r="C4" s="1"/>
      <c r="D4" s="1"/>
      <c r="E4" s="1"/>
    </row>
    <row r="5" spans="1:6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</row>
    <row r="6" spans="1:6" x14ac:dyDescent="0.2">
      <c r="A6" s="9" t="s">
        <v>118</v>
      </c>
      <c r="B6" s="9" t="s">
        <v>119</v>
      </c>
      <c r="C6" s="9" t="s">
        <v>149</v>
      </c>
      <c r="D6" s="16">
        <v>45957</v>
      </c>
      <c r="E6" s="17">
        <v>152896</v>
      </c>
      <c r="F6" s="18">
        <v>3207.71</v>
      </c>
    </row>
    <row r="7" spans="1:6" x14ac:dyDescent="0.2">
      <c r="A7" s="9" t="s">
        <v>118</v>
      </c>
      <c r="B7" s="9" t="s">
        <v>119</v>
      </c>
      <c r="C7" s="9" t="s">
        <v>150</v>
      </c>
      <c r="D7" s="16">
        <v>45958</v>
      </c>
      <c r="E7" s="17">
        <v>47116</v>
      </c>
      <c r="F7" s="18">
        <v>988.49</v>
      </c>
    </row>
    <row r="8" spans="1:6" x14ac:dyDescent="0.2">
      <c r="A8" s="9" t="s">
        <v>118</v>
      </c>
      <c r="B8" s="9" t="s">
        <v>119</v>
      </c>
      <c r="C8" s="9" t="s">
        <v>151</v>
      </c>
      <c r="D8" s="16">
        <v>45959</v>
      </c>
      <c r="E8" s="17">
        <v>46401</v>
      </c>
      <c r="F8" s="18">
        <v>973.47</v>
      </c>
    </row>
    <row r="9" spans="1:6" x14ac:dyDescent="0.2">
      <c r="A9" s="9" t="s">
        <v>118</v>
      </c>
      <c r="B9" s="9" t="s">
        <v>119</v>
      </c>
      <c r="C9" s="9" t="s">
        <v>152</v>
      </c>
      <c r="D9" s="16">
        <v>45960</v>
      </c>
      <c r="E9" s="17">
        <v>152879</v>
      </c>
      <c r="F9" s="18">
        <v>3207.35</v>
      </c>
    </row>
    <row r="10" spans="1:6" x14ac:dyDescent="0.2">
      <c r="A10" s="9" t="s">
        <v>118</v>
      </c>
      <c r="B10" s="9" t="s">
        <v>119</v>
      </c>
      <c r="C10" s="9" t="s">
        <v>153</v>
      </c>
      <c r="D10" s="16">
        <v>45961</v>
      </c>
      <c r="E10" s="17">
        <v>152895</v>
      </c>
      <c r="F10" s="18">
        <v>3207.69</v>
      </c>
    </row>
    <row r="11" spans="1:6" x14ac:dyDescent="0.2">
      <c r="A11" s="9" t="s">
        <v>118</v>
      </c>
      <c r="B11" s="9" t="s">
        <v>119</v>
      </c>
      <c r="C11" s="9" t="s">
        <v>154</v>
      </c>
      <c r="D11" s="16">
        <v>45962</v>
      </c>
      <c r="E11" s="17">
        <v>152882</v>
      </c>
      <c r="F11" s="18">
        <v>3207.41</v>
      </c>
    </row>
    <row r="12" spans="1:6" x14ac:dyDescent="0.2">
      <c r="A12" s="9" t="s">
        <v>118</v>
      </c>
      <c r="B12" s="9" t="s">
        <v>119</v>
      </c>
      <c r="C12" s="9" t="s">
        <v>155</v>
      </c>
      <c r="D12" s="16">
        <v>45963</v>
      </c>
      <c r="E12" s="17">
        <v>152893</v>
      </c>
      <c r="F12" s="18">
        <v>3207.64</v>
      </c>
    </row>
    <row r="13" spans="1:6" x14ac:dyDescent="0.2">
      <c r="A13" s="28" t="s">
        <v>118</v>
      </c>
      <c r="B13" s="28" t="s">
        <v>119</v>
      </c>
      <c r="C13" s="28" t="s">
        <v>185</v>
      </c>
      <c r="D13" s="31">
        <v>45964</v>
      </c>
      <c r="E13" s="29">
        <v>85796</v>
      </c>
      <c r="F13" s="32">
        <v>1801.26</v>
      </c>
    </row>
    <row r="14" spans="1:6" x14ac:dyDescent="0.2">
      <c r="A14" s="28" t="s">
        <v>118</v>
      </c>
      <c r="B14" s="28" t="s">
        <v>119</v>
      </c>
      <c r="C14" s="28" t="s">
        <v>186</v>
      </c>
      <c r="D14" s="31">
        <v>45965</v>
      </c>
      <c r="E14" s="29">
        <v>92824</v>
      </c>
      <c r="F14" s="32">
        <v>1948.84</v>
      </c>
    </row>
    <row r="15" spans="1:6" x14ac:dyDescent="0.2">
      <c r="A15" s="10" t="s">
        <v>31</v>
      </c>
      <c r="E15" s="19">
        <f>SUM(E6:E14)</f>
        <v>1036582</v>
      </c>
      <c r="F15" s="20">
        <f>SUM(F6:F14)</f>
        <v>21749.86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65E5-6F9F-A442-A38C-649ABBA9A03A}">
  <dimension ref="A1:L107"/>
  <sheetViews>
    <sheetView topLeftCell="A74" workbookViewId="0">
      <selection activeCell="E30" sqref="E30"/>
    </sheetView>
  </sheetViews>
  <sheetFormatPr baseColWidth="10" defaultRowHeight="16" x14ac:dyDescent="0.2"/>
  <cols>
    <col min="2" max="2" width="20.5" customWidth="1"/>
    <col min="4" max="4" width="39.83203125" customWidth="1"/>
    <col min="5" max="5" width="52.1640625" customWidth="1"/>
    <col min="6" max="6" width="17.5" customWidth="1"/>
    <col min="7" max="7" width="20.6640625" customWidth="1"/>
  </cols>
  <sheetData>
    <row r="1" spans="1:12" x14ac:dyDescent="0.2">
      <c r="A1" s="1" t="s">
        <v>238</v>
      </c>
      <c r="B1" s="1"/>
      <c r="C1" s="1"/>
      <c r="D1" s="1"/>
      <c r="E1" s="2"/>
      <c r="F1" s="2"/>
      <c r="G1" s="2"/>
      <c r="H1" s="2"/>
      <c r="I1" s="2"/>
      <c r="J1" s="1"/>
    </row>
    <row r="2" spans="1:12" x14ac:dyDescent="0.2">
      <c r="A2" s="1" t="s">
        <v>0</v>
      </c>
      <c r="B2" s="1"/>
      <c r="C2" s="1"/>
      <c r="D2" s="1"/>
      <c r="E2" s="4"/>
      <c r="F2" s="4"/>
      <c r="G2" s="4"/>
      <c r="H2" s="2"/>
      <c r="I2" s="2"/>
      <c r="J2" s="3"/>
      <c r="L2" s="21"/>
    </row>
    <row r="3" spans="1:12" x14ac:dyDescent="0.2">
      <c r="A3" s="1" t="s">
        <v>187</v>
      </c>
      <c r="B3" s="1"/>
      <c r="C3" s="1"/>
      <c r="D3" s="1"/>
      <c r="E3" s="4"/>
      <c r="F3" s="4"/>
      <c r="G3" s="4"/>
      <c r="H3" s="4"/>
      <c r="I3" s="4"/>
      <c r="J3" s="1"/>
    </row>
    <row r="4" spans="1:12" x14ac:dyDescent="0.2">
      <c r="A4" s="5" t="s">
        <v>2</v>
      </c>
      <c r="B4" s="5"/>
      <c r="C4" s="5"/>
      <c r="D4" s="5"/>
      <c r="E4" s="2"/>
      <c r="F4" s="2"/>
      <c r="G4" s="2"/>
      <c r="H4" s="2"/>
      <c r="I4" s="2"/>
      <c r="J4" s="5"/>
      <c r="K4" s="21"/>
    </row>
    <row r="5" spans="1:12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</row>
    <row r="6" spans="1:12" x14ac:dyDescent="0.2">
      <c r="A6" s="7">
        <v>7208</v>
      </c>
      <c r="B6" s="8" t="s">
        <v>189</v>
      </c>
      <c r="C6" s="8">
        <v>7208</v>
      </c>
      <c r="D6" s="9" t="s">
        <v>249</v>
      </c>
      <c r="E6" s="2" t="s">
        <v>10</v>
      </c>
      <c r="F6" s="2">
        <v>27212</v>
      </c>
      <c r="G6" s="2"/>
      <c r="I6" s="2"/>
    </row>
    <row r="7" spans="1:12" x14ac:dyDescent="0.2">
      <c r="A7" s="7">
        <v>7208</v>
      </c>
      <c r="B7" s="8" t="s">
        <v>189</v>
      </c>
      <c r="C7" s="8">
        <v>7208</v>
      </c>
      <c r="D7" s="9" t="s">
        <v>249</v>
      </c>
      <c r="E7" s="2" t="s">
        <v>190</v>
      </c>
      <c r="F7" s="2">
        <v>24677</v>
      </c>
      <c r="G7" s="2"/>
      <c r="H7" s="2"/>
      <c r="I7" s="2"/>
    </row>
    <row r="8" spans="1:12" x14ac:dyDescent="0.2">
      <c r="A8" s="7">
        <v>7208</v>
      </c>
      <c r="B8" s="8" t="s">
        <v>189</v>
      </c>
      <c r="C8" s="8">
        <v>7208</v>
      </c>
      <c r="D8" s="9" t="s">
        <v>249</v>
      </c>
      <c r="E8" s="2" t="s">
        <v>12</v>
      </c>
      <c r="F8" s="2">
        <v>21675</v>
      </c>
      <c r="G8" s="2"/>
      <c r="I8" s="2"/>
    </row>
    <row r="9" spans="1:12" x14ac:dyDescent="0.2">
      <c r="A9" s="7">
        <v>7208</v>
      </c>
      <c r="B9" s="8" t="s">
        <v>189</v>
      </c>
      <c r="C9" s="8">
        <v>7208</v>
      </c>
      <c r="D9" s="9" t="s">
        <v>249</v>
      </c>
      <c r="E9" s="2" t="s">
        <v>191</v>
      </c>
      <c r="F9" s="2">
        <v>19440</v>
      </c>
      <c r="G9" s="2"/>
      <c r="I9" s="2"/>
    </row>
    <row r="10" spans="1:12" x14ac:dyDescent="0.2">
      <c r="A10" s="7">
        <v>7208</v>
      </c>
      <c r="B10" s="8" t="s">
        <v>189</v>
      </c>
      <c r="C10" s="8">
        <v>7208</v>
      </c>
      <c r="D10" s="9" t="s">
        <v>249</v>
      </c>
      <c r="E10" s="2" t="s">
        <v>192</v>
      </c>
      <c r="F10" s="2">
        <v>17296</v>
      </c>
      <c r="G10" s="2"/>
      <c r="I10" s="2"/>
    </row>
    <row r="11" spans="1:12" x14ac:dyDescent="0.2">
      <c r="A11" s="7">
        <v>7208</v>
      </c>
      <c r="B11" s="8" t="s">
        <v>189</v>
      </c>
      <c r="C11" s="8">
        <v>7208</v>
      </c>
      <c r="D11" s="9" t="s">
        <v>249</v>
      </c>
      <c r="E11" s="2" t="s">
        <v>15</v>
      </c>
      <c r="F11" s="2">
        <v>16253</v>
      </c>
      <c r="G11" s="2"/>
      <c r="I11" s="2"/>
    </row>
    <row r="12" spans="1:12" x14ac:dyDescent="0.2">
      <c r="A12" s="7">
        <v>7208</v>
      </c>
      <c r="B12" s="8" t="s">
        <v>189</v>
      </c>
      <c r="C12" s="8">
        <v>7208</v>
      </c>
      <c r="D12" s="9" t="s">
        <v>249</v>
      </c>
      <c r="E12" s="2" t="s">
        <v>16</v>
      </c>
      <c r="F12" s="2">
        <v>13510</v>
      </c>
      <c r="G12" s="2"/>
      <c r="I12" s="2"/>
    </row>
    <row r="13" spans="1:12" x14ac:dyDescent="0.2">
      <c r="A13" s="7">
        <v>7208</v>
      </c>
      <c r="B13" s="8" t="s">
        <v>189</v>
      </c>
      <c r="C13" s="8">
        <v>7208</v>
      </c>
      <c r="D13" s="9" t="s">
        <v>249</v>
      </c>
      <c r="E13" s="2" t="s">
        <v>193</v>
      </c>
      <c r="F13" s="2">
        <v>11052</v>
      </c>
      <c r="G13" s="2"/>
      <c r="I13" s="2"/>
    </row>
    <row r="14" spans="1:12" x14ac:dyDescent="0.2">
      <c r="A14" s="7">
        <v>7208</v>
      </c>
      <c r="B14" s="8" t="s">
        <v>189</v>
      </c>
      <c r="C14" s="8">
        <v>7208</v>
      </c>
      <c r="D14" s="9" t="s">
        <v>249</v>
      </c>
      <c r="E14" s="9" t="s">
        <v>196</v>
      </c>
      <c r="F14" s="2">
        <v>9510</v>
      </c>
      <c r="G14" s="2"/>
      <c r="I14" s="2"/>
    </row>
    <row r="15" spans="1:12" x14ac:dyDescent="0.2">
      <c r="A15" s="7">
        <v>7208</v>
      </c>
      <c r="B15" s="8" t="s">
        <v>189</v>
      </c>
      <c r="C15" s="8">
        <v>7208</v>
      </c>
      <c r="D15" s="9" t="s">
        <v>249</v>
      </c>
      <c r="E15" s="2" t="s">
        <v>195</v>
      </c>
      <c r="F15" s="2">
        <v>8891</v>
      </c>
      <c r="G15" s="2"/>
      <c r="I15" s="2"/>
    </row>
    <row r="16" spans="1:12" x14ac:dyDescent="0.2">
      <c r="A16" s="7">
        <v>7208</v>
      </c>
      <c r="B16" s="8" t="s">
        <v>189</v>
      </c>
      <c r="C16" s="8">
        <v>7208</v>
      </c>
      <c r="D16" s="9" t="s">
        <v>249</v>
      </c>
      <c r="E16" s="2" t="s">
        <v>22</v>
      </c>
      <c r="F16" s="2">
        <v>7687</v>
      </c>
      <c r="G16" s="2"/>
      <c r="I16" s="2"/>
    </row>
    <row r="17" spans="1:9" x14ac:dyDescent="0.2">
      <c r="A17" s="7">
        <v>7208</v>
      </c>
      <c r="B17" s="8" t="s">
        <v>189</v>
      </c>
      <c r="C17" s="8">
        <v>7208</v>
      </c>
      <c r="D17" s="9" t="s">
        <v>249</v>
      </c>
      <c r="E17" s="2" t="s">
        <v>194</v>
      </c>
      <c r="F17" s="9">
        <v>7200</v>
      </c>
      <c r="G17" s="2"/>
      <c r="H17" s="9"/>
      <c r="I17" s="2"/>
    </row>
    <row r="18" spans="1:9" x14ac:dyDescent="0.2">
      <c r="A18" s="7">
        <v>7208</v>
      </c>
      <c r="B18" s="8" t="s">
        <v>189</v>
      </c>
      <c r="C18" s="8">
        <v>7208</v>
      </c>
      <c r="D18" s="9" t="s">
        <v>249</v>
      </c>
      <c r="E18" s="2" t="s">
        <v>197</v>
      </c>
      <c r="F18" s="2">
        <v>5272</v>
      </c>
      <c r="G18" s="2"/>
      <c r="I18" s="2"/>
    </row>
    <row r="19" spans="1:9" x14ac:dyDescent="0.2">
      <c r="A19" s="7">
        <v>7208</v>
      </c>
      <c r="B19" s="8" t="s">
        <v>189</v>
      </c>
      <c r="C19" s="8">
        <v>7208</v>
      </c>
      <c r="D19" s="9" t="s">
        <v>249</v>
      </c>
      <c r="E19" s="2" t="s">
        <v>25</v>
      </c>
      <c r="F19" s="2">
        <v>4299</v>
      </c>
      <c r="G19" s="2"/>
      <c r="I19" s="2"/>
    </row>
    <row r="20" spans="1:9" x14ac:dyDescent="0.2">
      <c r="A20" s="7">
        <v>7208</v>
      </c>
      <c r="B20" s="8" t="s">
        <v>189</v>
      </c>
      <c r="C20" s="8">
        <v>7208</v>
      </c>
      <c r="D20" s="9" t="s">
        <v>249</v>
      </c>
      <c r="E20" s="2" t="s">
        <v>23</v>
      </c>
      <c r="F20" s="2">
        <v>3702</v>
      </c>
      <c r="G20" s="2"/>
      <c r="I20" s="2"/>
    </row>
    <row r="21" spans="1:9" x14ac:dyDescent="0.2">
      <c r="A21" s="7">
        <v>7208</v>
      </c>
      <c r="B21" s="8" t="s">
        <v>189</v>
      </c>
      <c r="C21" s="8">
        <v>7208</v>
      </c>
      <c r="D21" s="9" t="s">
        <v>249</v>
      </c>
      <c r="E21" s="2" t="s">
        <v>24</v>
      </c>
      <c r="F21" s="2">
        <v>2080</v>
      </c>
      <c r="G21" s="2"/>
      <c r="H21" s="2"/>
      <c r="I21" s="2"/>
    </row>
    <row r="22" spans="1:9" x14ac:dyDescent="0.2">
      <c r="A22" s="7">
        <v>7208</v>
      </c>
      <c r="B22" s="8" t="s">
        <v>189</v>
      </c>
      <c r="C22" s="8">
        <v>7208</v>
      </c>
      <c r="D22" s="9" t="s">
        <v>249</v>
      </c>
      <c r="E22" s="2" t="s">
        <v>27</v>
      </c>
      <c r="F22" s="2">
        <v>1934</v>
      </c>
      <c r="G22" s="2"/>
      <c r="I22" s="2"/>
    </row>
    <row r="23" spans="1:9" x14ac:dyDescent="0.2">
      <c r="A23" s="7">
        <v>7208</v>
      </c>
      <c r="B23" s="8" t="s">
        <v>189</v>
      </c>
      <c r="C23" s="8">
        <v>7208</v>
      </c>
      <c r="D23" s="9" t="s">
        <v>249</v>
      </c>
      <c r="E23" s="9" t="s">
        <v>28</v>
      </c>
      <c r="F23" s="9">
        <v>1520</v>
      </c>
      <c r="G23" s="2"/>
      <c r="I23" s="2"/>
    </row>
    <row r="24" spans="1:9" x14ac:dyDescent="0.2">
      <c r="A24" s="7">
        <v>7208</v>
      </c>
      <c r="B24" s="8" t="s">
        <v>189</v>
      </c>
      <c r="C24" s="8">
        <v>7208</v>
      </c>
      <c r="D24" s="9" t="s">
        <v>249</v>
      </c>
      <c r="E24" s="2" t="s">
        <v>198</v>
      </c>
      <c r="F24" s="2">
        <v>1384</v>
      </c>
      <c r="G24" s="2"/>
      <c r="I24" s="2"/>
    </row>
    <row r="25" spans="1:9" x14ac:dyDescent="0.2">
      <c r="A25" s="7">
        <v>7208</v>
      </c>
      <c r="B25" s="8" t="s">
        <v>189</v>
      </c>
      <c r="C25" s="8">
        <v>7208</v>
      </c>
      <c r="D25" s="9" t="s">
        <v>249</v>
      </c>
      <c r="E25" s="2" t="s">
        <v>199</v>
      </c>
      <c r="F25" s="2">
        <v>1095</v>
      </c>
      <c r="G25" s="2"/>
      <c r="I25" s="2"/>
    </row>
    <row r="26" spans="1:9" x14ac:dyDescent="0.2">
      <c r="A26" s="7">
        <v>7208</v>
      </c>
      <c r="B26" s="8" t="s">
        <v>189</v>
      </c>
      <c r="C26" s="8">
        <v>7208</v>
      </c>
      <c r="D26" s="9" t="s">
        <v>249</v>
      </c>
      <c r="E26" s="2" t="s">
        <v>30</v>
      </c>
      <c r="F26" s="2">
        <v>7</v>
      </c>
      <c r="G26" s="2"/>
      <c r="I26" s="2"/>
    </row>
    <row r="27" spans="1:9" x14ac:dyDescent="0.2">
      <c r="A27" s="10" t="s">
        <v>31</v>
      </c>
      <c r="B27" s="8"/>
      <c r="C27" s="8"/>
      <c r="D27" s="8"/>
      <c r="E27" s="2"/>
      <c r="F27" s="42">
        <f>SUM(F6:F26)</f>
        <v>205696</v>
      </c>
      <c r="G27" s="2"/>
      <c r="I27" s="2"/>
    </row>
    <row r="28" spans="1:9" x14ac:dyDescent="0.2">
      <c r="A28" s="35"/>
      <c r="G28" s="35"/>
    </row>
    <row r="30" spans="1:9" x14ac:dyDescent="0.2">
      <c r="E30" s="21"/>
      <c r="F30" s="21"/>
    </row>
    <row r="32" spans="1:9" x14ac:dyDescent="0.2">
      <c r="A32" s="1" t="s">
        <v>238</v>
      </c>
      <c r="B32" s="1"/>
      <c r="C32" s="1"/>
      <c r="D32" s="1"/>
      <c r="E32" s="4"/>
      <c r="F32" s="4"/>
      <c r="G32" s="4"/>
      <c r="H32" s="2"/>
    </row>
    <row r="33" spans="1:11" x14ac:dyDescent="0.2">
      <c r="A33" s="1" t="s">
        <v>0</v>
      </c>
      <c r="B33" s="1"/>
      <c r="C33" s="1"/>
      <c r="D33" s="1"/>
      <c r="E33" s="4"/>
      <c r="F33" s="4"/>
      <c r="G33" s="4"/>
      <c r="H33" s="2"/>
    </row>
    <row r="34" spans="1:11" x14ac:dyDescent="0.2">
      <c r="A34" s="1" t="s">
        <v>188</v>
      </c>
      <c r="B34" s="1"/>
      <c r="C34" s="1"/>
      <c r="D34" s="1"/>
      <c r="E34" s="4"/>
      <c r="F34" s="4"/>
      <c r="G34" s="4"/>
      <c r="H34" s="2"/>
    </row>
    <row r="35" spans="1:11" x14ac:dyDescent="0.2">
      <c r="A35" s="5" t="s">
        <v>2</v>
      </c>
      <c r="B35" s="5"/>
      <c r="C35" s="5"/>
      <c r="D35" s="5"/>
      <c r="E35" s="2"/>
      <c r="F35" s="2"/>
      <c r="G35" s="2"/>
      <c r="H35" s="2"/>
    </row>
    <row r="36" spans="1:11" x14ac:dyDescent="0.2">
      <c r="A36" s="5" t="s">
        <v>3</v>
      </c>
      <c r="B36" s="5" t="s">
        <v>4</v>
      </c>
      <c r="C36" s="5" t="s">
        <v>5</v>
      </c>
      <c r="D36" s="5" t="s">
        <v>6</v>
      </c>
      <c r="E36" s="5" t="s">
        <v>7</v>
      </c>
      <c r="F36" s="6" t="s">
        <v>8</v>
      </c>
      <c r="G36" s="6"/>
      <c r="H36" s="6"/>
    </row>
    <row r="37" spans="1:11" x14ac:dyDescent="0.2">
      <c r="A37" s="11">
        <v>7209</v>
      </c>
      <c r="B37" s="9" t="s">
        <v>200</v>
      </c>
      <c r="C37" s="9">
        <v>7209</v>
      </c>
      <c r="D37" s="9" t="s">
        <v>250</v>
      </c>
      <c r="E37" s="2" t="s">
        <v>34</v>
      </c>
      <c r="F37" s="2">
        <v>46184</v>
      </c>
      <c r="G37" s="2"/>
      <c r="I37" s="2"/>
    </row>
    <row r="38" spans="1:11" x14ac:dyDescent="0.2">
      <c r="A38" s="11">
        <v>7209</v>
      </c>
      <c r="B38" s="9" t="s">
        <v>200</v>
      </c>
      <c r="C38" s="9">
        <v>7209</v>
      </c>
      <c r="D38" s="9" t="s">
        <v>250</v>
      </c>
      <c r="E38" s="2" t="s">
        <v>61</v>
      </c>
      <c r="F38" s="2">
        <v>41990</v>
      </c>
      <c r="G38" s="9"/>
      <c r="I38" s="2"/>
    </row>
    <row r="39" spans="1:11" x14ac:dyDescent="0.2">
      <c r="A39" s="11">
        <v>7209</v>
      </c>
      <c r="B39" s="9" t="s">
        <v>200</v>
      </c>
      <c r="C39" s="9">
        <v>7209</v>
      </c>
      <c r="D39" s="9" t="s">
        <v>250</v>
      </c>
      <c r="E39" s="2" t="s">
        <v>41</v>
      </c>
      <c r="F39" s="2">
        <v>31574</v>
      </c>
      <c r="G39" s="2"/>
      <c r="I39" s="2"/>
      <c r="K39" s="2"/>
    </row>
    <row r="40" spans="1:11" x14ac:dyDescent="0.2">
      <c r="A40" s="11">
        <v>7209</v>
      </c>
      <c r="B40" s="9" t="s">
        <v>200</v>
      </c>
      <c r="C40" s="9">
        <v>7209</v>
      </c>
      <c r="D40" s="9" t="s">
        <v>250</v>
      </c>
      <c r="E40" s="2" t="s">
        <v>43</v>
      </c>
      <c r="F40" s="2">
        <v>29999</v>
      </c>
      <c r="G40" s="9"/>
      <c r="I40" s="2"/>
      <c r="K40" s="2"/>
    </row>
    <row r="41" spans="1:11" x14ac:dyDescent="0.2">
      <c r="A41" s="11">
        <v>7209</v>
      </c>
      <c r="B41" s="9" t="s">
        <v>200</v>
      </c>
      <c r="C41" s="9">
        <v>7209</v>
      </c>
      <c r="D41" s="9" t="s">
        <v>250</v>
      </c>
      <c r="E41" s="2" t="s">
        <v>65</v>
      </c>
      <c r="F41" s="2">
        <v>28700</v>
      </c>
      <c r="G41" s="9"/>
      <c r="I41" s="2"/>
      <c r="K41" s="2"/>
    </row>
    <row r="42" spans="1:11" x14ac:dyDescent="0.2">
      <c r="A42" s="11">
        <v>7209</v>
      </c>
      <c r="B42" s="9" t="s">
        <v>200</v>
      </c>
      <c r="C42" s="9">
        <v>7209</v>
      </c>
      <c r="D42" s="9" t="s">
        <v>250</v>
      </c>
      <c r="E42" s="2" t="s">
        <v>81</v>
      </c>
      <c r="F42" s="2">
        <v>28017</v>
      </c>
      <c r="G42" s="9"/>
      <c r="I42" s="2"/>
    </row>
    <row r="43" spans="1:11" x14ac:dyDescent="0.2">
      <c r="A43" s="11">
        <v>7209</v>
      </c>
      <c r="B43" s="9" t="s">
        <v>200</v>
      </c>
      <c r="C43" s="9">
        <v>7209</v>
      </c>
      <c r="D43" s="9" t="s">
        <v>250</v>
      </c>
      <c r="E43" s="2" t="s">
        <v>67</v>
      </c>
      <c r="F43" s="2">
        <v>26870</v>
      </c>
      <c r="G43" s="9"/>
      <c r="I43" s="2"/>
    </row>
    <row r="44" spans="1:11" x14ac:dyDescent="0.2">
      <c r="A44" s="11">
        <v>7209</v>
      </c>
      <c r="B44" s="9" t="s">
        <v>200</v>
      </c>
      <c r="C44" s="9">
        <v>7209</v>
      </c>
      <c r="D44" s="9" t="s">
        <v>250</v>
      </c>
      <c r="E44" s="2" t="s">
        <v>37</v>
      </c>
      <c r="F44" s="2">
        <v>25777</v>
      </c>
      <c r="G44" s="9"/>
      <c r="I44" s="2"/>
    </row>
    <row r="45" spans="1:11" x14ac:dyDescent="0.2">
      <c r="A45" s="11">
        <v>7209</v>
      </c>
      <c r="B45" s="9" t="s">
        <v>200</v>
      </c>
      <c r="C45" s="9">
        <v>7209</v>
      </c>
      <c r="D45" s="9" t="s">
        <v>250</v>
      </c>
      <c r="E45" s="2" t="s">
        <v>47</v>
      </c>
      <c r="F45" s="2">
        <v>24436</v>
      </c>
      <c r="G45" s="9"/>
      <c r="I45" s="2"/>
    </row>
    <row r="46" spans="1:11" x14ac:dyDescent="0.2">
      <c r="A46" s="11">
        <v>7209</v>
      </c>
      <c r="B46" s="9" t="s">
        <v>200</v>
      </c>
      <c r="C46" s="9">
        <v>7209</v>
      </c>
      <c r="D46" s="9" t="s">
        <v>250</v>
      </c>
      <c r="E46" s="2" t="s">
        <v>57</v>
      </c>
      <c r="F46" s="2">
        <v>21976</v>
      </c>
      <c r="G46" s="9"/>
      <c r="I46" s="2"/>
    </row>
    <row r="47" spans="1:11" x14ac:dyDescent="0.2">
      <c r="A47" s="11">
        <v>7209</v>
      </c>
      <c r="B47" s="9" t="s">
        <v>200</v>
      </c>
      <c r="C47" s="9">
        <v>7209</v>
      </c>
      <c r="D47" s="9" t="s">
        <v>250</v>
      </c>
      <c r="E47" s="2" t="s">
        <v>38</v>
      </c>
      <c r="F47" s="2">
        <v>16406</v>
      </c>
      <c r="G47" s="9"/>
      <c r="I47" s="2"/>
    </row>
    <row r="48" spans="1:11" x14ac:dyDescent="0.2">
      <c r="A48" s="11">
        <v>7209</v>
      </c>
      <c r="B48" s="9" t="s">
        <v>200</v>
      </c>
      <c r="C48" s="9">
        <v>7209</v>
      </c>
      <c r="D48" s="9" t="s">
        <v>250</v>
      </c>
      <c r="E48" s="2" t="s">
        <v>36</v>
      </c>
      <c r="F48" s="2">
        <v>13529</v>
      </c>
      <c r="G48" s="9"/>
      <c r="I48" s="2"/>
      <c r="K48" s="2"/>
    </row>
    <row r="49" spans="1:11" x14ac:dyDescent="0.2">
      <c r="A49" s="11">
        <v>7209</v>
      </c>
      <c r="B49" s="9" t="s">
        <v>200</v>
      </c>
      <c r="C49" s="9">
        <v>7209</v>
      </c>
      <c r="D49" s="9" t="s">
        <v>250</v>
      </c>
      <c r="E49" s="2" t="s">
        <v>69</v>
      </c>
      <c r="F49" s="2">
        <v>13448</v>
      </c>
      <c r="G49" s="9"/>
      <c r="I49" s="2"/>
      <c r="K49" s="2"/>
    </row>
    <row r="50" spans="1:11" x14ac:dyDescent="0.2">
      <c r="A50" s="11">
        <v>7209</v>
      </c>
      <c r="B50" s="9" t="s">
        <v>200</v>
      </c>
      <c r="C50" s="9">
        <v>7209</v>
      </c>
      <c r="D50" s="9" t="s">
        <v>250</v>
      </c>
      <c r="E50" s="2" t="s">
        <v>157</v>
      </c>
      <c r="F50" s="2">
        <v>13223</v>
      </c>
      <c r="G50" s="9"/>
      <c r="I50" s="2"/>
      <c r="K50" s="2"/>
    </row>
    <row r="51" spans="1:11" x14ac:dyDescent="0.2">
      <c r="A51" s="11">
        <v>7209</v>
      </c>
      <c r="B51" s="9" t="s">
        <v>200</v>
      </c>
      <c r="C51" s="9">
        <v>7209</v>
      </c>
      <c r="D51" s="9" t="s">
        <v>250</v>
      </c>
      <c r="E51" s="2" t="s">
        <v>63</v>
      </c>
      <c r="F51" s="2">
        <v>12862</v>
      </c>
      <c r="G51" s="9"/>
      <c r="I51" s="2"/>
      <c r="K51" s="2"/>
    </row>
    <row r="52" spans="1:11" x14ac:dyDescent="0.2">
      <c r="A52" s="11">
        <v>7209</v>
      </c>
      <c r="B52" s="9" t="s">
        <v>200</v>
      </c>
      <c r="C52" s="9">
        <v>7209</v>
      </c>
      <c r="D52" s="9" t="s">
        <v>250</v>
      </c>
      <c r="E52" s="2" t="s">
        <v>73</v>
      </c>
      <c r="F52" s="2">
        <v>12335</v>
      </c>
      <c r="G52" s="9"/>
      <c r="I52" s="2"/>
      <c r="K52" s="2"/>
    </row>
    <row r="53" spans="1:11" x14ac:dyDescent="0.2">
      <c r="A53" s="11">
        <v>7209</v>
      </c>
      <c r="B53" s="9" t="s">
        <v>200</v>
      </c>
      <c r="C53" s="9">
        <v>7209</v>
      </c>
      <c r="D53" s="9" t="s">
        <v>250</v>
      </c>
      <c r="E53" s="2" t="s">
        <v>48</v>
      </c>
      <c r="F53" s="2">
        <v>12129</v>
      </c>
      <c r="G53" s="9"/>
      <c r="I53" s="2"/>
    </row>
    <row r="54" spans="1:11" x14ac:dyDescent="0.2">
      <c r="A54" s="11">
        <v>7209</v>
      </c>
      <c r="B54" s="9" t="s">
        <v>200</v>
      </c>
      <c r="C54" s="9">
        <v>7209</v>
      </c>
      <c r="D54" s="9" t="s">
        <v>250</v>
      </c>
      <c r="E54" s="2" t="s">
        <v>42</v>
      </c>
      <c r="F54" s="2">
        <v>11933</v>
      </c>
      <c r="G54" s="9"/>
      <c r="I54" s="2"/>
    </row>
    <row r="55" spans="1:11" x14ac:dyDescent="0.2">
      <c r="A55" s="11">
        <v>7209</v>
      </c>
      <c r="B55" s="9" t="s">
        <v>200</v>
      </c>
      <c r="C55" s="9">
        <v>7209</v>
      </c>
      <c r="D55" s="9" t="s">
        <v>250</v>
      </c>
      <c r="E55" s="2" t="s">
        <v>35</v>
      </c>
      <c r="F55" s="2">
        <v>11932</v>
      </c>
      <c r="G55" s="9"/>
      <c r="I55" s="2"/>
    </row>
    <row r="56" spans="1:11" x14ac:dyDescent="0.2">
      <c r="A56" s="11">
        <v>7209</v>
      </c>
      <c r="B56" s="9" t="s">
        <v>200</v>
      </c>
      <c r="C56" s="9">
        <v>7209</v>
      </c>
      <c r="D56" s="9" t="s">
        <v>250</v>
      </c>
      <c r="E56" s="2" t="s">
        <v>80</v>
      </c>
      <c r="F56" s="2">
        <v>11377</v>
      </c>
      <c r="G56" s="9"/>
      <c r="I56" s="2"/>
    </row>
    <row r="57" spans="1:11" x14ac:dyDescent="0.2">
      <c r="A57" s="11">
        <v>7209</v>
      </c>
      <c r="B57" s="9" t="s">
        <v>200</v>
      </c>
      <c r="C57" s="9">
        <v>7209</v>
      </c>
      <c r="D57" s="9" t="s">
        <v>250</v>
      </c>
      <c r="E57" s="2" t="s">
        <v>83</v>
      </c>
      <c r="F57" s="2">
        <v>11211</v>
      </c>
      <c r="G57" s="9"/>
      <c r="I57" s="2"/>
    </row>
    <row r="58" spans="1:11" x14ac:dyDescent="0.2">
      <c r="A58" s="11">
        <v>7209</v>
      </c>
      <c r="B58" s="9" t="s">
        <v>200</v>
      </c>
      <c r="C58" s="9">
        <v>7209</v>
      </c>
      <c r="D58" s="9" t="s">
        <v>250</v>
      </c>
      <c r="E58" s="2" t="s">
        <v>49</v>
      </c>
      <c r="F58" s="2">
        <v>11010</v>
      </c>
      <c r="G58" s="9"/>
      <c r="I58" s="2"/>
    </row>
    <row r="59" spans="1:11" x14ac:dyDescent="0.2">
      <c r="A59" s="11">
        <v>7209</v>
      </c>
      <c r="B59" s="9" t="s">
        <v>200</v>
      </c>
      <c r="C59" s="9">
        <v>7209</v>
      </c>
      <c r="D59" s="9" t="s">
        <v>250</v>
      </c>
      <c r="E59" s="2" t="s">
        <v>39</v>
      </c>
      <c r="F59" s="2">
        <v>10985</v>
      </c>
      <c r="G59" s="9"/>
      <c r="I59" s="2"/>
    </row>
    <row r="60" spans="1:11" x14ac:dyDescent="0.2">
      <c r="A60" s="11">
        <v>7209</v>
      </c>
      <c r="B60" s="9" t="s">
        <v>200</v>
      </c>
      <c r="C60" s="9">
        <v>7209</v>
      </c>
      <c r="D60" s="9" t="s">
        <v>250</v>
      </c>
      <c r="E60" s="2" t="s">
        <v>51</v>
      </c>
      <c r="F60" s="2">
        <v>8846</v>
      </c>
      <c r="G60" s="9"/>
      <c r="I60" s="2"/>
    </row>
    <row r="61" spans="1:11" x14ac:dyDescent="0.2">
      <c r="A61" s="11">
        <v>7209</v>
      </c>
      <c r="B61" s="9" t="s">
        <v>200</v>
      </c>
      <c r="C61" s="9">
        <v>7209</v>
      </c>
      <c r="D61" s="9" t="s">
        <v>250</v>
      </c>
      <c r="E61" s="2" t="s">
        <v>88</v>
      </c>
      <c r="F61" s="2">
        <v>7670</v>
      </c>
      <c r="G61" s="9"/>
      <c r="I61" s="2"/>
    </row>
    <row r="62" spans="1:11" x14ac:dyDescent="0.2">
      <c r="A62" s="11">
        <v>7209</v>
      </c>
      <c r="B62" s="9" t="s">
        <v>200</v>
      </c>
      <c r="C62" s="9">
        <v>7209</v>
      </c>
      <c r="D62" s="9" t="s">
        <v>250</v>
      </c>
      <c r="E62" s="2" t="s">
        <v>55</v>
      </c>
      <c r="F62" s="2">
        <v>6142</v>
      </c>
      <c r="G62" s="9"/>
      <c r="I62" s="2"/>
    </row>
    <row r="63" spans="1:11" x14ac:dyDescent="0.2">
      <c r="A63" s="11">
        <v>7209</v>
      </c>
      <c r="B63" s="9" t="s">
        <v>200</v>
      </c>
      <c r="C63" s="9">
        <v>7209</v>
      </c>
      <c r="D63" s="9" t="s">
        <v>250</v>
      </c>
      <c r="E63" s="2" t="s">
        <v>62</v>
      </c>
      <c r="F63" s="2">
        <v>5894</v>
      </c>
      <c r="G63" s="9"/>
      <c r="I63" s="2"/>
    </row>
    <row r="64" spans="1:11" x14ac:dyDescent="0.2">
      <c r="A64" s="11">
        <v>7209</v>
      </c>
      <c r="B64" s="9" t="s">
        <v>200</v>
      </c>
      <c r="C64" s="9">
        <v>7209</v>
      </c>
      <c r="D64" s="9" t="s">
        <v>250</v>
      </c>
      <c r="E64" s="2" t="s">
        <v>45</v>
      </c>
      <c r="F64" s="2">
        <v>5533</v>
      </c>
      <c r="G64" s="9"/>
      <c r="I64" s="2"/>
    </row>
    <row r="65" spans="1:11" x14ac:dyDescent="0.2">
      <c r="A65" s="11">
        <v>7209</v>
      </c>
      <c r="B65" s="9" t="s">
        <v>200</v>
      </c>
      <c r="C65" s="9">
        <v>7209</v>
      </c>
      <c r="D65" s="9" t="s">
        <v>250</v>
      </c>
      <c r="E65" s="2" t="s">
        <v>107</v>
      </c>
      <c r="F65" s="2">
        <v>4708</v>
      </c>
      <c r="G65" s="9"/>
      <c r="I65" s="2"/>
    </row>
    <row r="66" spans="1:11" x14ac:dyDescent="0.2">
      <c r="A66" s="11">
        <v>7209</v>
      </c>
      <c r="B66" s="9" t="s">
        <v>200</v>
      </c>
      <c r="C66" s="9">
        <v>7209</v>
      </c>
      <c r="D66" s="9" t="s">
        <v>250</v>
      </c>
      <c r="E66" s="2" t="s">
        <v>100</v>
      </c>
      <c r="F66" s="2">
        <v>4317</v>
      </c>
      <c r="G66" s="9"/>
      <c r="I66" s="2"/>
    </row>
    <row r="67" spans="1:11" x14ac:dyDescent="0.2">
      <c r="A67" s="11">
        <v>7209</v>
      </c>
      <c r="B67" s="9" t="s">
        <v>200</v>
      </c>
      <c r="C67" s="9">
        <v>7209</v>
      </c>
      <c r="D67" s="9" t="s">
        <v>250</v>
      </c>
      <c r="E67" s="2" t="s">
        <v>46</v>
      </c>
      <c r="F67" s="2">
        <v>3434</v>
      </c>
      <c r="G67" s="9"/>
      <c r="I67" s="2"/>
    </row>
    <row r="68" spans="1:11" x14ac:dyDescent="0.2">
      <c r="A68" s="11">
        <v>7209</v>
      </c>
      <c r="B68" s="9" t="s">
        <v>200</v>
      </c>
      <c r="C68" s="9">
        <v>7209</v>
      </c>
      <c r="D68" s="9" t="s">
        <v>250</v>
      </c>
      <c r="E68" s="2" t="s">
        <v>98</v>
      </c>
      <c r="F68" s="2">
        <v>3166</v>
      </c>
      <c r="G68" s="9"/>
      <c r="I68" s="2"/>
      <c r="K68" s="2"/>
    </row>
    <row r="69" spans="1:11" x14ac:dyDescent="0.2">
      <c r="A69" s="11">
        <v>7209</v>
      </c>
      <c r="B69" s="9" t="s">
        <v>200</v>
      </c>
      <c r="C69" s="9">
        <v>7209</v>
      </c>
      <c r="D69" s="9" t="s">
        <v>250</v>
      </c>
      <c r="E69" s="2" t="s">
        <v>158</v>
      </c>
      <c r="F69" s="2">
        <v>2837</v>
      </c>
      <c r="G69" s="9"/>
      <c r="I69" s="2"/>
      <c r="K69" s="2"/>
    </row>
    <row r="70" spans="1:11" x14ac:dyDescent="0.2">
      <c r="A70" s="11">
        <v>7209</v>
      </c>
      <c r="B70" s="9" t="s">
        <v>200</v>
      </c>
      <c r="C70" s="9">
        <v>7209</v>
      </c>
      <c r="D70" s="9" t="s">
        <v>250</v>
      </c>
      <c r="E70" s="2" t="s">
        <v>68</v>
      </c>
      <c r="F70" s="2">
        <v>2754</v>
      </c>
      <c r="G70" s="9"/>
      <c r="I70" s="2"/>
      <c r="K70" s="2"/>
    </row>
    <row r="71" spans="1:11" x14ac:dyDescent="0.2">
      <c r="A71" s="11">
        <v>7209</v>
      </c>
      <c r="B71" s="9" t="s">
        <v>200</v>
      </c>
      <c r="C71" s="9">
        <v>7209</v>
      </c>
      <c r="D71" s="9" t="s">
        <v>250</v>
      </c>
      <c r="E71" s="2" t="s">
        <v>52</v>
      </c>
      <c r="F71" s="2">
        <v>2724</v>
      </c>
      <c r="G71" s="9"/>
      <c r="I71" s="2"/>
      <c r="K71" s="2"/>
    </row>
    <row r="72" spans="1:11" x14ac:dyDescent="0.2">
      <c r="A72" s="11">
        <v>7209</v>
      </c>
      <c r="B72" s="9" t="s">
        <v>200</v>
      </c>
      <c r="C72" s="9">
        <v>7209</v>
      </c>
      <c r="D72" s="9" t="s">
        <v>250</v>
      </c>
      <c r="E72" s="2" t="s">
        <v>50</v>
      </c>
      <c r="F72" s="2">
        <v>2668</v>
      </c>
      <c r="G72" s="9"/>
      <c r="I72" s="2"/>
      <c r="K72" s="2"/>
    </row>
    <row r="73" spans="1:11" x14ac:dyDescent="0.2">
      <c r="A73" s="11">
        <v>7209</v>
      </c>
      <c r="B73" s="9" t="s">
        <v>200</v>
      </c>
      <c r="C73" s="9">
        <v>7209</v>
      </c>
      <c r="D73" s="9" t="s">
        <v>250</v>
      </c>
      <c r="E73" s="2" t="s">
        <v>79</v>
      </c>
      <c r="F73" s="2">
        <v>2616</v>
      </c>
      <c r="G73" s="9"/>
      <c r="I73" s="2"/>
      <c r="K73" s="2"/>
    </row>
    <row r="74" spans="1:11" x14ac:dyDescent="0.2">
      <c r="A74" s="11">
        <v>7209</v>
      </c>
      <c r="B74" s="9" t="s">
        <v>200</v>
      </c>
      <c r="C74" s="9">
        <v>7209</v>
      </c>
      <c r="D74" s="9" t="s">
        <v>250</v>
      </c>
      <c r="E74" s="2" t="s">
        <v>40</v>
      </c>
      <c r="F74" s="2">
        <v>2605</v>
      </c>
      <c r="G74" s="9"/>
      <c r="I74" s="2"/>
    </row>
    <row r="75" spans="1:11" x14ac:dyDescent="0.2">
      <c r="A75" s="11">
        <v>7209</v>
      </c>
      <c r="B75" s="9" t="s">
        <v>200</v>
      </c>
      <c r="C75" s="9">
        <v>7209</v>
      </c>
      <c r="D75" s="9" t="s">
        <v>250</v>
      </c>
      <c r="E75" s="2" t="s">
        <v>114</v>
      </c>
      <c r="F75" s="2">
        <v>2415</v>
      </c>
      <c r="G75" s="9"/>
      <c r="I75" s="2"/>
    </row>
    <row r="76" spans="1:11" x14ac:dyDescent="0.2">
      <c r="A76" s="11">
        <v>7209</v>
      </c>
      <c r="B76" s="9" t="s">
        <v>200</v>
      </c>
      <c r="C76" s="9">
        <v>7209</v>
      </c>
      <c r="D76" s="9" t="s">
        <v>250</v>
      </c>
      <c r="E76" s="2" t="s">
        <v>54</v>
      </c>
      <c r="F76" s="2">
        <v>2404</v>
      </c>
      <c r="G76" s="9"/>
      <c r="I76" s="2"/>
    </row>
    <row r="77" spans="1:11" x14ac:dyDescent="0.2">
      <c r="A77" s="11">
        <v>7209</v>
      </c>
      <c r="B77" s="9" t="s">
        <v>200</v>
      </c>
      <c r="C77" s="9">
        <v>7209</v>
      </c>
      <c r="D77" s="9" t="s">
        <v>250</v>
      </c>
      <c r="E77" s="2" t="s">
        <v>76</v>
      </c>
      <c r="F77" s="2">
        <v>2361</v>
      </c>
      <c r="G77" s="9"/>
      <c r="I77" s="2"/>
    </row>
    <row r="78" spans="1:11" x14ac:dyDescent="0.2">
      <c r="A78" s="11">
        <v>7209</v>
      </c>
      <c r="B78" s="9" t="s">
        <v>200</v>
      </c>
      <c r="C78" s="9">
        <v>7209</v>
      </c>
      <c r="D78" s="9" t="s">
        <v>250</v>
      </c>
      <c r="E78" s="2" t="s">
        <v>103</v>
      </c>
      <c r="F78" s="2">
        <v>2331</v>
      </c>
      <c r="G78" s="9"/>
      <c r="I78" s="2"/>
    </row>
    <row r="79" spans="1:11" x14ac:dyDescent="0.2">
      <c r="A79" s="11">
        <v>7209</v>
      </c>
      <c r="B79" s="9" t="s">
        <v>200</v>
      </c>
      <c r="C79" s="9">
        <v>7209</v>
      </c>
      <c r="D79" s="9" t="s">
        <v>250</v>
      </c>
      <c r="E79" s="2" t="s">
        <v>94</v>
      </c>
      <c r="F79" s="2">
        <v>2189</v>
      </c>
      <c r="G79" s="9"/>
      <c r="I79" s="2"/>
    </row>
    <row r="80" spans="1:11" x14ac:dyDescent="0.2">
      <c r="A80" s="11">
        <v>7209</v>
      </c>
      <c r="B80" s="9" t="s">
        <v>200</v>
      </c>
      <c r="C80" s="9">
        <v>7209</v>
      </c>
      <c r="D80" s="9" t="s">
        <v>250</v>
      </c>
      <c r="E80" s="2" t="s">
        <v>93</v>
      </c>
      <c r="F80" s="2">
        <v>2108</v>
      </c>
      <c r="G80" s="9"/>
      <c r="I80" s="2"/>
    </row>
    <row r="81" spans="1:11" x14ac:dyDescent="0.2">
      <c r="A81" s="11">
        <v>7209</v>
      </c>
      <c r="B81" s="9" t="s">
        <v>200</v>
      </c>
      <c r="C81" s="9">
        <v>7209</v>
      </c>
      <c r="D81" s="9" t="s">
        <v>250</v>
      </c>
      <c r="E81" s="2" t="s">
        <v>66</v>
      </c>
      <c r="F81" s="2">
        <v>1668</v>
      </c>
      <c r="G81" s="9"/>
      <c r="I81" s="2"/>
    </row>
    <row r="82" spans="1:11" x14ac:dyDescent="0.2">
      <c r="A82" s="11">
        <v>7209</v>
      </c>
      <c r="B82" s="9" t="s">
        <v>200</v>
      </c>
      <c r="C82" s="9">
        <v>7209</v>
      </c>
      <c r="D82" s="9" t="s">
        <v>250</v>
      </c>
      <c r="E82" s="2" t="s">
        <v>90</v>
      </c>
      <c r="F82" s="2">
        <v>1548</v>
      </c>
      <c r="G82" s="9"/>
      <c r="I82" s="2"/>
    </row>
    <row r="83" spans="1:11" x14ac:dyDescent="0.2">
      <c r="A83" s="11">
        <v>7209</v>
      </c>
      <c r="B83" s="9" t="s">
        <v>200</v>
      </c>
      <c r="C83" s="9">
        <v>7209</v>
      </c>
      <c r="D83" s="9" t="s">
        <v>250</v>
      </c>
      <c r="E83" s="2" t="s">
        <v>64</v>
      </c>
      <c r="F83" s="2">
        <v>1440</v>
      </c>
      <c r="G83" s="9"/>
      <c r="I83" s="2"/>
    </row>
    <row r="84" spans="1:11" x14ac:dyDescent="0.2">
      <c r="A84" s="11">
        <v>7209</v>
      </c>
      <c r="B84" s="9" t="s">
        <v>200</v>
      </c>
      <c r="C84" s="9">
        <v>7209</v>
      </c>
      <c r="D84" s="9" t="s">
        <v>250</v>
      </c>
      <c r="E84" s="2" t="s">
        <v>91</v>
      </c>
      <c r="F84" s="2">
        <v>1073</v>
      </c>
      <c r="G84" s="9"/>
      <c r="I84" s="2"/>
    </row>
    <row r="85" spans="1:11" x14ac:dyDescent="0.2">
      <c r="A85" s="11">
        <v>7209</v>
      </c>
      <c r="B85" s="9" t="s">
        <v>200</v>
      </c>
      <c r="C85" s="9">
        <v>7209</v>
      </c>
      <c r="D85" s="9" t="s">
        <v>250</v>
      </c>
      <c r="E85" s="2" t="s">
        <v>78</v>
      </c>
      <c r="F85" s="2">
        <v>1028</v>
      </c>
      <c r="G85" s="9"/>
      <c r="I85" s="2"/>
    </row>
    <row r="86" spans="1:11" x14ac:dyDescent="0.2">
      <c r="A86" s="11">
        <v>7209</v>
      </c>
      <c r="B86" s="9" t="s">
        <v>200</v>
      </c>
      <c r="C86" s="9">
        <v>7209</v>
      </c>
      <c r="D86" s="9" t="s">
        <v>250</v>
      </c>
      <c r="E86" s="2" t="s">
        <v>74</v>
      </c>
      <c r="F86" s="2">
        <v>882</v>
      </c>
      <c r="G86" s="9"/>
      <c r="I86" s="2"/>
    </row>
    <row r="87" spans="1:11" x14ac:dyDescent="0.2">
      <c r="A87" s="11">
        <v>7209</v>
      </c>
      <c r="B87" s="9" t="s">
        <v>200</v>
      </c>
      <c r="C87" s="9">
        <v>7209</v>
      </c>
      <c r="D87" s="9" t="s">
        <v>250</v>
      </c>
      <c r="E87" s="2" t="s">
        <v>86</v>
      </c>
      <c r="F87" s="2">
        <v>872</v>
      </c>
      <c r="G87" s="9"/>
      <c r="I87" s="2"/>
    </row>
    <row r="88" spans="1:11" x14ac:dyDescent="0.2">
      <c r="A88" s="11">
        <v>7209</v>
      </c>
      <c r="B88" s="9" t="s">
        <v>200</v>
      </c>
      <c r="C88" s="9">
        <v>7209</v>
      </c>
      <c r="D88" s="9" t="s">
        <v>250</v>
      </c>
      <c r="E88" s="2" t="s">
        <v>75</v>
      </c>
      <c r="F88" s="2">
        <v>870</v>
      </c>
      <c r="G88" s="9"/>
      <c r="I88" s="2"/>
    </row>
    <row r="89" spans="1:11" x14ac:dyDescent="0.2">
      <c r="A89" s="11">
        <v>7209</v>
      </c>
      <c r="B89" s="9" t="s">
        <v>200</v>
      </c>
      <c r="C89" s="9">
        <v>7209</v>
      </c>
      <c r="D89" s="9" t="s">
        <v>250</v>
      </c>
      <c r="E89" s="2" t="s">
        <v>70</v>
      </c>
      <c r="F89" s="2">
        <v>830</v>
      </c>
      <c r="G89" s="9"/>
      <c r="I89" s="2"/>
    </row>
    <row r="90" spans="1:11" x14ac:dyDescent="0.2">
      <c r="A90" s="11">
        <v>7209</v>
      </c>
      <c r="B90" s="9" t="s">
        <v>200</v>
      </c>
      <c r="C90" s="9">
        <v>7209</v>
      </c>
      <c r="D90" s="9" t="s">
        <v>250</v>
      </c>
      <c r="E90" s="2" t="s">
        <v>58</v>
      </c>
      <c r="F90" s="2">
        <v>729</v>
      </c>
      <c r="G90" s="9"/>
      <c r="I90" s="2"/>
    </row>
    <row r="91" spans="1:11" x14ac:dyDescent="0.2">
      <c r="A91" s="11">
        <v>7209</v>
      </c>
      <c r="B91" s="9" t="s">
        <v>200</v>
      </c>
      <c r="C91" s="9">
        <v>7209</v>
      </c>
      <c r="D91" s="9" t="s">
        <v>250</v>
      </c>
      <c r="E91" s="2" t="s">
        <v>56</v>
      </c>
      <c r="F91" s="2">
        <v>687</v>
      </c>
      <c r="G91" s="9"/>
      <c r="I91" s="2"/>
    </row>
    <row r="92" spans="1:11" x14ac:dyDescent="0.2">
      <c r="A92" s="11">
        <v>7209</v>
      </c>
      <c r="B92" s="9" t="s">
        <v>200</v>
      </c>
      <c r="C92" s="9">
        <v>7209</v>
      </c>
      <c r="D92" s="9" t="s">
        <v>250</v>
      </c>
      <c r="E92" s="2" t="s">
        <v>105</v>
      </c>
      <c r="F92" s="2">
        <v>647</v>
      </c>
      <c r="G92" s="9"/>
      <c r="I92" s="2"/>
    </row>
    <row r="93" spans="1:11" x14ac:dyDescent="0.2">
      <c r="A93" s="11">
        <v>7209</v>
      </c>
      <c r="B93" s="9" t="s">
        <v>200</v>
      </c>
      <c r="C93" s="9">
        <v>7209</v>
      </c>
      <c r="D93" s="9" t="s">
        <v>250</v>
      </c>
      <c r="E93" s="2" t="s">
        <v>71</v>
      </c>
      <c r="F93" s="2">
        <v>629</v>
      </c>
      <c r="G93" s="9"/>
      <c r="I93" s="2"/>
      <c r="K93" s="2"/>
    </row>
    <row r="94" spans="1:11" x14ac:dyDescent="0.2">
      <c r="A94" s="11">
        <v>7209</v>
      </c>
      <c r="B94" s="9" t="s">
        <v>200</v>
      </c>
      <c r="C94" s="9">
        <v>7209</v>
      </c>
      <c r="D94" s="9" t="s">
        <v>250</v>
      </c>
      <c r="E94" s="2" t="s">
        <v>72</v>
      </c>
      <c r="F94" s="2">
        <v>582</v>
      </c>
      <c r="G94" s="9"/>
      <c r="I94" s="2"/>
      <c r="K94" s="2"/>
    </row>
    <row r="95" spans="1:11" x14ac:dyDescent="0.2">
      <c r="A95" s="11">
        <v>7209</v>
      </c>
      <c r="B95" s="9" t="s">
        <v>200</v>
      </c>
      <c r="C95" s="9">
        <v>7209</v>
      </c>
      <c r="D95" s="9" t="s">
        <v>250</v>
      </c>
      <c r="E95" s="2" t="s">
        <v>84</v>
      </c>
      <c r="F95" s="2">
        <v>530</v>
      </c>
      <c r="G95" s="9"/>
      <c r="I95" s="2"/>
      <c r="K95" s="2"/>
    </row>
    <row r="96" spans="1:11" x14ac:dyDescent="0.2">
      <c r="A96" s="11">
        <v>7209</v>
      </c>
      <c r="B96" s="9" t="s">
        <v>200</v>
      </c>
      <c r="C96" s="9">
        <v>7209</v>
      </c>
      <c r="D96" s="9" t="s">
        <v>250</v>
      </c>
      <c r="E96" s="2" t="s">
        <v>53</v>
      </c>
      <c r="F96" s="2">
        <v>440</v>
      </c>
      <c r="G96" s="9"/>
      <c r="I96" s="2"/>
      <c r="K96" s="2"/>
    </row>
    <row r="97" spans="1:11" x14ac:dyDescent="0.2">
      <c r="A97" s="11">
        <v>7209</v>
      </c>
      <c r="B97" s="9" t="s">
        <v>200</v>
      </c>
      <c r="C97" s="9">
        <v>7209</v>
      </c>
      <c r="D97" s="9" t="s">
        <v>250</v>
      </c>
      <c r="E97" s="2" t="s">
        <v>92</v>
      </c>
      <c r="F97" s="2">
        <v>359</v>
      </c>
      <c r="G97" s="9"/>
      <c r="I97" s="2"/>
      <c r="K97" s="2"/>
    </row>
    <row r="98" spans="1:11" x14ac:dyDescent="0.2">
      <c r="A98" s="11">
        <v>7209</v>
      </c>
      <c r="B98" s="9" t="s">
        <v>200</v>
      </c>
      <c r="C98" s="9">
        <v>7209</v>
      </c>
      <c r="D98" s="9" t="s">
        <v>250</v>
      </c>
      <c r="E98" s="2" t="s">
        <v>87</v>
      </c>
      <c r="F98" s="2">
        <v>178</v>
      </c>
      <c r="G98" s="9"/>
      <c r="I98" s="2"/>
    </row>
    <row r="99" spans="1:11" x14ac:dyDescent="0.2">
      <c r="A99" s="11">
        <v>7209</v>
      </c>
      <c r="B99" s="9" t="s">
        <v>200</v>
      </c>
      <c r="C99" s="9">
        <v>7209</v>
      </c>
      <c r="D99" s="9" t="s">
        <v>250</v>
      </c>
      <c r="E99" s="2" t="s">
        <v>112</v>
      </c>
      <c r="F99" s="2">
        <v>142</v>
      </c>
      <c r="G99" s="9"/>
      <c r="I99" s="2"/>
    </row>
    <row r="100" spans="1:11" x14ac:dyDescent="0.2">
      <c r="A100" s="11">
        <v>7209</v>
      </c>
      <c r="B100" s="9" t="s">
        <v>200</v>
      </c>
      <c r="C100" s="9">
        <v>7209</v>
      </c>
      <c r="D100" s="9" t="s">
        <v>250</v>
      </c>
      <c r="E100" s="2" t="s">
        <v>60</v>
      </c>
      <c r="F100" s="2">
        <v>118</v>
      </c>
      <c r="G100" s="9"/>
      <c r="I100" s="2"/>
    </row>
    <row r="101" spans="1:11" x14ac:dyDescent="0.2">
      <c r="A101" s="11">
        <v>7209</v>
      </c>
      <c r="B101" s="9" t="s">
        <v>200</v>
      </c>
      <c r="C101" s="9">
        <v>7209</v>
      </c>
      <c r="D101" s="9" t="s">
        <v>250</v>
      </c>
      <c r="E101" s="2" t="s">
        <v>96</v>
      </c>
      <c r="F101" s="2">
        <v>99</v>
      </c>
      <c r="G101" s="9"/>
      <c r="I101" s="2"/>
    </row>
    <row r="102" spans="1:11" x14ac:dyDescent="0.2">
      <c r="A102" s="11">
        <v>7209</v>
      </c>
      <c r="B102" s="9" t="s">
        <v>200</v>
      </c>
      <c r="C102" s="9">
        <v>7209</v>
      </c>
      <c r="D102" s="9" t="s">
        <v>250</v>
      </c>
      <c r="E102" s="2" t="s">
        <v>44</v>
      </c>
      <c r="F102" s="2">
        <v>76</v>
      </c>
      <c r="G102" s="9"/>
      <c r="H102" s="2"/>
      <c r="I102" s="2"/>
    </row>
    <row r="103" spans="1:11" x14ac:dyDescent="0.2">
      <c r="A103" s="11">
        <v>7209</v>
      </c>
      <c r="B103" s="9" t="s">
        <v>200</v>
      </c>
      <c r="C103" s="9">
        <v>7209</v>
      </c>
      <c r="D103" s="9" t="s">
        <v>250</v>
      </c>
      <c r="E103" s="2" t="s">
        <v>82</v>
      </c>
      <c r="F103" s="2">
        <v>53</v>
      </c>
      <c r="G103" s="9"/>
      <c r="I103" s="2"/>
    </row>
    <row r="104" spans="1:11" x14ac:dyDescent="0.2">
      <c r="A104" s="11">
        <v>7209</v>
      </c>
      <c r="B104" s="9" t="s">
        <v>200</v>
      </c>
      <c r="C104" s="9">
        <v>7209</v>
      </c>
      <c r="D104" s="9" t="s">
        <v>250</v>
      </c>
      <c r="E104" s="2" t="s">
        <v>111</v>
      </c>
      <c r="F104" s="2">
        <v>35</v>
      </c>
      <c r="G104" s="9"/>
      <c r="I104" s="2"/>
    </row>
    <row r="105" spans="1:11" x14ac:dyDescent="0.2">
      <c r="A105" s="11">
        <v>7209</v>
      </c>
      <c r="B105" s="9" t="s">
        <v>200</v>
      </c>
      <c r="C105" s="9">
        <v>7209</v>
      </c>
      <c r="D105" s="9" t="s">
        <v>250</v>
      </c>
      <c r="E105" s="2" t="s">
        <v>77</v>
      </c>
      <c r="F105" s="2">
        <v>12</v>
      </c>
      <c r="G105" s="9"/>
      <c r="I105" s="2"/>
    </row>
    <row r="106" spans="1:11" x14ac:dyDescent="0.2">
      <c r="A106" s="10" t="s">
        <v>31</v>
      </c>
      <c r="B106" s="9"/>
      <c r="C106" s="9"/>
      <c r="D106" s="9"/>
      <c r="E106" s="2"/>
      <c r="F106" s="10">
        <f>SUM(F37:F105)</f>
        <v>563152</v>
      </c>
      <c r="G106" s="9"/>
    </row>
    <row r="107" spans="1:11" x14ac:dyDescent="0.2">
      <c r="A107" s="35"/>
      <c r="G107" s="35"/>
    </row>
  </sheetData>
  <sortState xmlns:xlrd2="http://schemas.microsoft.com/office/spreadsheetml/2017/richdata2" ref="A37:F105">
    <sortCondition descending="1" ref="F37:F1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861C-6D14-6E46-BFE3-03394F3DF6E7}">
  <dimension ref="A1:H20"/>
  <sheetViews>
    <sheetView workbookViewId="0">
      <selection activeCell="A20" sqref="A20"/>
    </sheetView>
  </sheetViews>
  <sheetFormatPr baseColWidth="10" defaultRowHeight="16" x14ac:dyDescent="0.2"/>
  <cols>
    <col min="1" max="1" width="15.1640625" customWidth="1"/>
    <col min="2" max="2" width="25.5" customWidth="1"/>
    <col min="3" max="3" width="45.33203125" customWidth="1"/>
    <col min="4" max="5" width="20.5" customWidth="1"/>
    <col min="6" max="6" width="23.1640625" customWidth="1"/>
  </cols>
  <sheetData>
    <row r="1" spans="1:8" x14ac:dyDescent="0.2">
      <c r="A1" s="1" t="s">
        <v>238</v>
      </c>
      <c r="B1" s="1"/>
      <c r="C1" s="1"/>
      <c r="D1" s="1"/>
      <c r="E1" s="1"/>
      <c r="F1" s="1"/>
      <c r="G1" s="1"/>
    </row>
    <row r="2" spans="1:8" x14ac:dyDescent="0.2">
      <c r="A2" s="1" t="s">
        <v>0</v>
      </c>
      <c r="B2" s="1"/>
      <c r="C2" s="1"/>
      <c r="D2" s="1"/>
      <c r="E2" s="1"/>
      <c r="F2" s="1"/>
      <c r="G2" s="1"/>
    </row>
    <row r="3" spans="1:8" x14ac:dyDescent="0.2">
      <c r="A3" s="1" t="s">
        <v>201</v>
      </c>
      <c r="B3" s="1"/>
      <c r="C3" s="1"/>
      <c r="D3" s="1"/>
      <c r="E3" s="1"/>
      <c r="F3" s="1"/>
      <c r="G3" s="3"/>
    </row>
    <row r="4" spans="1:8" x14ac:dyDescent="0.2">
      <c r="A4" s="1" t="s">
        <v>116</v>
      </c>
      <c r="B4" s="1"/>
      <c r="C4" s="1"/>
      <c r="D4" s="1"/>
      <c r="E4" s="1"/>
      <c r="F4" s="1"/>
      <c r="G4" s="1"/>
    </row>
    <row r="5" spans="1:8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  <c r="G5" s="6"/>
    </row>
    <row r="6" spans="1:8" x14ac:dyDescent="0.2">
      <c r="A6" s="9" t="s">
        <v>202</v>
      </c>
      <c r="B6" s="9" t="s">
        <v>203</v>
      </c>
      <c r="C6" s="9" t="s">
        <v>251</v>
      </c>
      <c r="D6" s="2" t="s">
        <v>120</v>
      </c>
      <c r="E6" s="2">
        <v>97594</v>
      </c>
      <c r="F6" s="17"/>
      <c r="H6" s="2"/>
    </row>
    <row r="7" spans="1:8" x14ac:dyDescent="0.2">
      <c r="A7" s="9" t="s">
        <v>202</v>
      </c>
      <c r="B7" s="9" t="s">
        <v>203</v>
      </c>
      <c r="C7" s="9" t="s">
        <v>251</v>
      </c>
      <c r="D7" s="2" t="s">
        <v>122</v>
      </c>
      <c r="E7" s="2">
        <v>91581</v>
      </c>
      <c r="F7" s="17"/>
      <c r="H7" s="2"/>
    </row>
    <row r="8" spans="1:8" x14ac:dyDescent="0.2">
      <c r="A8" s="9" t="s">
        <v>202</v>
      </c>
      <c r="B8" s="9" t="s">
        <v>203</v>
      </c>
      <c r="C8" s="9" t="s">
        <v>251</v>
      </c>
      <c r="D8" s="9" t="s">
        <v>123</v>
      </c>
      <c r="E8" s="9">
        <v>84687</v>
      </c>
      <c r="F8" s="17"/>
      <c r="H8" s="2"/>
    </row>
    <row r="9" spans="1:8" x14ac:dyDescent="0.2">
      <c r="A9" s="9" t="s">
        <v>202</v>
      </c>
      <c r="B9" s="9" t="s">
        <v>203</v>
      </c>
      <c r="C9" s="9" t="s">
        <v>251</v>
      </c>
      <c r="D9" s="9" t="s">
        <v>126</v>
      </c>
      <c r="E9" s="9">
        <v>77382</v>
      </c>
      <c r="F9" s="17"/>
      <c r="H9" s="2"/>
    </row>
    <row r="10" spans="1:8" x14ac:dyDescent="0.2">
      <c r="A10" s="9" t="s">
        <v>202</v>
      </c>
      <c r="B10" s="9" t="s">
        <v>203</v>
      </c>
      <c r="C10" s="9" t="s">
        <v>251</v>
      </c>
      <c r="D10" s="9" t="s">
        <v>124</v>
      </c>
      <c r="E10" s="9">
        <v>71453</v>
      </c>
      <c r="F10" s="17"/>
      <c r="H10" s="2"/>
    </row>
    <row r="11" spans="1:8" x14ac:dyDescent="0.2">
      <c r="A11" s="9" t="s">
        <v>202</v>
      </c>
      <c r="B11" s="9" t="s">
        <v>203</v>
      </c>
      <c r="C11" s="9" t="s">
        <v>251</v>
      </c>
      <c r="D11" s="9" t="s">
        <v>128</v>
      </c>
      <c r="E11" s="9">
        <v>66426</v>
      </c>
      <c r="F11" s="17"/>
      <c r="H11" s="2"/>
    </row>
    <row r="12" spans="1:8" x14ac:dyDescent="0.2">
      <c r="A12" s="9" t="s">
        <v>202</v>
      </c>
      <c r="B12" s="9" t="s">
        <v>203</v>
      </c>
      <c r="C12" s="9" t="s">
        <v>251</v>
      </c>
      <c r="D12" s="9" t="s">
        <v>136</v>
      </c>
      <c r="E12" s="9">
        <v>59448</v>
      </c>
      <c r="F12" s="17"/>
      <c r="H12" s="2"/>
    </row>
    <row r="13" spans="1:8" x14ac:dyDescent="0.2">
      <c r="A13" s="9" t="s">
        <v>202</v>
      </c>
      <c r="B13" s="9" t="s">
        <v>203</v>
      </c>
      <c r="C13" s="9" t="s">
        <v>251</v>
      </c>
      <c r="D13" s="9" t="s">
        <v>131</v>
      </c>
      <c r="E13" s="9">
        <v>56966</v>
      </c>
      <c r="F13" s="17"/>
      <c r="G13" s="9"/>
      <c r="H13" s="2"/>
    </row>
    <row r="14" spans="1:8" x14ac:dyDescent="0.2">
      <c r="A14" s="9" t="s">
        <v>202</v>
      </c>
      <c r="B14" s="9" t="s">
        <v>203</v>
      </c>
      <c r="C14" s="9" t="s">
        <v>251</v>
      </c>
      <c r="D14" s="9" t="s">
        <v>135</v>
      </c>
      <c r="E14" s="9">
        <v>49773</v>
      </c>
      <c r="F14" s="17"/>
      <c r="H14" s="2"/>
    </row>
    <row r="15" spans="1:8" x14ac:dyDescent="0.2">
      <c r="A15" s="9" t="s">
        <v>202</v>
      </c>
      <c r="B15" s="9" t="s">
        <v>203</v>
      </c>
      <c r="C15" s="9" t="s">
        <v>251</v>
      </c>
      <c r="D15" s="2" t="s">
        <v>139</v>
      </c>
      <c r="E15" s="2">
        <v>44422</v>
      </c>
      <c r="F15" s="17"/>
      <c r="H15" s="2"/>
    </row>
    <row r="16" spans="1:8" x14ac:dyDescent="0.2">
      <c r="A16" s="9" t="s">
        <v>202</v>
      </c>
      <c r="B16" s="9" t="s">
        <v>203</v>
      </c>
      <c r="C16" s="9" t="s">
        <v>251</v>
      </c>
      <c r="D16" s="2" t="s">
        <v>140</v>
      </c>
      <c r="E16" s="2">
        <v>35979</v>
      </c>
      <c r="F16" s="17"/>
      <c r="H16" s="2"/>
    </row>
    <row r="17" spans="1:8" x14ac:dyDescent="0.2">
      <c r="A17" s="9" t="s">
        <v>202</v>
      </c>
      <c r="B17" s="9" t="s">
        <v>203</v>
      </c>
      <c r="C17" s="9" t="s">
        <v>251</v>
      </c>
      <c r="D17" s="2" t="s">
        <v>143</v>
      </c>
      <c r="E17" s="2">
        <v>23428</v>
      </c>
      <c r="F17" s="17"/>
      <c r="H17" s="2"/>
    </row>
    <row r="18" spans="1:8" x14ac:dyDescent="0.2">
      <c r="A18" s="9" t="s">
        <v>202</v>
      </c>
      <c r="B18" s="9" t="s">
        <v>203</v>
      </c>
      <c r="C18" s="9" t="s">
        <v>251</v>
      </c>
      <c r="D18" s="2" t="s">
        <v>144</v>
      </c>
      <c r="E18" s="2">
        <v>9708</v>
      </c>
      <c r="F18" s="17"/>
      <c r="H18" s="2"/>
    </row>
    <row r="19" spans="1:8" x14ac:dyDescent="0.2">
      <c r="A19" s="10" t="s">
        <v>31</v>
      </c>
      <c r="B19" s="9"/>
      <c r="C19" s="9"/>
      <c r="D19" s="2"/>
      <c r="E19" s="42">
        <f>SUM(E6:E18)</f>
        <v>768847</v>
      </c>
      <c r="F19" s="17"/>
      <c r="H19" s="2"/>
    </row>
    <row r="20" spans="1:8" x14ac:dyDescent="0.2">
      <c r="A20" s="35"/>
      <c r="F20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F097-CC41-BC4A-9081-263E0DA974BB}">
  <dimension ref="A1:N27"/>
  <sheetViews>
    <sheetView workbookViewId="0">
      <selection activeCell="I14" sqref="I14"/>
    </sheetView>
  </sheetViews>
  <sheetFormatPr baseColWidth="10" defaultRowHeight="16" x14ac:dyDescent="0.2"/>
  <cols>
    <col min="1" max="1" width="12.83203125" customWidth="1"/>
    <col min="2" max="2" width="24.33203125" customWidth="1"/>
    <col min="3" max="3" width="38.33203125" customWidth="1"/>
    <col min="4" max="4" width="19.5" customWidth="1"/>
    <col min="5" max="5" width="21.1640625" customWidth="1"/>
    <col min="6" max="6" width="19.83203125" customWidth="1"/>
    <col min="9" max="9" width="12" customWidth="1"/>
    <col min="13" max="13" width="11.83203125" customWidth="1"/>
  </cols>
  <sheetData>
    <row r="1" spans="1:14" x14ac:dyDescent="0.2">
      <c r="A1" s="1" t="s">
        <v>238</v>
      </c>
      <c r="B1" s="1"/>
      <c r="C1" s="1"/>
      <c r="D1" s="1"/>
      <c r="E1" s="1"/>
    </row>
    <row r="2" spans="1:14" x14ac:dyDescent="0.2">
      <c r="A2" s="1" t="s">
        <v>0</v>
      </c>
      <c r="B2" s="1"/>
      <c r="C2" s="1"/>
      <c r="D2" s="1"/>
    </row>
    <row r="3" spans="1:14" x14ac:dyDescent="0.2">
      <c r="A3" s="1" t="s">
        <v>204</v>
      </c>
      <c r="B3" s="1"/>
      <c r="C3" s="1"/>
      <c r="D3" s="1"/>
      <c r="E3" s="1"/>
      <c r="F3" s="21"/>
    </row>
    <row r="4" spans="1:14" x14ac:dyDescent="0.2">
      <c r="A4" s="1" t="s">
        <v>146</v>
      </c>
      <c r="B4" s="1"/>
      <c r="C4" s="1"/>
      <c r="D4" s="1"/>
      <c r="E4" s="1"/>
    </row>
    <row r="5" spans="1:14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</row>
    <row r="6" spans="1:14" x14ac:dyDescent="0.2">
      <c r="A6" s="9" t="s">
        <v>205</v>
      </c>
      <c r="B6" s="9" t="s">
        <v>206</v>
      </c>
      <c r="C6" s="9" t="s">
        <v>207</v>
      </c>
      <c r="D6" s="16">
        <v>45966</v>
      </c>
      <c r="E6" s="15">
        <v>71421</v>
      </c>
      <c r="F6" s="18">
        <v>1499.41</v>
      </c>
      <c r="G6" s="34"/>
      <c r="I6" s="27"/>
    </row>
    <row r="7" spans="1:14" x14ac:dyDescent="0.2">
      <c r="A7" s="9" t="s">
        <v>205</v>
      </c>
      <c r="B7" s="9" t="s">
        <v>206</v>
      </c>
      <c r="C7" s="9" t="s">
        <v>208</v>
      </c>
      <c r="D7" s="16">
        <v>45967</v>
      </c>
      <c r="E7" s="17">
        <v>69736</v>
      </c>
      <c r="F7" s="18">
        <v>1464.02</v>
      </c>
      <c r="G7" s="34"/>
      <c r="L7" s="17"/>
    </row>
    <row r="8" spans="1:14" x14ac:dyDescent="0.2">
      <c r="A8" s="9" t="s">
        <v>205</v>
      </c>
      <c r="B8" s="9" t="s">
        <v>206</v>
      </c>
      <c r="C8" s="9" t="s">
        <v>209</v>
      </c>
      <c r="D8" s="16">
        <v>45968</v>
      </c>
      <c r="E8" s="15">
        <v>64678</v>
      </c>
      <c r="F8" s="18">
        <v>1357.81</v>
      </c>
      <c r="G8" s="34"/>
      <c r="L8" s="17"/>
    </row>
    <row r="9" spans="1:14" x14ac:dyDescent="0.2">
      <c r="A9" s="9" t="s">
        <v>205</v>
      </c>
      <c r="B9" s="9" t="s">
        <v>206</v>
      </c>
      <c r="C9" s="9" t="s">
        <v>210</v>
      </c>
      <c r="D9" s="16">
        <v>45969</v>
      </c>
      <c r="E9" s="17">
        <v>63917</v>
      </c>
      <c r="F9" s="18">
        <v>1341.83</v>
      </c>
      <c r="G9" s="34"/>
      <c r="J9" s="17"/>
      <c r="L9" s="17"/>
    </row>
    <row r="10" spans="1:14" x14ac:dyDescent="0.2">
      <c r="A10" s="9" t="s">
        <v>205</v>
      </c>
      <c r="B10" s="9" t="s">
        <v>206</v>
      </c>
      <c r="C10" s="9" t="s">
        <v>211</v>
      </c>
      <c r="D10" s="16">
        <v>45970</v>
      </c>
      <c r="E10" s="17">
        <v>70351</v>
      </c>
      <c r="F10" s="18">
        <v>1476.94</v>
      </c>
      <c r="G10" s="34"/>
      <c r="J10" s="18"/>
      <c r="L10" s="17"/>
    </row>
    <row r="11" spans="1:14" x14ac:dyDescent="0.2">
      <c r="A11" s="9" t="s">
        <v>205</v>
      </c>
      <c r="B11" s="9" t="s">
        <v>206</v>
      </c>
      <c r="C11" s="9" t="s">
        <v>252</v>
      </c>
      <c r="D11" s="16">
        <v>45971</v>
      </c>
      <c r="E11" s="17">
        <v>36014</v>
      </c>
      <c r="F11" s="18">
        <v>755.95</v>
      </c>
      <c r="G11" s="34"/>
      <c r="H11" s="17"/>
      <c r="I11" s="17"/>
      <c r="J11" s="18"/>
      <c r="K11" s="18"/>
      <c r="L11" s="16"/>
      <c r="M11" s="17"/>
      <c r="N11" s="30"/>
    </row>
    <row r="12" spans="1:14" x14ac:dyDescent="0.2">
      <c r="A12" s="9" t="s">
        <v>205</v>
      </c>
      <c r="B12" s="9" t="s">
        <v>206</v>
      </c>
      <c r="C12" s="9" t="s">
        <v>253</v>
      </c>
      <c r="D12" s="16">
        <v>45972</v>
      </c>
      <c r="E12" s="17">
        <v>39873</v>
      </c>
      <c r="F12" s="18">
        <v>836.94</v>
      </c>
      <c r="G12" s="34"/>
      <c r="H12" s="17"/>
      <c r="I12" s="17"/>
      <c r="J12" s="18"/>
      <c r="K12" s="17"/>
      <c r="L12" s="16"/>
      <c r="M12" s="17"/>
      <c r="N12" s="30"/>
    </row>
    <row r="13" spans="1:14" x14ac:dyDescent="0.2">
      <c r="A13" s="9" t="s">
        <v>205</v>
      </c>
      <c r="B13" s="9" t="s">
        <v>206</v>
      </c>
      <c r="C13" s="9" t="s">
        <v>254</v>
      </c>
      <c r="D13" s="16">
        <v>45973</v>
      </c>
      <c r="E13" s="17">
        <v>39352</v>
      </c>
      <c r="F13" s="18">
        <v>826.02</v>
      </c>
      <c r="G13" s="34"/>
      <c r="H13" s="17"/>
      <c r="I13" s="17"/>
      <c r="J13" s="18"/>
      <c r="K13" s="17"/>
      <c r="L13" s="16"/>
      <c r="M13" s="17"/>
      <c r="N13" s="30"/>
    </row>
    <row r="14" spans="1:14" x14ac:dyDescent="0.2">
      <c r="A14" s="9" t="s">
        <v>205</v>
      </c>
      <c r="B14" s="9" t="s">
        <v>206</v>
      </c>
      <c r="C14" s="9" t="s">
        <v>255</v>
      </c>
      <c r="D14" s="16">
        <v>45974</v>
      </c>
      <c r="E14" s="17">
        <v>78393</v>
      </c>
      <c r="F14" s="18">
        <v>1645.51</v>
      </c>
      <c r="G14" s="34"/>
      <c r="H14" s="17"/>
      <c r="I14" s="17"/>
      <c r="J14" s="18"/>
      <c r="K14" s="17"/>
      <c r="L14" s="16"/>
      <c r="M14" s="17"/>
      <c r="N14" s="30"/>
    </row>
    <row r="15" spans="1:14" x14ac:dyDescent="0.2">
      <c r="A15" s="9" t="s">
        <v>205</v>
      </c>
      <c r="B15" s="9" t="s">
        <v>206</v>
      </c>
      <c r="C15" s="9" t="s">
        <v>256</v>
      </c>
      <c r="D15" s="16">
        <v>45975</v>
      </c>
      <c r="E15" s="17">
        <v>78357</v>
      </c>
      <c r="F15" s="18">
        <v>1644.75</v>
      </c>
      <c r="G15" s="34"/>
      <c r="H15" s="17"/>
      <c r="I15" s="17"/>
      <c r="J15" s="18"/>
      <c r="K15" s="17"/>
      <c r="L15" s="16"/>
      <c r="M15" s="17"/>
      <c r="N15" s="30"/>
    </row>
    <row r="16" spans="1:14" x14ac:dyDescent="0.2">
      <c r="A16" s="9" t="s">
        <v>205</v>
      </c>
      <c r="B16" s="9" t="s">
        <v>206</v>
      </c>
      <c r="C16" s="9" t="s">
        <v>257</v>
      </c>
      <c r="D16" s="16">
        <v>45976</v>
      </c>
      <c r="E16" s="17">
        <v>78386</v>
      </c>
      <c r="F16" s="18">
        <v>1645.36</v>
      </c>
      <c r="G16" s="34"/>
      <c r="H16" s="17"/>
      <c r="I16" s="17"/>
      <c r="J16" s="18"/>
      <c r="K16" s="17"/>
      <c r="L16" s="16"/>
      <c r="M16" s="17"/>
      <c r="N16" s="30"/>
    </row>
    <row r="17" spans="1:14" x14ac:dyDescent="0.2">
      <c r="A17" s="9" t="s">
        <v>205</v>
      </c>
      <c r="B17" s="9" t="s">
        <v>206</v>
      </c>
      <c r="C17" s="9" t="s">
        <v>258</v>
      </c>
      <c r="D17" s="16">
        <v>45977</v>
      </c>
      <c r="E17" s="17">
        <v>78369</v>
      </c>
      <c r="F17" s="18">
        <v>1645.01</v>
      </c>
      <c r="G17" s="34"/>
      <c r="H17" s="17"/>
      <c r="I17" s="17"/>
      <c r="J17" s="18"/>
      <c r="K17" s="17"/>
      <c r="L17" s="16"/>
      <c r="M17" s="17"/>
      <c r="N17" s="30"/>
    </row>
    <row r="18" spans="1:14" x14ac:dyDescent="0.2">
      <c r="A18" s="10" t="s">
        <v>31</v>
      </c>
      <c r="B18" s="9"/>
      <c r="C18" s="9"/>
      <c r="D18" s="16"/>
      <c r="E18" s="19">
        <f>SUM(E6:E17)</f>
        <v>768847</v>
      </c>
      <c r="F18" s="20">
        <f>SUM(F6:F17)</f>
        <v>16139.550000000001</v>
      </c>
      <c r="I18" s="23"/>
      <c r="J18" s="23"/>
      <c r="K18" s="18"/>
      <c r="M18" s="18"/>
      <c r="N18" s="23"/>
    </row>
    <row r="19" spans="1:14" x14ac:dyDescent="0.2">
      <c r="A19" s="9"/>
      <c r="B19" s="9"/>
      <c r="C19" s="9"/>
      <c r="D19" s="16"/>
      <c r="E19" s="17"/>
      <c r="F19" s="18"/>
      <c r="K19" s="18"/>
      <c r="M19" s="18"/>
    </row>
    <row r="20" spans="1:14" x14ac:dyDescent="0.2">
      <c r="A20" s="9"/>
      <c r="B20" s="9"/>
      <c r="C20" s="9"/>
      <c r="D20" s="16"/>
      <c r="E20" s="17"/>
      <c r="F20" s="18"/>
      <c r="J20" s="21"/>
      <c r="K20" s="18"/>
      <c r="M20" s="18"/>
    </row>
    <row r="21" spans="1:14" x14ac:dyDescent="0.2">
      <c r="A21" s="9"/>
      <c r="B21" s="9"/>
      <c r="C21" s="9"/>
      <c r="D21" s="16"/>
      <c r="E21" s="17"/>
      <c r="F21" s="18"/>
      <c r="K21" s="18"/>
      <c r="M21" s="18"/>
    </row>
    <row r="22" spans="1:14" x14ac:dyDescent="0.2">
      <c r="A22" s="9"/>
      <c r="B22" s="9"/>
      <c r="C22" s="9"/>
      <c r="D22" s="16"/>
      <c r="E22" s="17"/>
      <c r="F22" s="18"/>
      <c r="K22" s="18"/>
      <c r="M22" s="18"/>
    </row>
    <row r="23" spans="1:14" x14ac:dyDescent="0.2">
      <c r="A23" s="9"/>
      <c r="B23" s="9"/>
      <c r="C23" s="9"/>
      <c r="D23" s="16"/>
      <c r="E23" s="17"/>
      <c r="F23" s="18"/>
      <c r="K23" s="18"/>
      <c r="M23" s="18"/>
    </row>
    <row r="24" spans="1:14" x14ac:dyDescent="0.2">
      <c r="A24" s="9"/>
      <c r="B24" s="9"/>
      <c r="C24" s="9"/>
      <c r="D24" s="16"/>
      <c r="E24" s="17"/>
      <c r="F24" s="18"/>
      <c r="K24" s="18"/>
      <c r="M24" s="18"/>
    </row>
    <row r="25" spans="1:14" x14ac:dyDescent="0.2">
      <c r="A25" s="9"/>
      <c r="B25" s="9"/>
      <c r="C25" s="9"/>
      <c r="D25" s="16"/>
      <c r="E25" s="17"/>
      <c r="F25" s="18"/>
      <c r="K25" s="18"/>
      <c r="M25" s="18"/>
    </row>
    <row r="26" spans="1:14" x14ac:dyDescent="0.2">
      <c r="A26" s="9"/>
      <c r="B26" s="9"/>
      <c r="C26" s="9"/>
      <c r="D26" s="16"/>
      <c r="E26" s="17"/>
      <c r="F26" s="18"/>
      <c r="K26" s="18"/>
      <c r="M26" s="18"/>
    </row>
    <row r="27" spans="1:14" x14ac:dyDescent="0.2">
      <c r="F27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2D4C-3A55-AF4D-9C33-81E3487B773B}">
  <dimension ref="A1:M107"/>
  <sheetViews>
    <sheetView tabSelected="1" workbookViewId="0">
      <selection activeCell="H101" sqref="H101"/>
    </sheetView>
  </sheetViews>
  <sheetFormatPr baseColWidth="10" defaultRowHeight="16" x14ac:dyDescent="0.2"/>
  <cols>
    <col min="2" max="2" width="23.83203125" customWidth="1"/>
    <col min="3" max="3" width="11" customWidth="1"/>
    <col min="4" max="4" width="35" customWidth="1"/>
    <col min="5" max="5" width="52.33203125" customWidth="1"/>
    <col min="6" max="6" width="26.83203125" customWidth="1"/>
    <col min="7" max="7" width="19.33203125" customWidth="1"/>
    <col min="8" max="8" width="29.6640625" customWidth="1"/>
  </cols>
  <sheetData>
    <row r="1" spans="1:13" x14ac:dyDescent="0.2">
      <c r="A1" s="1" t="s">
        <v>238</v>
      </c>
      <c r="B1" s="1"/>
      <c r="C1" s="1"/>
      <c r="D1" s="1"/>
      <c r="E1" s="2"/>
      <c r="F1" s="2"/>
      <c r="G1" s="2"/>
      <c r="H1" s="2"/>
    </row>
    <row r="2" spans="1:13" x14ac:dyDescent="0.2">
      <c r="A2" s="1" t="s">
        <v>0</v>
      </c>
      <c r="B2" s="1"/>
      <c r="C2" s="1"/>
      <c r="D2" s="1"/>
      <c r="E2" s="4"/>
      <c r="F2" s="4"/>
      <c r="G2" s="4"/>
      <c r="H2" s="4"/>
    </row>
    <row r="3" spans="1:13" x14ac:dyDescent="0.2">
      <c r="A3" s="1" t="s">
        <v>213</v>
      </c>
      <c r="B3" s="1"/>
      <c r="C3" s="1"/>
      <c r="D3" s="1"/>
      <c r="E3" s="4"/>
      <c r="F3" s="4"/>
      <c r="G3" s="4"/>
      <c r="H3" s="4"/>
    </row>
    <row r="4" spans="1:13" x14ac:dyDescent="0.2">
      <c r="A4" s="5" t="s">
        <v>2</v>
      </c>
      <c r="B4" s="5"/>
      <c r="C4" s="5"/>
      <c r="D4" s="5"/>
      <c r="E4" s="2"/>
      <c r="F4" s="2"/>
      <c r="G4" s="2"/>
      <c r="H4" s="2"/>
    </row>
    <row r="5" spans="1:13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</row>
    <row r="6" spans="1:13" x14ac:dyDescent="0.2">
      <c r="A6" s="7">
        <v>7210</v>
      </c>
      <c r="B6" s="8" t="s">
        <v>212</v>
      </c>
      <c r="C6" s="8">
        <v>7210</v>
      </c>
      <c r="D6" s="9" t="s">
        <v>239</v>
      </c>
      <c r="E6" s="2" t="s">
        <v>10</v>
      </c>
      <c r="F6" s="37">
        <v>26205</v>
      </c>
      <c r="G6" s="37"/>
      <c r="H6" s="2"/>
      <c r="J6" s="2"/>
      <c r="K6" s="2"/>
    </row>
    <row r="7" spans="1:13" x14ac:dyDescent="0.2">
      <c r="A7" s="7">
        <v>7210</v>
      </c>
      <c r="B7" s="8" t="s">
        <v>212</v>
      </c>
      <c r="C7" s="8">
        <v>7210</v>
      </c>
      <c r="D7" s="9" t="s">
        <v>239</v>
      </c>
      <c r="E7" s="2" t="s">
        <v>11</v>
      </c>
      <c r="F7" s="37">
        <v>24638</v>
      </c>
      <c r="G7" s="37"/>
      <c r="H7" s="2"/>
      <c r="J7" s="2"/>
      <c r="K7" s="2"/>
    </row>
    <row r="8" spans="1:13" x14ac:dyDescent="0.2">
      <c r="A8" s="7">
        <v>7210</v>
      </c>
      <c r="B8" s="8" t="s">
        <v>212</v>
      </c>
      <c r="C8" s="8">
        <v>7210</v>
      </c>
      <c r="D8" s="9" t="s">
        <v>239</v>
      </c>
      <c r="E8" s="2" t="s">
        <v>12</v>
      </c>
      <c r="F8" s="37">
        <v>22309</v>
      </c>
      <c r="G8" s="37"/>
      <c r="H8" s="2"/>
      <c r="J8" s="2"/>
      <c r="K8" s="2"/>
    </row>
    <row r="9" spans="1:13" x14ac:dyDescent="0.2">
      <c r="A9" s="7">
        <v>7210</v>
      </c>
      <c r="B9" s="8" t="s">
        <v>212</v>
      </c>
      <c r="C9" s="8">
        <v>7210</v>
      </c>
      <c r="D9" s="9" t="s">
        <v>239</v>
      </c>
      <c r="E9" s="2" t="s">
        <v>14</v>
      </c>
      <c r="F9" s="37">
        <v>21192</v>
      </c>
      <c r="G9" s="37"/>
      <c r="H9" s="2"/>
      <c r="J9" s="2"/>
      <c r="K9" s="2"/>
    </row>
    <row r="10" spans="1:13" x14ac:dyDescent="0.2">
      <c r="A10" s="7">
        <v>7210</v>
      </c>
      <c r="B10" s="8" t="s">
        <v>212</v>
      </c>
      <c r="C10" s="8">
        <v>7210</v>
      </c>
      <c r="D10" s="9" t="s">
        <v>239</v>
      </c>
      <c r="E10" s="2" t="s">
        <v>13</v>
      </c>
      <c r="F10" s="37">
        <v>20057</v>
      </c>
      <c r="G10" s="37"/>
      <c r="H10" s="2"/>
      <c r="J10" s="2"/>
      <c r="K10" s="2"/>
    </row>
    <row r="11" spans="1:13" x14ac:dyDescent="0.2">
      <c r="A11" s="7">
        <v>7210</v>
      </c>
      <c r="B11" s="8" t="s">
        <v>212</v>
      </c>
      <c r="C11" s="8">
        <v>7210</v>
      </c>
      <c r="D11" s="9" t="s">
        <v>239</v>
      </c>
      <c r="E11" s="2" t="s">
        <v>17</v>
      </c>
      <c r="F11" s="37">
        <v>17771</v>
      </c>
      <c r="G11" s="37"/>
      <c r="H11" s="2"/>
      <c r="J11" s="2"/>
      <c r="K11" s="2"/>
    </row>
    <row r="12" spans="1:13" x14ac:dyDescent="0.2">
      <c r="A12" s="7">
        <v>7210</v>
      </c>
      <c r="B12" s="8" t="s">
        <v>212</v>
      </c>
      <c r="C12" s="8">
        <v>7210</v>
      </c>
      <c r="D12" s="9" t="s">
        <v>239</v>
      </c>
      <c r="E12" s="2" t="s">
        <v>15</v>
      </c>
      <c r="F12" s="37">
        <v>16237</v>
      </c>
      <c r="G12" s="37"/>
      <c r="H12" s="2"/>
      <c r="J12" s="2"/>
      <c r="K12" s="2"/>
    </row>
    <row r="13" spans="1:13" x14ac:dyDescent="0.2">
      <c r="A13" s="7">
        <v>7210</v>
      </c>
      <c r="B13" s="8" t="s">
        <v>212</v>
      </c>
      <c r="C13" s="8">
        <v>7210</v>
      </c>
      <c r="D13" s="9" t="s">
        <v>239</v>
      </c>
      <c r="E13" s="2" t="s">
        <v>16</v>
      </c>
      <c r="F13" s="37">
        <v>14515</v>
      </c>
      <c r="G13" s="37"/>
      <c r="H13" s="2"/>
      <c r="J13" s="2"/>
      <c r="K13" s="2"/>
    </row>
    <row r="14" spans="1:13" x14ac:dyDescent="0.2">
      <c r="A14" s="7">
        <v>7210</v>
      </c>
      <c r="B14" s="8" t="s">
        <v>212</v>
      </c>
      <c r="C14" s="8">
        <v>7210</v>
      </c>
      <c r="D14" s="9" t="s">
        <v>239</v>
      </c>
      <c r="E14" s="2" t="s">
        <v>19</v>
      </c>
      <c r="F14" s="37">
        <v>13148</v>
      </c>
      <c r="G14" s="37"/>
      <c r="H14" s="2"/>
      <c r="J14" s="2"/>
      <c r="K14" s="2"/>
    </row>
    <row r="15" spans="1:13" x14ac:dyDescent="0.2">
      <c r="A15" s="7">
        <v>7210</v>
      </c>
      <c r="B15" s="8" t="s">
        <v>212</v>
      </c>
      <c r="C15" s="8">
        <v>7210</v>
      </c>
      <c r="D15" s="9" t="s">
        <v>239</v>
      </c>
      <c r="E15" s="2" t="s">
        <v>20</v>
      </c>
      <c r="F15" s="37">
        <v>11654</v>
      </c>
      <c r="G15" s="37"/>
      <c r="H15" s="2"/>
      <c r="J15" s="2"/>
      <c r="K15" s="2"/>
      <c r="M15" s="2"/>
    </row>
    <row r="16" spans="1:13" x14ac:dyDescent="0.2">
      <c r="A16" s="7">
        <v>7210</v>
      </c>
      <c r="B16" s="8" t="s">
        <v>212</v>
      </c>
      <c r="C16" s="8">
        <v>7210</v>
      </c>
      <c r="D16" s="9" t="s">
        <v>239</v>
      </c>
      <c r="E16" s="2" t="s">
        <v>18</v>
      </c>
      <c r="F16" s="37">
        <v>10669</v>
      </c>
      <c r="G16" s="37"/>
      <c r="H16" s="2"/>
      <c r="J16" s="2"/>
      <c r="K16" s="2"/>
    </row>
    <row r="17" spans="1:11" x14ac:dyDescent="0.2">
      <c r="A17" s="7">
        <v>7210</v>
      </c>
      <c r="B17" s="8" t="s">
        <v>212</v>
      </c>
      <c r="C17" s="8">
        <v>7210</v>
      </c>
      <c r="D17" s="9" t="s">
        <v>239</v>
      </c>
      <c r="E17" s="2" t="s">
        <v>21</v>
      </c>
      <c r="F17" s="37">
        <v>6854</v>
      </c>
      <c r="G17" s="37"/>
      <c r="H17" s="2"/>
      <c r="J17" s="2"/>
      <c r="K17" s="2"/>
    </row>
    <row r="18" spans="1:11" x14ac:dyDescent="0.2">
      <c r="A18" s="7">
        <v>7210</v>
      </c>
      <c r="B18" s="8" t="s">
        <v>212</v>
      </c>
      <c r="C18" s="8">
        <v>7210</v>
      </c>
      <c r="D18" s="9" t="s">
        <v>239</v>
      </c>
      <c r="E18" s="2" t="s">
        <v>22</v>
      </c>
      <c r="F18" s="37">
        <v>5885</v>
      </c>
      <c r="G18" s="37"/>
      <c r="H18" s="2"/>
      <c r="J18" s="2"/>
      <c r="K18" s="2"/>
    </row>
    <row r="19" spans="1:11" x14ac:dyDescent="0.2">
      <c r="A19" s="7">
        <v>7210</v>
      </c>
      <c r="B19" s="8" t="s">
        <v>212</v>
      </c>
      <c r="C19" s="8">
        <v>7210</v>
      </c>
      <c r="D19" s="9" t="s">
        <v>239</v>
      </c>
      <c r="E19" s="2" t="s">
        <v>23</v>
      </c>
      <c r="F19" s="37">
        <v>4493</v>
      </c>
      <c r="G19" s="37"/>
      <c r="H19" s="2"/>
      <c r="J19" s="2"/>
      <c r="K19" s="2"/>
    </row>
    <row r="20" spans="1:11" x14ac:dyDescent="0.2">
      <c r="A20" s="7">
        <v>7210</v>
      </c>
      <c r="B20" s="8" t="s">
        <v>212</v>
      </c>
      <c r="C20" s="8">
        <v>7210</v>
      </c>
      <c r="D20" s="9" t="s">
        <v>239</v>
      </c>
      <c r="E20" s="2" t="s">
        <v>24</v>
      </c>
      <c r="F20" s="37">
        <v>3905</v>
      </c>
      <c r="G20" s="37"/>
      <c r="H20" s="2"/>
      <c r="J20" s="2"/>
      <c r="K20" s="2"/>
    </row>
    <row r="21" spans="1:11" x14ac:dyDescent="0.2">
      <c r="A21" s="7">
        <v>7210</v>
      </c>
      <c r="B21" s="8" t="s">
        <v>212</v>
      </c>
      <c r="C21" s="8">
        <v>7210</v>
      </c>
      <c r="D21" s="9" t="s">
        <v>239</v>
      </c>
      <c r="E21" s="2" t="s">
        <v>25</v>
      </c>
      <c r="F21" s="37">
        <v>3247</v>
      </c>
      <c r="G21" s="37"/>
      <c r="H21" s="2"/>
      <c r="J21" s="2"/>
      <c r="K21" s="2"/>
    </row>
    <row r="22" spans="1:11" x14ac:dyDescent="0.2">
      <c r="A22" s="7">
        <v>7210</v>
      </c>
      <c r="B22" s="8" t="s">
        <v>212</v>
      </c>
      <c r="C22" s="8">
        <v>7210</v>
      </c>
      <c r="D22" s="9" t="s">
        <v>239</v>
      </c>
      <c r="E22" s="2" t="s">
        <v>27</v>
      </c>
      <c r="F22" s="37">
        <v>1708</v>
      </c>
      <c r="G22" s="37"/>
      <c r="H22" s="2"/>
      <c r="J22" s="2"/>
      <c r="K22" s="2"/>
    </row>
    <row r="23" spans="1:11" x14ac:dyDescent="0.2">
      <c r="A23" s="7">
        <v>7210</v>
      </c>
      <c r="B23" s="8" t="s">
        <v>212</v>
      </c>
      <c r="C23" s="8">
        <v>7210</v>
      </c>
      <c r="D23" s="9" t="s">
        <v>239</v>
      </c>
      <c r="E23" s="2" t="s">
        <v>26</v>
      </c>
      <c r="F23" s="37">
        <v>1236</v>
      </c>
      <c r="G23" s="37"/>
      <c r="H23" s="2"/>
      <c r="J23" s="2"/>
      <c r="K23" s="2"/>
    </row>
    <row r="24" spans="1:11" x14ac:dyDescent="0.2">
      <c r="A24" s="7">
        <v>7210</v>
      </c>
      <c r="B24" s="8" t="s">
        <v>212</v>
      </c>
      <c r="C24" s="8">
        <v>7210</v>
      </c>
      <c r="D24" s="9" t="s">
        <v>239</v>
      </c>
      <c r="E24" s="9" t="s">
        <v>28</v>
      </c>
      <c r="F24" s="38">
        <v>783</v>
      </c>
      <c r="G24" s="38"/>
      <c r="H24" s="2"/>
      <c r="J24" s="2"/>
      <c r="K24" s="2"/>
    </row>
    <row r="25" spans="1:11" x14ac:dyDescent="0.2">
      <c r="A25" s="7">
        <v>7210</v>
      </c>
      <c r="B25" s="8" t="s">
        <v>212</v>
      </c>
      <c r="C25" s="8">
        <v>7210</v>
      </c>
      <c r="D25" s="9" t="s">
        <v>239</v>
      </c>
      <c r="E25" s="2" t="s">
        <v>29</v>
      </c>
      <c r="F25" s="37">
        <v>477</v>
      </c>
      <c r="G25" s="37"/>
      <c r="H25" s="2"/>
      <c r="J25" s="2"/>
      <c r="K25" s="2"/>
    </row>
    <row r="26" spans="1:11" x14ac:dyDescent="0.2">
      <c r="A26" s="7">
        <v>7210</v>
      </c>
      <c r="B26" s="8" t="s">
        <v>212</v>
      </c>
      <c r="C26" s="8">
        <v>7210</v>
      </c>
      <c r="D26" s="9" t="s">
        <v>239</v>
      </c>
      <c r="E26" s="2" t="s">
        <v>30</v>
      </c>
      <c r="F26" s="37">
        <v>4</v>
      </c>
      <c r="G26" s="37"/>
      <c r="H26" s="2"/>
      <c r="J26" s="2"/>
      <c r="K26" s="2"/>
    </row>
    <row r="27" spans="1:11" x14ac:dyDescent="0.2">
      <c r="A27" s="10" t="s">
        <v>31</v>
      </c>
      <c r="B27" s="8"/>
      <c r="C27" s="8"/>
      <c r="D27" s="8"/>
      <c r="E27" s="2"/>
      <c r="F27" s="39">
        <f>SUM(F6:F26)</f>
        <v>226987</v>
      </c>
      <c r="G27" s="40"/>
      <c r="H27" s="2"/>
      <c r="J27" s="2"/>
      <c r="K27" s="2"/>
    </row>
    <row r="28" spans="1:11" x14ac:dyDescent="0.2">
      <c r="A28" s="35"/>
      <c r="H28" s="35"/>
    </row>
    <row r="31" spans="1:11" x14ac:dyDescent="0.2">
      <c r="A31" s="1" t="s">
        <v>238</v>
      </c>
      <c r="B31" s="1"/>
      <c r="C31" s="1"/>
      <c r="D31" s="1"/>
      <c r="E31" s="4"/>
      <c r="F31" s="4"/>
      <c r="G31" s="4"/>
      <c r="H31" s="4"/>
      <c r="I31" s="2"/>
    </row>
    <row r="32" spans="1:11" x14ac:dyDescent="0.2">
      <c r="A32" s="1" t="s">
        <v>0</v>
      </c>
      <c r="B32" s="1"/>
      <c r="C32" s="1"/>
      <c r="D32" s="1"/>
      <c r="E32" s="4"/>
      <c r="F32" s="4"/>
      <c r="G32" s="4"/>
      <c r="H32" s="4"/>
      <c r="I32" s="2"/>
    </row>
    <row r="33" spans="1:10" x14ac:dyDescent="0.2">
      <c r="A33" s="1" t="s">
        <v>214</v>
      </c>
      <c r="B33" s="1"/>
      <c r="C33" s="1"/>
      <c r="D33" s="1"/>
      <c r="E33" s="4"/>
      <c r="F33" s="4"/>
      <c r="G33" s="4"/>
      <c r="H33" s="4"/>
      <c r="I33" s="2"/>
    </row>
    <row r="34" spans="1:10" x14ac:dyDescent="0.2">
      <c r="A34" s="5" t="s">
        <v>2</v>
      </c>
      <c r="B34" s="5"/>
      <c r="C34" s="5"/>
      <c r="D34" s="5"/>
      <c r="E34" s="2"/>
      <c r="F34" s="2"/>
      <c r="G34" s="2"/>
      <c r="H34" s="2"/>
      <c r="I34" s="2"/>
    </row>
    <row r="35" spans="1:10" x14ac:dyDescent="0.2">
      <c r="A35" s="5" t="s">
        <v>3</v>
      </c>
      <c r="B35" s="5" t="s">
        <v>4</v>
      </c>
      <c r="C35" s="5" t="s">
        <v>5</v>
      </c>
      <c r="D35" s="5" t="s">
        <v>6</v>
      </c>
      <c r="E35" s="5" t="s">
        <v>7</v>
      </c>
      <c r="F35" s="6" t="s">
        <v>8</v>
      </c>
      <c r="G35" s="6"/>
      <c r="H35" s="6"/>
      <c r="I35" s="6"/>
    </row>
    <row r="36" spans="1:10" x14ac:dyDescent="0.2">
      <c r="A36" s="11">
        <v>7211</v>
      </c>
      <c r="B36" s="9" t="s">
        <v>215</v>
      </c>
      <c r="C36" s="9">
        <v>7211</v>
      </c>
      <c r="D36" s="9" t="s">
        <v>248</v>
      </c>
      <c r="E36" s="2" t="s">
        <v>34</v>
      </c>
      <c r="F36" s="2">
        <v>35245</v>
      </c>
      <c r="G36" s="2"/>
      <c r="H36" s="2"/>
    </row>
    <row r="37" spans="1:10" x14ac:dyDescent="0.2">
      <c r="A37" s="11">
        <v>7211</v>
      </c>
      <c r="B37" s="9" t="s">
        <v>215</v>
      </c>
      <c r="C37" s="9">
        <v>7211</v>
      </c>
      <c r="D37" s="9" t="s">
        <v>248</v>
      </c>
      <c r="E37" s="2" t="s">
        <v>35</v>
      </c>
      <c r="F37" s="2">
        <v>34021</v>
      </c>
      <c r="G37" s="2"/>
      <c r="H37" s="2"/>
    </row>
    <row r="38" spans="1:10" x14ac:dyDescent="0.2">
      <c r="A38" s="11">
        <v>7211</v>
      </c>
      <c r="B38" s="9" t="s">
        <v>215</v>
      </c>
      <c r="C38" s="9">
        <v>7211</v>
      </c>
      <c r="D38" s="9" t="s">
        <v>248</v>
      </c>
      <c r="E38" s="2" t="s">
        <v>81</v>
      </c>
      <c r="F38" s="2">
        <v>31579</v>
      </c>
      <c r="G38" s="2"/>
      <c r="H38" s="2"/>
    </row>
    <row r="39" spans="1:10" x14ac:dyDescent="0.2">
      <c r="A39" s="11">
        <v>7211</v>
      </c>
      <c r="B39" s="9" t="s">
        <v>215</v>
      </c>
      <c r="C39" s="9">
        <v>7211</v>
      </c>
      <c r="D39" s="9" t="s">
        <v>248</v>
      </c>
      <c r="E39" s="2" t="s">
        <v>49</v>
      </c>
      <c r="F39" s="2">
        <v>28549</v>
      </c>
      <c r="G39" s="2"/>
      <c r="H39" s="2"/>
    </row>
    <row r="40" spans="1:10" x14ac:dyDescent="0.2">
      <c r="A40" s="11">
        <v>7211</v>
      </c>
      <c r="B40" s="9" t="s">
        <v>215</v>
      </c>
      <c r="C40" s="9">
        <v>7211</v>
      </c>
      <c r="D40" s="9" t="s">
        <v>248</v>
      </c>
      <c r="E40" s="2" t="s">
        <v>37</v>
      </c>
      <c r="F40" s="2">
        <v>25539</v>
      </c>
      <c r="G40" s="2"/>
      <c r="H40" s="2"/>
    </row>
    <row r="41" spans="1:10" x14ac:dyDescent="0.2">
      <c r="A41" s="11">
        <v>7211</v>
      </c>
      <c r="B41" s="9" t="s">
        <v>215</v>
      </c>
      <c r="C41" s="9">
        <v>7211</v>
      </c>
      <c r="D41" s="9" t="s">
        <v>248</v>
      </c>
      <c r="E41" s="2" t="s">
        <v>59</v>
      </c>
      <c r="F41" s="2">
        <v>23101</v>
      </c>
      <c r="G41" s="9"/>
      <c r="H41" s="2"/>
    </row>
    <row r="42" spans="1:10" x14ac:dyDescent="0.2">
      <c r="A42" s="11">
        <v>7211</v>
      </c>
      <c r="B42" s="9" t="s">
        <v>215</v>
      </c>
      <c r="C42" s="9">
        <v>7211</v>
      </c>
      <c r="D42" s="9" t="s">
        <v>248</v>
      </c>
      <c r="E42" s="2" t="s">
        <v>36</v>
      </c>
      <c r="F42" s="2">
        <v>21112</v>
      </c>
      <c r="G42" s="9"/>
      <c r="H42" s="2"/>
      <c r="J42" s="2"/>
    </row>
    <row r="43" spans="1:10" x14ac:dyDescent="0.2">
      <c r="A43" s="11">
        <v>7211</v>
      </c>
      <c r="B43" s="9" t="s">
        <v>215</v>
      </c>
      <c r="C43" s="9">
        <v>7211</v>
      </c>
      <c r="D43" s="9" t="s">
        <v>248</v>
      </c>
      <c r="E43" s="2" t="s">
        <v>73</v>
      </c>
      <c r="F43" s="2">
        <v>20617</v>
      </c>
      <c r="G43" s="9"/>
      <c r="H43" s="2"/>
      <c r="J43" s="2"/>
    </row>
    <row r="44" spans="1:10" x14ac:dyDescent="0.2">
      <c r="A44" s="11">
        <v>7211</v>
      </c>
      <c r="B44" s="9" t="s">
        <v>215</v>
      </c>
      <c r="C44" s="9">
        <v>7211</v>
      </c>
      <c r="D44" s="9" t="s">
        <v>248</v>
      </c>
      <c r="E44" s="2" t="s">
        <v>43</v>
      </c>
      <c r="F44" s="2">
        <v>20272</v>
      </c>
      <c r="G44" s="9"/>
      <c r="H44" s="2"/>
      <c r="J44" s="2"/>
    </row>
    <row r="45" spans="1:10" x14ac:dyDescent="0.2">
      <c r="A45" s="11">
        <v>7211</v>
      </c>
      <c r="B45" s="9" t="s">
        <v>215</v>
      </c>
      <c r="C45" s="9">
        <v>7211</v>
      </c>
      <c r="D45" s="9" t="s">
        <v>248</v>
      </c>
      <c r="E45" s="2" t="s">
        <v>67</v>
      </c>
      <c r="F45" s="2">
        <v>19252</v>
      </c>
      <c r="G45" s="9"/>
      <c r="H45" s="2"/>
      <c r="J45" s="2"/>
    </row>
    <row r="46" spans="1:10" x14ac:dyDescent="0.2">
      <c r="A46" s="11">
        <v>7211</v>
      </c>
      <c r="B46" s="9" t="s">
        <v>215</v>
      </c>
      <c r="C46" s="9">
        <v>7211</v>
      </c>
      <c r="D46" s="9" t="s">
        <v>248</v>
      </c>
      <c r="E46" s="2" t="s">
        <v>41</v>
      </c>
      <c r="F46" s="2">
        <v>18904</v>
      </c>
      <c r="G46" s="9"/>
      <c r="H46" s="2"/>
    </row>
    <row r="47" spans="1:10" x14ac:dyDescent="0.2">
      <c r="A47" s="11">
        <v>7211</v>
      </c>
      <c r="B47" s="9" t="s">
        <v>215</v>
      </c>
      <c r="C47" s="9">
        <v>7211</v>
      </c>
      <c r="D47" s="9" t="s">
        <v>248</v>
      </c>
      <c r="E47" s="2" t="s">
        <v>65</v>
      </c>
      <c r="F47" s="2">
        <v>18625</v>
      </c>
      <c r="G47" s="9"/>
      <c r="H47" s="2"/>
    </row>
    <row r="48" spans="1:10" x14ac:dyDescent="0.2">
      <c r="A48" s="11">
        <v>7211</v>
      </c>
      <c r="B48" s="9" t="s">
        <v>215</v>
      </c>
      <c r="C48" s="9">
        <v>7211</v>
      </c>
      <c r="D48" s="9" t="s">
        <v>248</v>
      </c>
      <c r="E48" s="2" t="s">
        <v>38</v>
      </c>
      <c r="F48" s="2">
        <v>18351</v>
      </c>
      <c r="G48" s="9"/>
      <c r="H48" s="2"/>
    </row>
    <row r="49" spans="1:8" x14ac:dyDescent="0.2">
      <c r="A49" s="11">
        <v>7211</v>
      </c>
      <c r="B49" s="9" t="s">
        <v>215</v>
      </c>
      <c r="C49" s="9">
        <v>7211</v>
      </c>
      <c r="D49" s="9" t="s">
        <v>248</v>
      </c>
      <c r="E49" s="2" t="s">
        <v>39</v>
      </c>
      <c r="F49" s="2">
        <v>18173</v>
      </c>
      <c r="G49" s="9"/>
      <c r="H49" s="2"/>
    </row>
    <row r="50" spans="1:8" x14ac:dyDescent="0.2">
      <c r="A50" s="11">
        <v>7211</v>
      </c>
      <c r="B50" s="9" t="s">
        <v>215</v>
      </c>
      <c r="C50" s="9">
        <v>7211</v>
      </c>
      <c r="D50" s="9" t="s">
        <v>248</v>
      </c>
      <c r="E50" s="2" t="s">
        <v>157</v>
      </c>
      <c r="F50" s="2">
        <v>14234</v>
      </c>
      <c r="G50" s="9"/>
      <c r="H50" s="2"/>
    </row>
    <row r="51" spans="1:8" x14ac:dyDescent="0.2">
      <c r="A51" s="11">
        <v>7211</v>
      </c>
      <c r="B51" s="9" t="s">
        <v>215</v>
      </c>
      <c r="C51" s="9">
        <v>7211</v>
      </c>
      <c r="D51" s="9" t="s">
        <v>248</v>
      </c>
      <c r="E51" s="2" t="s">
        <v>48</v>
      </c>
      <c r="F51" s="2">
        <v>13860</v>
      </c>
      <c r="G51" s="9"/>
      <c r="H51" s="2"/>
    </row>
    <row r="52" spans="1:8" x14ac:dyDescent="0.2">
      <c r="A52" s="11">
        <v>7211</v>
      </c>
      <c r="B52" s="9" t="s">
        <v>215</v>
      </c>
      <c r="C52" s="9">
        <v>7211</v>
      </c>
      <c r="D52" s="9" t="s">
        <v>248</v>
      </c>
      <c r="E52" s="2" t="s">
        <v>93</v>
      </c>
      <c r="F52" s="2">
        <v>12435</v>
      </c>
      <c r="G52" s="9"/>
      <c r="H52" s="2"/>
    </row>
    <row r="53" spans="1:8" x14ac:dyDescent="0.2">
      <c r="A53" s="11">
        <v>7211</v>
      </c>
      <c r="B53" s="9" t="s">
        <v>215</v>
      </c>
      <c r="C53" s="9">
        <v>7211</v>
      </c>
      <c r="D53" s="9" t="s">
        <v>248</v>
      </c>
      <c r="E53" s="2" t="s">
        <v>51</v>
      </c>
      <c r="F53" s="2">
        <v>12030</v>
      </c>
      <c r="G53" s="9"/>
      <c r="H53" s="2"/>
    </row>
    <row r="54" spans="1:8" x14ac:dyDescent="0.2">
      <c r="A54" s="11">
        <v>7211</v>
      </c>
      <c r="B54" s="9" t="s">
        <v>215</v>
      </c>
      <c r="C54" s="9">
        <v>7211</v>
      </c>
      <c r="D54" s="9" t="s">
        <v>248</v>
      </c>
      <c r="E54" s="2" t="s">
        <v>57</v>
      </c>
      <c r="F54" s="2">
        <v>11410</v>
      </c>
      <c r="G54" s="9"/>
      <c r="H54" s="2"/>
    </row>
    <row r="55" spans="1:8" x14ac:dyDescent="0.2">
      <c r="A55" s="11">
        <v>7211</v>
      </c>
      <c r="B55" s="9" t="s">
        <v>215</v>
      </c>
      <c r="C55" s="9">
        <v>7211</v>
      </c>
      <c r="D55" s="9" t="s">
        <v>248</v>
      </c>
      <c r="E55" s="2" t="s">
        <v>42</v>
      </c>
      <c r="F55" s="2">
        <v>10523</v>
      </c>
      <c r="G55" s="9"/>
      <c r="H55" s="2"/>
    </row>
    <row r="56" spans="1:8" x14ac:dyDescent="0.2">
      <c r="A56" s="11">
        <v>7211</v>
      </c>
      <c r="B56" s="9" t="s">
        <v>215</v>
      </c>
      <c r="C56" s="9">
        <v>7211</v>
      </c>
      <c r="D56" s="9" t="s">
        <v>248</v>
      </c>
      <c r="E56" s="2" t="s">
        <v>63</v>
      </c>
      <c r="F56" s="2">
        <v>9222</v>
      </c>
      <c r="G56" s="9"/>
      <c r="H56" s="2"/>
    </row>
    <row r="57" spans="1:8" x14ac:dyDescent="0.2">
      <c r="A57" s="11">
        <v>7211</v>
      </c>
      <c r="B57" s="9" t="s">
        <v>215</v>
      </c>
      <c r="C57" s="9">
        <v>7211</v>
      </c>
      <c r="D57" s="9" t="s">
        <v>248</v>
      </c>
      <c r="E57" s="2" t="s">
        <v>80</v>
      </c>
      <c r="F57" s="2">
        <v>8773</v>
      </c>
      <c r="G57" s="9"/>
      <c r="H57" s="2"/>
    </row>
    <row r="58" spans="1:8" x14ac:dyDescent="0.2">
      <c r="A58" s="11">
        <v>7211</v>
      </c>
      <c r="B58" s="9" t="s">
        <v>215</v>
      </c>
      <c r="C58" s="9">
        <v>7211</v>
      </c>
      <c r="D58" s="9" t="s">
        <v>248</v>
      </c>
      <c r="E58" s="2" t="s">
        <v>94</v>
      </c>
      <c r="F58" s="2">
        <v>8050</v>
      </c>
      <c r="G58" s="9"/>
      <c r="H58" s="2"/>
    </row>
    <row r="59" spans="1:8" x14ac:dyDescent="0.2">
      <c r="A59" s="11">
        <v>7211</v>
      </c>
      <c r="B59" s="9" t="s">
        <v>215</v>
      </c>
      <c r="C59" s="9">
        <v>7211</v>
      </c>
      <c r="D59" s="9" t="s">
        <v>248</v>
      </c>
      <c r="E59" s="2" t="s">
        <v>47</v>
      </c>
      <c r="F59" s="2">
        <v>6399</v>
      </c>
      <c r="G59" s="9"/>
      <c r="H59" s="2"/>
    </row>
    <row r="60" spans="1:8" x14ac:dyDescent="0.2">
      <c r="A60" s="11">
        <v>7211</v>
      </c>
      <c r="B60" s="9" t="s">
        <v>215</v>
      </c>
      <c r="C60" s="9">
        <v>7211</v>
      </c>
      <c r="D60" s="9" t="s">
        <v>248</v>
      </c>
      <c r="E60" s="2" t="s">
        <v>58</v>
      </c>
      <c r="F60" s="2">
        <v>4819</v>
      </c>
      <c r="G60" s="9"/>
      <c r="H60" s="2"/>
    </row>
    <row r="61" spans="1:8" x14ac:dyDescent="0.2">
      <c r="A61" s="11">
        <v>7211</v>
      </c>
      <c r="B61" s="9" t="s">
        <v>215</v>
      </c>
      <c r="C61" s="9">
        <v>7211</v>
      </c>
      <c r="D61" s="9" t="s">
        <v>248</v>
      </c>
      <c r="E61" s="2" t="s">
        <v>105</v>
      </c>
      <c r="F61" s="2">
        <v>4740</v>
      </c>
      <c r="G61" s="9"/>
      <c r="H61" s="2"/>
    </row>
    <row r="62" spans="1:8" x14ac:dyDescent="0.2">
      <c r="A62" s="11">
        <v>7211</v>
      </c>
      <c r="B62" s="9" t="s">
        <v>215</v>
      </c>
      <c r="C62" s="9">
        <v>7211</v>
      </c>
      <c r="D62" s="9" t="s">
        <v>248</v>
      </c>
      <c r="E62" s="2" t="s">
        <v>55</v>
      </c>
      <c r="F62" s="2">
        <v>4589</v>
      </c>
      <c r="G62" s="9"/>
      <c r="H62" s="2"/>
    </row>
    <row r="63" spans="1:8" x14ac:dyDescent="0.2">
      <c r="A63" s="11">
        <v>7211</v>
      </c>
      <c r="B63" s="9" t="s">
        <v>215</v>
      </c>
      <c r="C63" s="9">
        <v>7211</v>
      </c>
      <c r="D63" s="9" t="s">
        <v>248</v>
      </c>
      <c r="E63" s="2" t="s">
        <v>69</v>
      </c>
      <c r="F63" s="2">
        <v>4346</v>
      </c>
      <c r="G63" s="9"/>
      <c r="H63" s="2"/>
    </row>
    <row r="64" spans="1:8" x14ac:dyDescent="0.2">
      <c r="A64" s="11">
        <v>7211</v>
      </c>
      <c r="B64" s="9" t="s">
        <v>215</v>
      </c>
      <c r="C64" s="9">
        <v>7211</v>
      </c>
      <c r="D64" s="9" t="s">
        <v>248</v>
      </c>
      <c r="E64" s="2" t="s">
        <v>45</v>
      </c>
      <c r="F64" s="2">
        <v>4253</v>
      </c>
      <c r="G64" s="9"/>
      <c r="H64" s="2"/>
    </row>
    <row r="65" spans="1:10" x14ac:dyDescent="0.2">
      <c r="A65" s="11">
        <v>7211</v>
      </c>
      <c r="B65" s="9" t="s">
        <v>215</v>
      </c>
      <c r="C65" s="9">
        <v>7211</v>
      </c>
      <c r="D65" s="9" t="s">
        <v>248</v>
      </c>
      <c r="E65" s="2" t="s">
        <v>79</v>
      </c>
      <c r="F65" s="2">
        <v>4250</v>
      </c>
      <c r="G65" s="9"/>
      <c r="H65" s="2"/>
    </row>
    <row r="66" spans="1:10" x14ac:dyDescent="0.2">
      <c r="A66" s="11">
        <v>7211</v>
      </c>
      <c r="B66" s="9" t="s">
        <v>215</v>
      </c>
      <c r="C66" s="9">
        <v>7211</v>
      </c>
      <c r="D66" s="9" t="s">
        <v>248</v>
      </c>
      <c r="E66" s="2" t="s">
        <v>62</v>
      </c>
      <c r="F66" s="2">
        <v>4085</v>
      </c>
      <c r="G66" s="9"/>
      <c r="H66" s="2"/>
    </row>
    <row r="67" spans="1:10" x14ac:dyDescent="0.2">
      <c r="A67" s="11">
        <v>7211</v>
      </c>
      <c r="B67" s="9" t="s">
        <v>215</v>
      </c>
      <c r="C67" s="9">
        <v>7211</v>
      </c>
      <c r="D67" s="9" t="s">
        <v>248</v>
      </c>
      <c r="E67" s="2" t="s">
        <v>111</v>
      </c>
      <c r="F67" s="2">
        <v>3954</v>
      </c>
      <c r="G67" s="9"/>
      <c r="H67" s="2"/>
    </row>
    <row r="68" spans="1:10" x14ac:dyDescent="0.2">
      <c r="A68" s="11">
        <v>7211</v>
      </c>
      <c r="B68" s="9" t="s">
        <v>215</v>
      </c>
      <c r="C68" s="9">
        <v>7211</v>
      </c>
      <c r="D68" s="9" t="s">
        <v>248</v>
      </c>
      <c r="E68" s="2" t="s">
        <v>54</v>
      </c>
      <c r="F68" s="2">
        <v>3914</v>
      </c>
      <c r="G68" s="9"/>
      <c r="H68" s="2"/>
    </row>
    <row r="69" spans="1:10" x14ac:dyDescent="0.2">
      <c r="A69" s="11">
        <v>7211</v>
      </c>
      <c r="B69" s="9" t="s">
        <v>215</v>
      </c>
      <c r="C69" s="9">
        <v>7211</v>
      </c>
      <c r="D69" s="9" t="s">
        <v>248</v>
      </c>
      <c r="E69" s="2" t="s">
        <v>76</v>
      </c>
      <c r="F69" s="2">
        <v>3896</v>
      </c>
      <c r="G69" s="9"/>
      <c r="H69" s="2"/>
    </row>
    <row r="70" spans="1:10" x14ac:dyDescent="0.2">
      <c r="A70" s="11">
        <v>7211</v>
      </c>
      <c r="B70" s="9" t="s">
        <v>215</v>
      </c>
      <c r="C70" s="9">
        <v>7211</v>
      </c>
      <c r="D70" s="9" t="s">
        <v>248</v>
      </c>
      <c r="E70" s="2" t="s">
        <v>158</v>
      </c>
      <c r="F70" s="2">
        <v>3655</v>
      </c>
      <c r="G70" s="9"/>
      <c r="H70" s="2"/>
      <c r="J70" s="2"/>
    </row>
    <row r="71" spans="1:10" x14ac:dyDescent="0.2">
      <c r="A71" s="11">
        <v>7211</v>
      </c>
      <c r="B71" s="9" t="s">
        <v>215</v>
      </c>
      <c r="C71" s="9">
        <v>7211</v>
      </c>
      <c r="D71" s="9" t="s">
        <v>248</v>
      </c>
      <c r="E71" s="2" t="s">
        <v>77</v>
      </c>
      <c r="F71" s="2">
        <v>3568</v>
      </c>
      <c r="G71" s="9"/>
      <c r="H71" s="2"/>
      <c r="J71" s="2"/>
    </row>
    <row r="72" spans="1:10" x14ac:dyDescent="0.2">
      <c r="A72" s="11">
        <v>7211</v>
      </c>
      <c r="B72" s="9" t="s">
        <v>215</v>
      </c>
      <c r="C72" s="9">
        <v>7211</v>
      </c>
      <c r="D72" s="9" t="s">
        <v>248</v>
      </c>
      <c r="E72" s="2" t="s">
        <v>96</v>
      </c>
      <c r="F72" s="2">
        <v>3481</v>
      </c>
      <c r="G72" s="9"/>
      <c r="H72" s="2"/>
      <c r="J72" s="2"/>
    </row>
    <row r="73" spans="1:10" x14ac:dyDescent="0.2">
      <c r="A73" s="11">
        <v>7211</v>
      </c>
      <c r="B73" s="9" t="s">
        <v>215</v>
      </c>
      <c r="C73" s="9">
        <v>7211</v>
      </c>
      <c r="D73" s="9" t="s">
        <v>248</v>
      </c>
      <c r="E73" s="2" t="s">
        <v>61</v>
      </c>
      <c r="F73" s="2">
        <v>3390</v>
      </c>
      <c r="G73" s="9"/>
      <c r="H73" s="2"/>
      <c r="J73" s="2"/>
    </row>
    <row r="74" spans="1:10" x14ac:dyDescent="0.2">
      <c r="A74" s="11">
        <v>7211</v>
      </c>
      <c r="B74" s="9" t="s">
        <v>215</v>
      </c>
      <c r="C74" s="9">
        <v>7211</v>
      </c>
      <c r="D74" s="9" t="s">
        <v>248</v>
      </c>
      <c r="E74" s="2" t="s">
        <v>103</v>
      </c>
      <c r="F74" s="2">
        <v>3313</v>
      </c>
      <c r="G74" s="9"/>
      <c r="H74" s="2"/>
      <c r="J74" s="2"/>
    </row>
    <row r="75" spans="1:10" x14ac:dyDescent="0.2">
      <c r="A75" s="11">
        <v>7211</v>
      </c>
      <c r="B75" s="9" t="s">
        <v>215</v>
      </c>
      <c r="C75" s="9">
        <v>7211</v>
      </c>
      <c r="D75" s="9" t="s">
        <v>248</v>
      </c>
      <c r="E75" s="2" t="s">
        <v>52</v>
      </c>
      <c r="F75" s="2">
        <v>3089</v>
      </c>
      <c r="G75" s="9"/>
      <c r="H75" s="2"/>
      <c r="J75" s="2"/>
    </row>
    <row r="76" spans="1:10" x14ac:dyDescent="0.2">
      <c r="A76" s="11">
        <v>7211</v>
      </c>
      <c r="B76" s="9" t="s">
        <v>215</v>
      </c>
      <c r="C76" s="9">
        <v>7211</v>
      </c>
      <c r="D76" s="9" t="s">
        <v>248</v>
      </c>
      <c r="E76" s="2" t="s">
        <v>75</v>
      </c>
      <c r="F76" s="2">
        <v>2417</v>
      </c>
      <c r="G76" s="9"/>
      <c r="H76" s="2"/>
    </row>
    <row r="77" spans="1:10" x14ac:dyDescent="0.2">
      <c r="A77" s="11">
        <v>7211</v>
      </c>
      <c r="B77" s="9" t="s">
        <v>215</v>
      </c>
      <c r="C77" s="9">
        <v>7211</v>
      </c>
      <c r="D77" s="9" t="s">
        <v>248</v>
      </c>
      <c r="E77" s="2" t="s">
        <v>90</v>
      </c>
      <c r="F77" s="2">
        <v>2335</v>
      </c>
      <c r="G77" s="9"/>
      <c r="H77" s="2"/>
    </row>
    <row r="78" spans="1:10" x14ac:dyDescent="0.2">
      <c r="A78" s="11">
        <v>7211</v>
      </c>
      <c r="B78" s="9" t="s">
        <v>215</v>
      </c>
      <c r="C78" s="9">
        <v>7211</v>
      </c>
      <c r="D78" s="9" t="s">
        <v>248</v>
      </c>
      <c r="E78" s="2" t="s">
        <v>50</v>
      </c>
      <c r="F78" s="2">
        <v>2293</v>
      </c>
      <c r="G78" s="9"/>
      <c r="H78" s="2"/>
    </row>
    <row r="79" spans="1:10" x14ac:dyDescent="0.2">
      <c r="A79" s="11">
        <v>7211</v>
      </c>
      <c r="B79" s="9" t="s">
        <v>215</v>
      </c>
      <c r="C79" s="9">
        <v>7211</v>
      </c>
      <c r="D79" s="9" t="s">
        <v>248</v>
      </c>
      <c r="E79" s="2" t="s">
        <v>53</v>
      </c>
      <c r="F79" s="2">
        <v>2212</v>
      </c>
      <c r="G79" s="9"/>
      <c r="H79" s="2"/>
    </row>
    <row r="80" spans="1:10" x14ac:dyDescent="0.2">
      <c r="A80" s="11">
        <v>7211</v>
      </c>
      <c r="B80" s="9" t="s">
        <v>215</v>
      </c>
      <c r="C80" s="9">
        <v>7211</v>
      </c>
      <c r="D80" s="9" t="s">
        <v>248</v>
      </c>
      <c r="E80" s="2" t="s">
        <v>68</v>
      </c>
      <c r="F80" s="2">
        <v>1827</v>
      </c>
      <c r="G80" s="9"/>
      <c r="H80" s="9"/>
    </row>
    <row r="81" spans="1:10" x14ac:dyDescent="0.2">
      <c r="A81" s="11">
        <v>7211</v>
      </c>
      <c r="B81" s="9" t="s">
        <v>215</v>
      </c>
      <c r="C81" s="9">
        <v>7211</v>
      </c>
      <c r="D81" s="9" t="s">
        <v>248</v>
      </c>
      <c r="E81" s="2" t="s">
        <v>114</v>
      </c>
      <c r="F81" s="2">
        <v>1818</v>
      </c>
      <c r="G81" s="9"/>
      <c r="H81" s="2"/>
    </row>
    <row r="82" spans="1:10" x14ac:dyDescent="0.2">
      <c r="A82" s="11">
        <v>7211</v>
      </c>
      <c r="B82" s="9" t="s">
        <v>215</v>
      </c>
      <c r="C82" s="9">
        <v>7211</v>
      </c>
      <c r="D82" s="9" t="s">
        <v>248</v>
      </c>
      <c r="E82" s="2" t="s">
        <v>92</v>
      </c>
      <c r="F82" s="2">
        <v>1760</v>
      </c>
      <c r="G82" s="9"/>
      <c r="H82" s="9"/>
    </row>
    <row r="83" spans="1:10" x14ac:dyDescent="0.2">
      <c r="A83" s="11">
        <v>7211</v>
      </c>
      <c r="B83" s="9" t="s">
        <v>215</v>
      </c>
      <c r="C83" s="9">
        <v>7211</v>
      </c>
      <c r="D83" s="9" t="s">
        <v>248</v>
      </c>
      <c r="E83" s="2" t="s">
        <v>78</v>
      </c>
      <c r="F83" s="2">
        <v>1753</v>
      </c>
      <c r="G83" s="9"/>
      <c r="H83" s="2"/>
    </row>
    <row r="84" spans="1:10" x14ac:dyDescent="0.2">
      <c r="A84" s="11">
        <v>7211</v>
      </c>
      <c r="B84" s="9" t="s">
        <v>215</v>
      </c>
      <c r="C84" s="9">
        <v>7211</v>
      </c>
      <c r="D84" s="9" t="s">
        <v>248</v>
      </c>
      <c r="E84" s="2" t="s">
        <v>107</v>
      </c>
      <c r="F84" s="2">
        <v>1712</v>
      </c>
      <c r="G84" s="9"/>
      <c r="H84" s="2"/>
    </row>
    <row r="85" spans="1:10" x14ac:dyDescent="0.2">
      <c r="A85" s="11">
        <v>7211</v>
      </c>
      <c r="B85" s="9" t="s">
        <v>215</v>
      </c>
      <c r="C85" s="9">
        <v>7211</v>
      </c>
      <c r="D85" s="9" t="s">
        <v>248</v>
      </c>
      <c r="E85" s="2" t="s">
        <v>74</v>
      </c>
      <c r="F85" s="2">
        <v>1679</v>
      </c>
      <c r="G85" s="9"/>
      <c r="H85" s="9"/>
    </row>
    <row r="86" spans="1:10" x14ac:dyDescent="0.2">
      <c r="A86" s="11">
        <v>7211</v>
      </c>
      <c r="B86" s="9" t="s">
        <v>215</v>
      </c>
      <c r="C86" s="9">
        <v>7211</v>
      </c>
      <c r="D86" s="9" t="s">
        <v>248</v>
      </c>
      <c r="E86" s="2" t="s">
        <v>44</v>
      </c>
      <c r="F86" s="2">
        <v>1667</v>
      </c>
      <c r="G86" s="9"/>
      <c r="H86" s="2"/>
    </row>
    <row r="87" spans="1:10" x14ac:dyDescent="0.2">
      <c r="A87" s="11">
        <v>7211</v>
      </c>
      <c r="B87" s="9" t="s">
        <v>215</v>
      </c>
      <c r="C87" s="9">
        <v>7211</v>
      </c>
      <c r="D87" s="9" t="s">
        <v>248</v>
      </c>
      <c r="E87" s="2" t="s">
        <v>98</v>
      </c>
      <c r="F87" s="2">
        <v>1663</v>
      </c>
      <c r="G87" s="9"/>
      <c r="H87" s="2"/>
    </row>
    <row r="88" spans="1:10" x14ac:dyDescent="0.2">
      <c r="A88" s="11">
        <v>7211</v>
      </c>
      <c r="B88" s="9" t="s">
        <v>215</v>
      </c>
      <c r="C88" s="9">
        <v>7211</v>
      </c>
      <c r="D88" s="9" t="s">
        <v>248</v>
      </c>
      <c r="E88" s="2" t="s">
        <v>71</v>
      </c>
      <c r="F88" s="2">
        <v>1629</v>
      </c>
      <c r="G88" s="9"/>
      <c r="H88" s="2"/>
    </row>
    <row r="89" spans="1:10" x14ac:dyDescent="0.2">
      <c r="A89" s="11">
        <v>7211</v>
      </c>
      <c r="B89" s="9" t="s">
        <v>215</v>
      </c>
      <c r="C89" s="9">
        <v>7211</v>
      </c>
      <c r="D89" s="9" t="s">
        <v>248</v>
      </c>
      <c r="E89" s="2" t="s">
        <v>91</v>
      </c>
      <c r="F89" s="2">
        <v>1608</v>
      </c>
      <c r="G89" s="9"/>
      <c r="H89" s="2"/>
    </row>
    <row r="90" spans="1:10" x14ac:dyDescent="0.2">
      <c r="A90" s="11">
        <v>7211</v>
      </c>
      <c r="B90" s="9" t="s">
        <v>215</v>
      </c>
      <c r="C90" s="9">
        <v>7211</v>
      </c>
      <c r="D90" s="9" t="s">
        <v>248</v>
      </c>
      <c r="E90" s="2" t="s">
        <v>112</v>
      </c>
      <c r="F90" s="2">
        <v>1598</v>
      </c>
      <c r="G90" s="9"/>
      <c r="H90" s="9"/>
    </row>
    <row r="91" spans="1:10" x14ac:dyDescent="0.2">
      <c r="A91" s="11">
        <v>7211</v>
      </c>
      <c r="B91" s="9" t="s">
        <v>215</v>
      </c>
      <c r="C91" s="9">
        <v>7211</v>
      </c>
      <c r="D91" s="9" t="s">
        <v>248</v>
      </c>
      <c r="E91" s="2" t="s">
        <v>87</v>
      </c>
      <c r="F91" s="2">
        <v>1567</v>
      </c>
      <c r="G91" s="9"/>
      <c r="H91" s="2"/>
      <c r="J91" s="9"/>
    </row>
    <row r="92" spans="1:10" x14ac:dyDescent="0.2">
      <c r="A92" s="11">
        <v>7211</v>
      </c>
      <c r="B92" s="9" t="s">
        <v>215</v>
      </c>
      <c r="C92" s="9">
        <v>7211</v>
      </c>
      <c r="D92" s="9" t="s">
        <v>248</v>
      </c>
      <c r="E92" s="2" t="s">
        <v>40</v>
      </c>
      <c r="F92" s="2">
        <v>1550</v>
      </c>
      <c r="G92" s="9"/>
      <c r="H92" s="2"/>
      <c r="J92" s="2"/>
    </row>
    <row r="93" spans="1:10" x14ac:dyDescent="0.2">
      <c r="A93" s="11">
        <v>7211</v>
      </c>
      <c r="B93" s="9" t="s">
        <v>215</v>
      </c>
      <c r="C93" s="9">
        <v>7211</v>
      </c>
      <c r="D93" s="9" t="s">
        <v>248</v>
      </c>
      <c r="E93" s="2" t="s">
        <v>46</v>
      </c>
      <c r="F93" s="2">
        <v>1173</v>
      </c>
      <c r="G93" s="9"/>
      <c r="H93" s="2"/>
      <c r="J93" s="9"/>
    </row>
    <row r="94" spans="1:10" x14ac:dyDescent="0.2">
      <c r="A94" s="11">
        <v>7211</v>
      </c>
      <c r="B94" s="9" t="s">
        <v>215</v>
      </c>
      <c r="C94" s="9">
        <v>7211</v>
      </c>
      <c r="D94" s="9" t="s">
        <v>248</v>
      </c>
      <c r="E94" s="2" t="s">
        <v>72</v>
      </c>
      <c r="F94" s="2">
        <v>1095</v>
      </c>
      <c r="G94" s="9"/>
      <c r="H94" s="2"/>
      <c r="J94" s="2"/>
    </row>
    <row r="95" spans="1:10" x14ac:dyDescent="0.2">
      <c r="A95" s="11">
        <v>7211</v>
      </c>
      <c r="B95" s="9" t="s">
        <v>215</v>
      </c>
      <c r="C95" s="9">
        <v>7211</v>
      </c>
      <c r="D95" s="9" t="s">
        <v>248</v>
      </c>
      <c r="E95" s="2" t="s">
        <v>60</v>
      </c>
      <c r="F95" s="2">
        <v>945</v>
      </c>
      <c r="G95" s="9"/>
      <c r="H95" s="9"/>
      <c r="J95" s="2"/>
    </row>
    <row r="96" spans="1:10" x14ac:dyDescent="0.2">
      <c r="A96" s="11">
        <v>7211</v>
      </c>
      <c r="B96" s="9" t="s">
        <v>215</v>
      </c>
      <c r="C96" s="9">
        <v>7211</v>
      </c>
      <c r="D96" s="9" t="s">
        <v>248</v>
      </c>
      <c r="E96" s="2" t="s">
        <v>64</v>
      </c>
      <c r="F96" s="2">
        <v>777</v>
      </c>
      <c r="G96" s="9"/>
      <c r="H96" s="2"/>
      <c r="J96" s="9"/>
    </row>
    <row r="97" spans="1:10" x14ac:dyDescent="0.2">
      <c r="A97" s="11">
        <v>7211</v>
      </c>
      <c r="B97" s="9" t="s">
        <v>215</v>
      </c>
      <c r="C97" s="9">
        <v>7211</v>
      </c>
      <c r="D97" s="9" t="s">
        <v>248</v>
      </c>
      <c r="E97" s="2" t="s">
        <v>66</v>
      </c>
      <c r="F97" s="2">
        <v>400</v>
      </c>
      <c r="G97" s="9"/>
      <c r="H97" s="9"/>
    </row>
    <row r="98" spans="1:10" x14ac:dyDescent="0.2">
      <c r="A98" s="11">
        <v>7211</v>
      </c>
      <c r="B98" s="9" t="s">
        <v>215</v>
      </c>
      <c r="C98" s="9">
        <v>7211</v>
      </c>
      <c r="D98" s="9" t="s">
        <v>248</v>
      </c>
      <c r="E98" s="2" t="s">
        <v>82</v>
      </c>
      <c r="F98" s="2">
        <v>283</v>
      </c>
      <c r="G98" s="9"/>
      <c r="H98" s="2"/>
    </row>
    <row r="99" spans="1:10" x14ac:dyDescent="0.2">
      <c r="A99" s="11">
        <v>7211</v>
      </c>
      <c r="B99" s="9" t="s">
        <v>215</v>
      </c>
      <c r="C99" s="9">
        <v>7211</v>
      </c>
      <c r="D99" s="9" t="s">
        <v>248</v>
      </c>
      <c r="E99" s="2" t="s">
        <v>56</v>
      </c>
      <c r="F99" s="2">
        <v>235</v>
      </c>
      <c r="G99" s="9"/>
      <c r="H99" s="9"/>
    </row>
    <row r="100" spans="1:10" x14ac:dyDescent="0.2">
      <c r="A100" s="11">
        <v>7211</v>
      </c>
      <c r="B100" s="9" t="s">
        <v>215</v>
      </c>
      <c r="C100" s="9">
        <v>7211</v>
      </c>
      <c r="D100" s="9" t="s">
        <v>248</v>
      </c>
      <c r="E100" s="2" t="s">
        <v>88</v>
      </c>
      <c r="F100" s="2">
        <v>174</v>
      </c>
      <c r="G100" s="9"/>
      <c r="H100" s="2"/>
    </row>
    <row r="101" spans="1:10" x14ac:dyDescent="0.2">
      <c r="A101" s="11">
        <v>7211</v>
      </c>
      <c r="B101" s="9" t="s">
        <v>215</v>
      </c>
      <c r="C101" s="9">
        <v>7211</v>
      </c>
      <c r="D101" s="9" t="s">
        <v>248</v>
      </c>
      <c r="E101" s="2" t="s">
        <v>86</v>
      </c>
      <c r="F101" s="2">
        <v>154</v>
      </c>
      <c r="G101" s="9"/>
      <c r="H101" s="9"/>
    </row>
    <row r="102" spans="1:10" x14ac:dyDescent="0.2">
      <c r="A102" s="11">
        <v>7211</v>
      </c>
      <c r="B102" s="9" t="s">
        <v>215</v>
      </c>
      <c r="C102" s="9">
        <v>7211</v>
      </c>
      <c r="D102" s="9" t="s">
        <v>248</v>
      </c>
      <c r="E102" s="2" t="s">
        <v>100</v>
      </c>
      <c r="F102" s="2">
        <v>100</v>
      </c>
      <c r="G102" s="9"/>
      <c r="H102" s="2"/>
    </row>
    <row r="103" spans="1:10" x14ac:dyDescent="0.2">
      <c r="A103" s="11">
        <v>7211</v>
      </c>
      <c r="B103" s="9" t="s">
        <v>215</v>
      </c>
      <c r="C103" s="9">
        <v>7211</v>
      </c>
      <c r="D103" s="9" t="s">
        <v>248</v>
      </c>
      <c r="E103" s="2" t="s">
        <v>84</v>
      </c>
      <c r="F103" s="2">
        <v>94</v>
      </c>
      <c r="G103" s="9"/>
      <c r="H103" s="2"/>
      <c r="J103" s="9"/>
    </row>
    <row r="104" spans="1:10" x14ac:dyDescent="0.2">
      <c r="A104" s="11">
        <v>7211</v>
      </c>
      <c r="B104" s="9" t="s">
        <v>215</v>
      </c>
      <c r="C104" s="9">
        <v>7211</v>
      </c>
      <c r="D104" s="9" t="s">
        <v>248</v>
      </c>
      <c r="E104" s="2" t="s">
        <v>83</v>
      </c>
      <c r="F104" s="2">
        <v>78</v>
      </c>
      <c r="G104" s="9"/>
      <c r="H104" s="2"/>
      <c r="J104" s="2"/>
    </row>
    <row r="105" spans="1:10" x14ac:dyDescent="0.2">
      <c r="A105" s="11">
        <v>7211</v>
      </c>
      <c r="B105" s="9" t="s">
        <v>215</v>
      </c>
      <c r="C105" s="9">
        <v>7211</v>
      </c>
      <c r="D105" s="9" t="s">
        <v>248</v>
      </c>
      <c r="E105" s="2" t="s">
        <v>70</v>
      </c>
      <c r="F105" s="2">
        <v>39</v>
      </c>
      <c r="G105" s="9"/>
      <c r="H105" s="2"/>
      <c r="J105" s="9"/>
    </row>
    <row r="106" spans="1:10" x14ac:dyDescent="0.2">
      <c r="A106" s="10" t="s">
        <v>31</v>
      </c>
      <c r="B106" s="9"/>
      <c r="C106" s="9"/>
      <c r="D106" s="8"/>
      <c r="E106" s="2"/>
      <c r="F106" s="10">
        <f>SUM(F36:F105)</f>
        <v>540253</v>
      </c>
      <c r="G106" s="9"/>
      <c r="H106" s="9"/>
    </row>
    <row r="107" spans="1:10" x14ac:dyDescent="0.2">
      <c r="A107" s="35"/>
      <c r="G107" s="35"/>
      <c r="H107" s="35"/>
    </row>
  </sheetData>
  <sortState xmlns:xlrd2="http://schemas.microsoft.com/office/spreadsheetml/2017/richdata2" ref="A36:F105">
    <sortCondition descending="1" ref="F36:F10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8C47-861E-3744-92CB-009B91FBABB1}">
  <dimension ref="A1:H36"/>
  <sheetViews>
    <sheetView workbookViewId="0">
      <selection activeCell="D2" sqref="D2"/>
    </sheetView>
  </sheetViews>
  <sheetFormatPr baseColWidth="10" defaultRowHeight="16" x14ac:dyDescent="0.2"/>
  <cols>
    <col min="1" max="1" width="14" customWidth="1"/>
    <col min="2" max="2" width="26" customWidth="1"/>
    <col min="3" max="3" width="41" customWidth="1"/>
    <col min="4" max="5" width="25.33203125" customWidth="1"/>
    <col min="6" max="6" width="19.5" customWidth="1"/>
  </cols>
  <sheetData>
    <row r="1" spans="1:8" x14ac:dyDescent="0.2">
      <c r="A1" s="1" t="s">
        <v>238</v>
      </c>
      <c r="B1" s="1"/>
      <c r="C1" s="1"/>
      <c r="D1" s="1"/>
      <c r="E1" s="1"/>
      <c r="F1" s="1"/>
      <c r="G1" s="1"/>
    </row>
    <row r="2" spans="1:8" x14ac:dyDescent="0.2">
      <c r="A2" s="1" t="s">
        <v>0</v>
      </c>
      <c r="B2" s="1"/>
      <c r="C2" s="1"/>
      <c r="D2" s="1"/>
      <c r="E2" s="1"/>
      <c r="F2" s="1"/>
      <c r="G2" s="1"/>
    </row>
    <row r="3" spans="1:8" x14ac:dyDescent="0.2">
      <c r="A3" s="1" t="s">
        <v>216</v>
      </c>
      <c r="B3" s="1"/>
      <c r="C3" s="1"/>
      <c r="D3" s="1"/>
      <c r="E3" s="1"/>
      <c r="F3" s="1"/>
      <c r="G3" s="3"/>
    </row>
    <row r="4" spans="1:8" x14ac:dyDescent="0.2">
      <c r="A4" s="1" t="s">
        <v>116</v>
      </c>
      <c r="B4" s="1"/>
      <c r="C4" s="1"/>
      <c r="D4" s="1"/>
      <c r="E4" s="1"/>
      <c r="F4" s="1"/>
      <c r="G4" s="1"/>
    </row>
    <row r="5" spans="1:8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  <c r="G5" s="6"/>
    </row>
    <row r="6" spans="1:8" x14ac:dyDescent="0.2">
      <c r="A6" s="9" t="s">
        <v>217</v>
      </c>
      <c r="B6" s="9" t="s">
        <v>218</v>
      </c>
      <c r="C6" s="9" t="s">
        <v>240</v>
      </c>
      <c r="D6" s="2" t="s">
        <v>121</v>
      </c>
      <c r="E6" s="2">
        <v>101161</v>
      </c>
      <c r="F6" s="17"/>
      <c r="H6" s="2"/>
    </row>
    <row r="7" spans="1:8" x14ac:dyDescent="0.2">
      <c r="A7" s="9" t="s">
        <v>217</v>
      </c>
      <c r="B7" s="9" t="s">
        <v>218</v>
      </c>
      <c r="C7" s="9" t="s">
        <v>240</v>
      </c>
      <c r="D7" s="9" t="s">
        <v>125</v>
      </c>
      <c r="E7" s="9">
        <v>90693</v>
      </c>
      <c r="F7" s="17"/>
      <c r="H7" s="2"/>
    </row>
    <row r="8" spans="1:8" x14ac:dyDescent="0.2">
      <c r="A8" s="9" t="s">
        <v>217</v>
      </c>
      <c r="B8" s="9" t="s">
        <v>218</v>
      </c>
      <c r="C8" s="9" t="s">
        <v>240</v>
      </c>
      <c r="D8" s="9" t="s">
        <v>127</v>
      </c>
      <c r="E8" s="9">
        <v>85569</v>
      </c>
      <c r="F8" s="17"/>
      <c r="H8" s="2"/>
    </row>
    <row r="9" spans="1:8" x14ac:dyDescent="0.2">
      <c r="A9" s="9" t="s">
        <v>217</v>
      </c>
      <c r="B9" s="9" t="s">
        <v>218</v>
      </c>
      <c r="C9" s="9" t="s">
        <v>240</v>
      </c>
      <c r="D9" s="9" t="s">
        <v>130</v>
      </c>
      <c r="E9" s="9">
        <v>79201</v>
      </c>
      <c r="F9" s="17"/>
      <c r="H9" s="2"/>
    </row>
    <row r="10" spans="1:8" x14ac:dyDescent="0.2">
      <c r="A10" s="9" t="s">
        <v>217</v>
      </c>
      <c r="B10" s="9" t="s">
        <v>218</v>
      </c>
      <c r="C10" s="9" t="s">
        <v>240</v>
      </c>
      <c r="D10" s="9" t="s">
        <v>129</v>
      </c>
      <c r="E10" s="9">
        <v>72861</v>
      </c>
      <c r="F10" s="17"/>
      <c r="H10" s="2"/>
    </row>
    <row r="11" spans="1:8" x14ac:dyDescent="0.2">
      <c r="A11" s="9" t="s">
        <v>217</v>
      </c>
      <c r="B11" s="9" t="s">
        <v>218</v>
      </c>
      <c r="C11" s="9" t="s">
        <v>240</v>
      </c>
      <c r="D11" s="9" t="s">
        <v>133</v>
      </c>
      <c r="E11" s="9">
        <v>63625</v>
      </c>
      <c r="F11" s="17"/>
      <c r="H11" s="2"/>
    </row>
    <row r="12" spans="1:8" x14ac:dyDescent="0.2">
      <c r="A12" s="9" t="s">
        <v>217</v>
      </c>
      <c r="B12" s="9" t="s">
        <v>218</v>
      </c>
      <c r="C12" s="9" t="s">
        <v>240</v>
      </c>
      <c r="D12" s="9" t="s">
        <v>132</v>
      </c>
      <c r="E12" s="9">
        <v>61610</v>
      </c>
      <c r="F12" s="17"/>
      <c r="H12" s="2"/>
    </row>
    <row r="13" spans="1:8" x14ac:dyDescent="0.2">
      <c r="A13" s="9" t="s">
        <v>217</v>
      </c>
      <c r="B13" s="9" t="s">
        <v>218</v>
      </c>
      <c r="C13" s="9" t="s">
        <v>240</v>
      </c>
      <c r="D13" s="9" t="s">
        <v>134</v>
      </c>
      <c r="E13" s="9">
        <v>56895</v>
      </c>
      <c r="F13" s="17"/>
      <c r="G13" s="9"/>
      <c r="H13" s="2"/>
    </row>
    <row r="14" spans="1:8" x14ac:dyDescent="0.2">
      <c r="A14" s="9" t="s">
        <v>217</v>
      </c>
      <c r="B14" s="9" t="s">
        <v>218</v>
      </c>
      <c r="C14" s="9" t="s">
        <v>240</v>
      </c>
      <c r="D14" s="2" t="s">
        <v>137</v>
      </c>
      <c r="E14" s="2">
        <v>48024</v>
      </c>
      <c r="F14" s="17"/>
      <c r="H14" s="2"/>
    </row>
    <row r="15" spans="1:8" x14ac:dyDescent="0.2">
      <c r="A15" s="9" t="s">
        <v>217</v>
      </c>
      <c r="B15" s="9" t="s">
        <v>218</v>
      </c>
      <c r="C15" s="9" t="s">
        <v>240</v>
      </c>
      <c r="D15" s="2" t="s">
        <v>138</v>
      </c>
      <c r="E15" s="2">
        <v>42427</v>
      </c>
      <c r="F15" s="17"/>
      <c r="H15" s="2"/>
    </row>
    <row r="16" spans="1:8" x14ac:dyDescent="0.2">
      <c r="A16" s="9" t="s">
        <v>217</v>
      </c>
      <c r="B16" s="9" t="s">
        <v>218</v>
      </c>
      <c r="C16" s="9" t="s">
        <v>240</v>
      </c>
      <c r="D16" s="2" t="s">
        <v>141</v>
      </c>
      <c r="E16" s="2">
        <v>34354</v>
      </c>
      <c r="F16" s="17"/>
      <c r="H16" s="2"/>
    </row>
    <row r="17" spans="1:8" x14ac:dyDescent="0.2">
      <c r="A17" s="9" t="s">
        <v>217</v>
      </c>
      <c r="B17" s="9" t="s">
        <v>218</v>
      </c>
      <c r="C17" s="9" t="s">
        <v>240</v>
      </c>
      <c r="D17" s="2" t="s">
        <v>142</v>
      </c>
      <c r="E17" s="2">
        <v>21277</v>
      </c>
      <c r="F17" s="17"/>
      <c r="H17" s="2"/>
    </row>
    <row r="18" spans="1:8" x14ac:dyDescent="0.2">
      <c r="A18" s="9" t="s">
        <v>217</v>
      </c>
      <c r="B18" s="9" t="s">
        <v>218</v>
      </c>
      <c r="C18" s="9" t="s">
        <v>240</v>
      </c>
      <c r="D18" s="2" t="s">
        <v>145</v>
      </c>
      <c r="E18" s="2">
        <v>9543</v>
      </c>
      <c r="F18" s="17"/>
      <c r="H18" s="2"/>
    </row>
    <row r="19" spans="1:8" x14ac:dyDescent="0.2">
      <c r="A19" s="10" t="s">
        <v>31</v>
      </c>
      <c r="E19" s="10">
        <f>SUM(E6:E18)</f>
        <v>767240</v>
      </c>
      <c r="F19" s="41"/>
    </row>
    <row r="22" spans="1:8" x14ac:dyDescent="0.2">
      <c r="D22" s="2"/>
      <c r="E22" s="2"/>
    </row>
    <row r="23" spans="1:8" x14ac:dyDescent="0.2">
      <c r="D23" s="9"/>
      <c r="E23" s="9"/>
    </row>
    <row r="24" spans="1:8" x14ac:dyDescent="0.2">
      <c r="D24" s="2"/>
      <c r="E24" s="2"/>
    </row>
    <row r="25" spans="1:8" x14ac:dyDescent="0.2">
      <c r="D25" s="2"/>
      <c r="E25" s="2"/>
    </row>
    <row r="26" spans="1:8" x14ac:dyDescent="0.2">
      <c r="D26" s="2"/>
      <c r="E26" s="2"/>
    </row>
    <row r="27" spans="1:8" x14ac:dyDescent="0.2">
      <c r="D27" s="2"/>
      <c r="E27" s="2"/>
    </row>
    <row r="28" spans="1:8" x14ac:dyDescent="0.2">
      <c r="D28" s="2"/>
      <c r="E28" s="2"/>
    </row>
    <row r="29" spans="1:8" x14ac:dyDescent="0.2">
      <c r="D29" s="2"/>
      <c r="E29" s="2"/>
    </row>
    <row r="30" spans="1:8" x14ac:dyDescent="0.2">
      <c r="D30" s="2"/>
      <c r="E30" s="2"/>
    </row>
    <row r="31" spans="1:8" x14ac:dyDescent="0.2">
      <c r="D31" s="2"/>
      <c r="E31" s="2"/>
    </row>
    <row r="32" spans="1:8" x14ac:dyDescent="0.2">
      <c r="D32" s="2"/>
      <c r="E32" s="2"/>
    </row>
    <row r="33" spans="4:5" x14ac:dyDescent="0.2">
      <c r="D33" s="2"/>
      <c r="E33" s="2"/>
    </row>
    <row r="34" spans="4:5" x14ac:dyDescent="0.2">
      <c r="D34" s="2"/>
      <c r="E34" s="2"/>
    </row>
    <row r="35" spans="4:5" x14ac:dyDescent="0.2">
      <c r="D35" s="2"/>
      <c r="E35" s="2"/>
    </row>
    <row r="36" spans="4:5" x14ac:dyDescent="0.2">
      <c r="D36" s="2"/>
      <c r="E3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5DF3-5066-5F45-AAC7-C1DCB139D73E}">
  <dimension ref="A1:K23"/>
  <sheetViews>
    <sheetView workbookViewId="0">
      <selection activeCell="I26" sqref="I26"/>
    </sheetView>
  </sheetViews>
  <sheetFormatPr baseColWidth="10" defaultRowHeight="16" x14ac:dyDescent="0.2"/>
  <cols>
    <col min="1" max="1" width="15.83203125" customWidth="1"/>
    <col min="2" max="2" width="24.33203125" customWidth="1"/>
    <col min="3" max="3" width="39.83203125" customWidth="1"/>
    <col min="5" max="5" width="20.83203125" customWidth="1"/>
  </cols>
  <sheetData>
    <row r="1" spans="1:11" x14ac:dyDescent="0.2">
      <c r="A1" s="1" t="s">
        <v>238</v>
      </c>
      <c r="B1" s="1"/>
      <c r="C1" s="1"/>
      <c r="D1" s="1"/>
      <c r="E1" s="1"/>
    </row>
    <row r="2" spans="1:11" x14ac:dyDescent="0.2">
      <c r="A2" s="1" t="s">
        <v>0</v>
      </c>
      <c r="B2" s="1"/>
      <c r="C2" s="1"/>
      <c r="D2" s="1"/>
    </row>
    <row r="3" spans="1:11" x14ac:dyDescent="0.2">
      <c r="A3" s="1" t="s">
        <v>219</v>
      </c>
      <c r="B3" s="1"/>
      <c r="C3" s="1"/>
      <c r="D3" s="1"/>
      <c r="E3" s="1"/>
      <c r="F3" s="21"/>
    </row>
    <row r="4" spans="1:11" x14ac:dyDescent="0.2">
      <c r="A4" s="1" t="s">
        <v>146</v>
      </c>
      <c r="B4" s="1"/>
      <c r="C4" s="1"/>
      <c r="D4" s="1"/>
      <c r="E4" s="1"/>
    </row>
    <row r="5" spans="1:11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  <c r="K5" s="23"/>
    </row>
    <row r="6" spans="1:11" x14ac:dyDescent="0.2">
      <c r="A6" s="9" t="s">
        <v>220</v>
      </c>
      <c r="B6" s="9" t="s">
        <v>221</v>
      </c>
      <c r="C6" s="9" t="s">
        <v>222</v>
      </c>
      <c r="D6" s="16">
        <v>45966</v>
      </c>
      <c r="E6" s="15">
        <v>67648</v>
      </c>
      <c r="F6" s="30">
        <v>1420.18</v>
      </c>
      <c r="G6" s="26"/>
      <c r="K6" s="23"/>
    </row>
    <row r="7" spans="1:11" x14ac:dyDescent="0.2">
      <c r="A7" s="9" t="s">
        <v>220</v>
      </c>
      <c r="B7" s="9" t="s">
        <v>221</v>
      </c>
      <c r="C7" s="9" t="s">
        <v>223</v>
      </c>
      <c r="D7" s="16">
        <v>45967</v>
      </c>
      <c r="E7" s="17">
        <v>67721</v>
      </c>
      <c r="F7" s="30">
        <v>1421.71</v>
      </c>
      <c r="G7" s="27"/>
      <c r="K7" s="23"/>
    </row>
    <row r="8" spans="1:11" x14ac:dyDescent="0.2">
      <c r="A8" s="9" t="s">
        <v>220</v>
      </c>
      <c r="B8" s="9" t="s">
        <v>221</v>
      </c>
      <c r="C8" s="9" t="s">
        <v>224</v>
      </c>
      <c r="D8" s="16">
        <v>45968</v>
      </c>
      <c r="E8" s="15">
        <v>67673</v>
      </c>
      <c r="F8" s="30">
        <v>1420.7</v>
      </c>
      <c r="G8" s="27"/>
      <c r="K8" s="23"/>
    </row>
    <row r="9" spans="1:11" x14ac:dyDescent="0.2">
      <c r="A9" s="9" t="s">
        <v>220</v>
      </c>
      <c r="B9" s="9" t="s">
        <v>221</v>
      </c>
      <c r="C9" s="9" t="s">
        <v>225</v>
      </c>
      <c r="D9" s="16">
        <v>45969</v>
      </c>
      <c r="E9" s="17">
        <v>67709</v>
      </c>
      <c r="F9" s="30">
        <v>1421.46</v>
      </c>
      <c r="J9" s="30"/>
      <c r="K9" s="23"/>
    </row>
    <row r="10" spans="1:11" x14ac:dyDescent="0.2">
      <c r="A10" s="9" t="s">
        <v>220</v>
      </c>
      <c r="B10" s="9" t="s">
        <v>221</v>
      </c>
      <c r="C10" s="9" t="s">
        <v>226</v>
      </c>
      <c r="D10" s="16">
        <v>45970</v>
      </c>
      <c r="E10" s="17">
        <v>67744</v>
      </c>
      <c r="F10" s="30">
        <v>1422.19</v>
      </c>
      <c r="J10" s="30"/>
      <c r="K10" s="23"/>
    </row>
    <row r="11" spans="1:11" x14ac:dyDescent="0.2">
      <c r="A11" s="9" t="s">
        <v>220</v>
      </c>
      <c r="B11" s="9" t="s">
        <v>221</v>
      </c>
      <c r="C11" s="9" t="s">
        <v>241</v>
      </c>
      <c r="D11" s="16">
        <v>45971</v>
      </c>
      <c r="E11" s="17">
        <v>61238</v>
      </c>
      <c r="F11" s="30">
        <v>1285.42</v>
      </c>
      <c r="J11" s="30"/>
      <c r="K11" s="23"/>
    </row>
    <row r="12" spans="1:11" x14ac:dyDescent="0.2">
      <c r="A12" s="9" t="s">
        <v>220</v>
      </c>
      <c r="B12" s="9" t="s">
        <v>221</v>
      </c>
      <c r="C12" s="9" t="s">
        <v>242</v>
      </c>
      <c r="D12" s="16">
        <v>45972</v>
      </c>
      <c r="E12" s="17">
        <v>61246</v>
      </c>
      <c r="F12" s="30">
        <v>1285.58</v>
      </c>
      <c r="J12" s="30"/>
      <c r="K12" s="23"/>
    </row>
    <row r="13" spans="1:11" x14ac:dyDescent="0.2">
      <c r="A13" s="9" t="s">
        <v>220</v>
      </c>
      <c r="B13" s="9" t="s">
        <v>221</v>
      </c>
      <c r="C13" s="9" t="s">
        <v>243</v>
      </c>
      <c r="D13" s="16">
        <v>45973</v>
      </c>
      <c r="E13" s="17">
        <v>61259</v>
      </c>
      <c r="F13" s="30">
        <v>1285.8599999999999</v>
      </c>
      <c r="J13" s="30"/>
      <c r="K13" s="23"/>
    </row>
    <row r="14" spans="1:11" x14ac:dyDescent="0.2">
      <c r="A14" s="9" t="s">
        <v>220</v>
      </c>
      <c r="B14" s="9" t="s">
        <v>221</v>
      </c>
      <c r="C14" s="9" t="s">
        <v>244</v>
      </c>
      <c r="D14" s="16">
        <v>45974</v>
      </c>
      <c r="E14" s="17">
        <v>61255</v>
      </c>
      <c r="F14" s="30">
        <v>1285.77</v>
      </c>
      <c r="J14" s="30"/>
      <c r="K14" s="23"/>
    </row>
    <row r="15" spans="1:11" x14ac:dyDescent="0.2">
      <c r="A15" s="9" t="s">
        <v>220</v>
      </c>
      <c r="B15" s="9" t="s">
        <v>221</v>
      </c>
      <c r="C15" s="9" t="s">
        <v>245</v>
      </c>
      <c r="D15" s="16">
        <v>45975</v>
      </c>
      <c r="E15" s="17">
        <v>61263</v>
      </c>
      <c r="F15" s="30">
        <v>1285.94</v>
      </c>
      <c r="J15" s="30"/>
      <c r="K15" s="23"/>
    </row>
    <row r="16" spans="1:11" x14ac:dyDescent="0.2">
      <c r="A16" s="9" t="s">
        <v>220</v>
      </c>
      <c r="B16" s="9" t="s">
        <v>221</v>
      </c>
      <c r="C16" s="9" t="s">
        <v>246</v>
      </c>
      <c r="D16" s="16">
        <v>45976</v>
      </c>
      <c r="E16" s="17">
        <v>61237</v>
      </c>
      <c r="F16" s="30">
        <v>1285.4100000000001</v>
      </c>
      <c r="J16" s="18"/>
      <c r="K16" s="23"/>
    </row>
    <row r="17" spans="1:11" x14ac:dyDescent="0.2">
      <c r="A17" s="9" t="s">
        <v>220</v>
      </c>
      <c r="B17" s="9" t="s">
        <v>221</v>
      </c>
      <c r="C17" s="9" t="s">
        <v>247</v>
      </c>
      <c r="D17" s="16">
        <v>45977</v>
      </c>
      <c r="E17" s="17">
        <v>61247</v>
      </c>
      <c r="F17" s="30">
        <v>1285.6099999999999</v>
      </c>
      <c r="J17" s="17"/>
      <c r="K17" s="23"/>
    </row>
    <row r="18" spans="1:11" x14ac:dyDescent="0.2">
      <c r="A18" s="10" t="s">
        <v>31</v>
      </c>
      <c r="E18" s="19">
        <f>SUM(E6:E17)</f>
        <v>767240</v>
      </c>
      <c r="F18" s="20">
        <f>SUM(F6:F17)</f>
        <v>16105.830000000002</v>
      </c>
      <c r="I18" s="33"/>
    </row>
    <row r="23" spans="1:11" x14ac:dyDescent="0.2">
      <c r="F23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71CA-3510-3346-B774-28A958CAA01C}">
  <dimension ref="A1:L86"/>
  <sheetViews>
    <sheetView topLeftCell="A53" workbookViewId="0">
      <selection activeCell="D6" sqref="D6"/>
    </sheetView>
  </sheetViews>
  <sheetFormatPr baseColWidth="10" defaultRowHeight="16" x14ac:dyDescent="0.2"/>
  <cols>
    <col min="1" max="1" width="11.1640625" customWidth="1"/>
    <col min="2" max="2" width="18.83203125" customWidth="1"/>
    <col min="3" max="3" width="13.1640625" customWidth="1"/>
    <col min="4" max="4" width="35.83203125" customWidth="1"/>
    <col min="5" max="5" width="54.33203125" customWidth="1"/>
    <col min="6" max="6" width="23.6640625" customWidth="1"/>
    <col min="7" max="7" width="21.83203125" customWidth="1"/>
    <col min="8" max="8" width="24" customWidth="1"/>
  </cols>
  <sheetData>
    <row r="1" spans="1:12" x14ac:dyDescent="0.2">
      <c r="A1" s="1" t="s">
        <v>228</v>
      </c>
      <c r="B1" s="1"/>
      <c r="C1" s="1"/>
      <c r="D1" s="1"/>
      <c r="E1" s="4"/>
      <c r="F1" s="4"/>
      <c r="G1" s="4"/>
      <c r="H1" s="4"/>
      <c r="I1" s="4"/>
      <c r="J1" s="1"/>
      <c r="K1" s="1"/>
    </row>
    <row r="2" spans="1:12" x14ac:dyDescent="0.2">
      <c r="A2" s="1" t="s">
        <v>0</v>
      </c>
      <c r="B2" s="1"/>
      <c r="C2" s="1"/>
      <c r="D2" s="1"/>
      <c r="E2" s="4"/>
      <c r="F2" s="4"/>
      <c r="G2" s="4"/>
      <c r="H2" s="2"/>
      <c r="I2" s="2"/>
      <c r="J2" s="3"/>
      <c r="K2" s="1"/>
    </row>
    <row r="3" spans="1:12" x14ac:dyDescent="0.2">
      <c r="A3" s="1" t="s">
        <v>156</v>
      </c>
      <c r="B3" s="1"/>
      <c r="C3" s="1"/>
      <c r="D3" s="1"/>
      <c r="E3" s="2"/>
      <c r="F3" s="2"/>
      <c r="G3" s="2"/>
      <c r="H3" s="2"/>
      <c r="I3" s="2"/>
      <c r="J3" s="1"/>
      <c r="K3" s="1"/>
    </row>
    <row r="4" spans="1:12" x14ac:dyDescent="0.2">
      <c r="A4" s="5" t="s">
        <v>2</v>
      </c>
      <c r="B4" s="5"/>
      <c r="C4" s="5"/>
      <c r="D4" s="5"/>
      <c r="E4" s="2"/>
      <c r="F4" s="2"/>
      <c r="G4" s="2"/>
      <c r="H4" s="4"/>
      <c r="I4" s="2"/>
      <c r="J4" s="5"/>
      <c r="K4" s="1"/>
    </row>
    <row r="5" spans="1:12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  <c r="K5" s="1"/>
    </row>
    <row r="6" spans="1:12" x14ac:dyDescent="0.2">
      <c r="A6" s="11">
        <v>7207</v>
      </c>
      <c r="B6" s="9" t="s">
        <v>159</v>
      </c>
      <c r="C6" s="9">
        <v>7207</v>
      </c>
      <c r="D6" s="9" t="s">
        <v>229</v>
      </c>
      <c r="E6" s="2" t="s">
        <v>34</v>
      </c>
      <c r="F6" s="2">
        <v>29852</v>
      </c>
      <c r="G6" s="2"/>
      <c r="H6" s="2"/>
      <c r="I6" s="2"/>
    </row>
    <row r="7" spans="1:12" x14ac:dyDescent="0.2">
      <c r="A7" s="11">
        <v>7207</v>
      </c>
      <c r="B7" s="9" t="s">
        <v>159</v>
      </c>
      <c r="C7" s="9">
        <v>7207</v>
      </c>
      <c r="D7" s="9" t="s">
        <v>229</v>
      </c>
      <c r="E7" s="2" t="s">
        <v>41</v>
      </c>
      <c r="F7" s="2">
        <v>26941</v>
      </c>
      <c r="G7" s="2"/>
      <c r="H7" s="2"/>
      <c r="I7" s="2"/>
    </row>
    <row r="8" spans="1:12" x14ac:dyDescent="0.2">
      <c r="A8" s="11">
        <v>7207</v>
      </c>
      <c r="B8" s="9" t="s">
        <v>159</v>
      </c>
      <c r="C8" s="9">
        <v>7207</v>
      </c>
      <c r="D8" s="9" t="s">
        <v>229</v>
      </c>
      <c r="E8" s="2" t="s">
        <v>37</v>
      </c>
      <c r="F8" s="2">
        <v>25487</v>
      </c>
      <c r="G8" s="2"/>
      <c r="H8" s="2"/>
      <c r="I8" s="2"/>
    </row>
    <row r="9" spans="1:12" x14ac:dyDescent="0.2">
      <c r="A9" s="11">
        <v>7207</v>
      </c>
      <c r="B9" s="9" t="s">
        <v>159</v>
      </c>
      <c r="C9" s="9">
        <v>7207</v>
      </c>
      <c r="D9" s="9" t="s">
        <v>229</v>
      </c>
      <c r="E9" s="2" t="s">
        <v>43</v>
      </c>
      <c r="F9" s="2">
        <v>23149</v>
      </c>
      <c r="G9" s="2"/>
      <c r="H9" s="2"/>
      <c r="I9" s="2"/>
    </row>
    <row r="10" spans="1:12" x14ac:dyDescent="0.2">
      <c r="A10" s="11">
        <v>7207</v>
      </c>
      <c r="B10" s="9" t="s">
        <v>159</v>
      </c>
      <c r="C10" s="9">
        <v>7207</v>
      </c>
      <c r="D10" s="9" t="s">
        <v>229</v>
      </c>
      <c r="E10" s="2" t="s">
        <v>49</v>
      </c>
      <c r="F10" s="2">
        <v>21766</v>
      </c>
      <c r="G10" s="2"/>
      <c r="H10" s="2"/>
      <c r="I10" s="2"/>
    </row>
    <row r="11" spans="1:12" x14ac:dyDescent="0.2">
      <c r="A11" s="11">
        <v>7207</v>
      </c>
      <c r="B11" s="9" t="s">
        <v>159</v>
      </c>
      <c r="C11" s="9">
        <v>7207</v>
      </c>
      <c r="D11" s="9" t="s">
        <v>229</v>
      </c>
      <c r="E11" s="2" t="s">
        <v>38</v>
      </c>
      <c r="F11" s="2">
        <v>17634</v>
      </c>
      <c r="G11" s="2"/>
      <c r="H11" s="2"/>
      <c r="I11" s="2"/>
      <c r="K11" s="2"/>
    </row>
    <row r="12" spans="1:12" x14ac:dyDescent="0.2">
      <c r="A12" s="11">
        <v>7207</v>
      </c>
      <c r="B12" s="9" t="s">
        <v>159</v>
      </c>
      <c r="C12" s="9">
        <v>7207</v>
      </c>
      <c r="D12" s="9" t="s">
        <v>229</v>
      </c>
      <c r="E12" s="2" t="s">
        <v>61</v>
      </c>
      <c r="F12" s="2">
        <v>17292</v>
      </c>
      <c r="G12" s="2"/>
      <c r="H12" s="2"/>
      <c r="I12" s="2"/>
      <c r="K12" s="2"/>
    </row>
    <row r="13" spans="1:12" x14ac:dyDescent="0.2">
      <c r="A13" s="11">
        <v>7207</v>
      </c>
      <c r="B13" s="9" t="s">
        <v>159</v>
      </c>
      <c r="C13" s="9">
        <v>7207</v>
      </c>
      <c r="D13" s="9" t="s">
        <v>229</v>
      </c>
      <c r="E13" s="2" t="s">
        <v>36</v>
      </c>
      <c r="F13" s="2">
        <v>16537</v>
      </c>
      <c r="G13" s="2"/>
      <c r="H13" s="2"/>
      <c r="I13" s="2"/>
      <c r="K13" s="2"/>
    </row>
    <row r="14" spans="1:12" x14ac:dyDescent="0.2">
      <c r="A14" s="11">
        <v>7207</v>
      </c>
      <c r="B14" s="9" t="s">
        <v>159</v>
      </c>
      <c r="C14" s="9">
        <v>7207</v>
      </c>
      <c r="D14" s="9" t="s">
        <v>229</v>
      </c>
      <c r="E14" s="2" t="s">
        <v>55</v>
      </c>
      <c r="F14" s="2">
        <v>15063</v>
      </c>
      <c r="G14" s="2"/>
      <c r="H14" s="2"/>
      <c r="I14" s="2"/>
      <c r="K14" s="2"/>
      <c r="L14" s="2"/>
    </row>
    <row r="15" spans="1:12" x14ac:dyDescent="0.2">
      <c r="A15" s="11">
        <v>7207</v>
      </c>
      <c r="B15" s="9" t="s">
        <v>159</v>
      </c>
      <c r="C15" s="9">
        <v>7207</v>
      </c>
      <c r="D15" s="9" t="s">
        <v>229</v>
      </c>
      <c r="E15" s="2" t="s">
        <v>48</v>
      </c>
      <c r="F15" s="2">
        <v>14689</v>
      </c>
      <c r="G15" s="2"/>
      <c r="H15" s="2"/>
      <c r="I15" s="2"/>
      <c r="L15" s="2"/>
    </row>
    <row r="16" spans="1:12" x14ac:dyDescent="0.2">
      <c r="A16" s="11">
        <v>7207</v>
      </c>
      <c r="B16" s="9" t="s">
        <v>159</v>
      </c>
      <c r="C16" s="9">
        <v>7207</v>
      </c>
      <c r="D16" s="9" t="s">
        <v>229</v>
      </c>
      <c r="E16" s="2" t="s">
        <v>59</v>
      </c>
      <c r="F16" s="2">
        <v>14280</v>
      </c>
      <c r="G16" s="2"/>
      <c r="H16" s="2"/>
      <c r="I16" s="2"/>
      <c r="L16" s="2"/>
    </row>
    <row r="17" spans="1:12" x14ac:dyDescent="0.2">
      <c r="A17" s="11">
        <v>7207</v>
      </c>
      <c r="B17" s="9" t="s">
        <v>159</v>
      </c>
      <c r="C17" s="9">
        <v>7207</v>
      </c>
      <c r="D17" s="9" t="s">
        <v>229</v>
      </c>
      <c r="E17" s="2" t="s">
        <v>57</v>
      </c>
      <c r="F17" s="2">
        <v>13935</v>
      </c>
      <c r="G17" s="2"/>
      <c r="H17" s="2"/>
      <c r="I17" s="2"/>
      <c r="L17" s="2"/>
    </row>
    <row r="18" spans="1:12" x14ac:dyDescent="0.2">
      <c r="A18" s="11">
        <v>7207</v>
      </c>
      <c r="B18" s="9" t="s">
        <v>159</v>
      </c>
      <c r="C18" s="9">
        <v>7207</v>
      </c>
      <c r="D18" s="9" t="s">
        <v>229</v>
      </c>
      <c r="E18" s="2" t="s">
        <v>63</v>
      </c>
      <c r="F18" s="2">
        <v>13277</v>
      </c>
      <c r="G18" s="2"/>
      <c r="H18" s="2"/>
      <c r="I18" s="2"/>
      <c r="L18" s="2"/>
    </row>
    <row r="19" spans="1:12" x14ac:dyDescent="0.2">
      <c r="A19" s="11">
        <v>7207</v>
      </c>
      <c r="B19" s="9" t="s">
        <v>159</v>
      </c>
      <c r="C19" s="9">
        <v>7207</v>
      </c>
      <c r="D19" s="9" t="s">
        <v>229</v>
      </c>
      <c r="E19" s="2" t="s">
        <v>81</v>
      </c>
      <c r="F19" s="2">
        <v>12765</v>
      </c>
      <c r="G19" s="2"/>
      <c r="H19" s="2"/>
      <c r="I19" s="2"/>
      <c r="L19" s="2"/>
    </row>
    <row r="20" spans="1:12" x14ac:dyDescent="0.2">
      <c r="A20" s="11">
        <v>7207</v>
      </c>
      <c r="B20" s="9" t="s">
        <v>159</v>
      </c>
      <c r="C20" s="9">
        <v>7207</v>
      </c>
      <c r="D20" s="9" t="s">
        <v>229</v>
      </c>
      <c r="E20" s="2" t="s">
        <v>35</v>
      </c>
      <c r="F20" s="2">
        <v>11823</v>
      </c>
      <c r="G20" s="2"/>
      <c r="H20" s="2"/>
      <c r="I20" s="2"/>
    </row>
    <row r="21" spans="1:12" x14ac:dyDescent="0.2">
      <c r="A21" s="11">
        <v>7207</v>
      </c>
      <c r="B21" s="9" t="s">
        <v>159</v>
      </c>
      <c r="C21" s="9">
        <v>7207</v>
      </c>
      <c r="D21" s="9" t="s">
        <v>229</v>
      </c>
      <c r="E21" s="2" t="s">
        <v>73</v>
      </c>
      <c r="F21" s="2">
        <v>11731</v>
      </c>
      <c r="G21" s="2"/>
      <c r="H21" s="2"/>
      <c r="I21" s="2"/>
    </row>
    <row r="22" spans="1:12" x14ac:dyDescent="0.2">
      <c r="A22" s="11">
        <v>7207</v>
      </c>
      <c r="B22" s="9" t="s">
        <v>159</v>
      </c>
      <c r="C22" s="9">
        <v>7207</v>
      </c>
      <c r="D22" s="9" t="s">
        <v>229</v>
      </c>
      <c r="E22" s="2" t="s">
        <v>47</v>
      </c>
      <c r="F22" s="2">
        <v>10304</v>
      </c>
      <c r="G22" s="2"/>
      <c r="H22" s="2"/>
      <c r="I22" s="2"/>
      <c r="K22" s="2"/>
    </row>
    <row r="23" spans="1:12" x14ac:dyDescent="0.2">
      <c r="A23" s="11">
        <v>7207</v>
      </c>
      <c r="B23" s="9" t="s">
        <v>159</v>
      </c>
      <c r="C23" s="9">
        <v>7207</v>
      </c>
      <c r="D23" s="9" t="s">
        <v>229</v>
      </c>
      <c r="E23" s="2" t="s">
        <v>157</v>
      </c>
      <c r="F23" s="2">
        <v>9623</v>
      </c>
      <c r="G23" s="2"/>
      <c r="H23" s="2"/>
      <c r="I23" s="2"/>
      <c r="K23" s="2"/>
    </row>
    <row r="24" spans="1:12" x14ac:dyDescent="0.2">
      <c r="A24" s="11">
        <v>7207</v>
      </c>
      <c r="B24" s="9" t="s">
        <v>159</v>
      </c>
      <c r="C24" s="9">
        <v>7207</v>
      </c>
      <c r="D24" s="9" t="s">
        <v>229</v>
      </c>
      <c r="E24" s="2" t="s">
        <v>46</v>
      </c>
      <c r="F24" s="2">
        <v>9477</v>
      </c>
      <c r="G24" s="2"/>
      <c r="H24" s="2"/>
      <c r="I24" s="2"/>
      <c r="K24" s="2"/>
    </row>
    <row r="25" spans="1:12" x14ac:dyDescent="0.2">
      <c r="A25" s="11">
        <v>7207</v>
      </c>
      <c r="B25" s="9" t="s">
        <v>159</v>
      </c>
      <c r="C25" s="9">
        <v>7207</v>
      </c>
      <c r="D25" s="9" t="s">
        <v>229</v>
      </c>
      <c r="E25" s="2" t="s">
        <v>83</v>
      </c>
      <c r="F25" s="2">
        <v>9005</v>
      </c>
      <c r="G25" s="2"/>
      <c r="H25" s="2"/>
      <c r="I25" s="2"/>
      <c r="K25" s="2"/>
    </row>
    <row r="26" spans="1:12" x14ac:dyDescent="0.2">
      <c r="A26" s="11">
        <v>7207</v>
      </c>
      <c r="B26" s="9" t="s">
        <v>159</v>
      </c>
      <c r="C26" s="9">
        <v>7207</v>
      </c>
      <c r="D26" s="9" t="s">
        <v>229</v>
      </c>
      <c r="E26" s="2" t="s">
        <v>53</v>
      </c>
      <c r="F26" s="2">
        <v>8670</v>
      </c>
      <c r="G26" s="2"/>
      <c r="H26" s="2"/>
      <c r="I26" s="2"/>
    </row>
    <row r="27" spans="1:12" x14ac:dyDescent="0.2">
      <c r="A27" s="11">
        <v>7207</v>
      </c>
      <c r="B27" s="9" t="s">
        <v>159</v>
      </c>
      <c r="C27" s="9">
        <v>7207</v>
      </c>
      <c r="D27" s="9" t="s">
        <v>229</v>
      </c>
      <c r="E27" s="2" t="s">
        <v>79</v>
      </c>
      <c r="F27" s="2">
        <v>8046</v>
      </c>
      <c r="G27" s="2"/>
      <c r="H27" s="2"/>
      <c r="I27" s="2"/>
      <c r="K27" s="2"/>
    </row>
    <row r="28" spans="1:12" x14ac:dyDescent="0.2">
      <c r="A28" s="11">
        <v>7207</v>
      </c>
      <c r="B28" s="9" t="s">
        <v>159</v>
      </c>
      <c r="C28" s="9">
        <v>7207</v>
      </c>
      <c r="D28" s="9" t="s">
        <v>229</v>
      </c>
      <c r="E28" s="2" t="s">
        <v>39</v>
      </c>
      <c r="F28" s="2">
        <v>8021</v>
      </c>
      <c r="G28" s="2"/>
      <c r="H28" s="2"/>
      <c r="I28" s="2"/>
      <c r="K28" s="2"/>
    </row>
    <row r="29" spans="1:12" x14ac:dyDescent="0.2">
      <c r="A29" s="11">
        <v>7207</v>
      </c>
      <c r="B29" s="9" t="s">
        <v>159</v>
      </c>
      <c r="C29" s="9">
        <v>7207</v>
      </c>
      <c r="D29" s="9" t="s">
        <v>229</v>
      </c>
      <c r="E29" s="2" t="s">
        <v>51</v>
      </c>
      <c r="F29" s="2">
        <v>7521</v>
      </c>
      <c r="G29" s="2"/>
      <c r="H29" s="2"/>
      <c r="I29" s="2"/>
      <c r="K29" s="2"/>
    </row>
    <row r="30" spans="1:12" x14ac:dyDescent="0.2">
      <c r="A30" s="11">
        <v>7207</v>
      </c>
      <c r="B30" s="9" t="s">
        <v>159</v>
      </c>
      <c r="C30" s="9">
        <v>7207</v>
      </c>
      <c r="D30" s="9" t="s">
        <v>229</v>
      </c>
      <c r="E30" s="2" t="s">
        <v>45</v>
      </c>
      <c r="F30" s="2">
        <v>6993</v>
      </c>
      <c r="G30" s="2"/>
      <c r="H30" s="2"/>
      <c r="I30" s="2"/>
      <c r="K30" s="2"/>
    </row>
    <row r="31" spans="1:12" x14ac:dyDescent="0.2">
      <c r="A31" s="11">
        <v>7207</v>
      </c>
      <c r="B31" s="9" t="s">
        <v>159</v>
      </c>
      <c r="C31" s="9">
        <v>7207</v>
      </c>
      <c r="D31" s="9" t="s">
        <v>229</v>
      </c>
      <c r="E31" s="2" t="s">
        <v>88</v>
      </c>
      <c r="F31" s="2">
        <v>6908</v>
      </c>
      <c r="G31" s="2"/>
      <c r="H31" s="2"/>
      <c r="I31" s="2"/>
      <c r="K31" s="2"/>
    </row>
    <row r="32" spans="1:12" x14ac:dyDescent="0.2">
      <c r="A32" s="11">
        <v>7207</v>
      </c>
      <c r="B32" s="9" t="s">
        <v>159</v>
      </c>
      <c r="C32" s="9">
        <v>7207</v>
      </c>
      <c r="D32" s="9" t="s">
        <v>229</v>
      </c>
      <c r="E32" s="2" t="s">
        <v>69</v>
      </c>
      <c r="F32" s="2">
        <v>6801</v>
      </c>
      <c r="G32" s="2"/>
      <c r="H32" s="2"/>
      <c r="I32" s="2"/>
      <c r="K32" s="2"/>
    </row>
    <row r="33" spans="1:11" x14ac:dyDescent="0.2">
      <c r="A33" s="11">
        <v>7207</v>
      </c>
      <c r="B33" s="9" t="s">
        <v>159</v>
      </c>
      <c r="C33" s="9">
        <v>7207</v>
      </c>
      <c r="D33" s="9" t="s">
        <v>229</v>
      </c>
      <c r="E33" s="2" t="s">
        <v>67</v>
      </c>
      <c r="F33" s="2">
        <v>5485</v>
      </c>
      <c r="G33" s="2"/>
      <c r="H33" s="2"/>
      <c r="I33" s="2"/>
    </row>
    <row r="34" spans="1:11" x14ac:dyDescent="0.2">
      <c r="A34" s="11">
        <v>7207</v>
      </c>
      <c r="B34" s="9" t="s">
        <v>159</v>
      </c>
      <c r="C34" s="9">
        <v>7207</v>
      </c>
      <c r="D34" s="9" t="s">
        <v>229</v>
      </c>
      <c r="E34" s="2" t="s">
        <v>58</v>
      </c>
      <c r="F34" s="2">
        <v>5371</v>
      </c>
      <c r="G34" s="2"/>
      <c r="H34" s="2"/>
      <c r="I34" s="2"/>
    </row>
    <row r="35" spans="1:11" x14ac:dyDescent="0.2">
      <c r="A35" s="11">
        <v>7207</v>
      </c>
      <c r="B35" s="9" t="s">
        <v>159</v>
      </c>
      <c r="C35" s="9">
        <v>7207</v>
      </c>
      <c r="D35" s="9" t="s">
        <v>229</v>
      </c>
      <c r="E35" s="2" t="s">
        <v>65</v>
      </c>
      <c r="F35" s="2">
        <v>4728</v>
      </c>
      <c r="G35" s="2"/>
      <c r="H35" s="2"/>
      <c r="I35" s="2"/>
    </row>
    <row r="36" spans="1:11" x14ac:dyDescent="0.2">
      <c r="A36" s="11">
        <v>7207</v>
      </c>
      <c r="B36" s="9" t="s">
        <v>159</v>
      </c>
      <c r="C36" s="9">
        <v>7207</v>
      </c>
      <c r="D36" s="9" t="s">
        <v>229</v>
      </c>
      <c r="E36" s="2" t="s">
        <v>93</v>
      </c>
      <c r="F36" s="2">
        <v>2429</v>
      </c>
      <c r="G36" s="2"/>
      <c r="H36" s="2"/>
      <c r="I36" s="2"/>
      <c r="K36" s="2"/>
    </row>
    <row r="37" spans="1:11" x14ac:dyDescent="0.2">
      <c r="A37" s="11">
        <v>7207</v>
      </c>
      <c r="B37" s="9" t="s">
        <v>159</v>
      </c>
      <c r="C37" s="9">
        <v>7207</v>
      </c>
      <c r="D37" s="9" t="s">
        <v>229</v>
      </c>
      <c r="E37" s="2" t="s">
        <v>50</v>
      </c>
      <c r="F37" s="2">
        <v>2222</v>
      </c>
      <c r="G37" s="2"/>
      <c r="H37" s="2"/>
      <c r="I37" s="2"/>
      <c r="K37" s="2"/>
    </row>
    <row r="38" spans="1:11" x14ac:dyDescent="0.2">
      <c r="A38" s="11">
        <v>7207</v>
      </c>
      <c r="B38" s="9" t="s">
        <v>159</v>
      </c>
      <c r="C38" s="9">
        <v>7207</v>
      </c>
      <c r="D38" s="9" t="s">
        <v>229</v>
      </c>
      <c r="E38" s="2" t="s">
        <v>78</v>
      </c>
      <c r="F38" s="2">
        <v>2127</v>
      </c>
      <c r="G38" s="2"/>
      <c r="H38" s="2"/>
      <c r="I38" s="2"/>
      <c r="K38" s="2"/>
    </row>
    <row r="39" spans="1:11" x14ac:dyDescent="0.2">
      <c r="A39" s="11">
        <v>7207</v>
      </c>
      <c r="B39" s="9" t="s">
        <v>159</v>
      </c>
      <c r="C39" s="9">
        <v>7207</v>
      </c>
      <c r="D39" s="9" t="s">
        <v>229</v>
      </c>
      <c r="E39" s="2" t="s">
        <v>86</v>
      </c>
      <c r="F39" s="2">
        <v>2012</v>
      </c>
      <c r="G39" s="2"/>
      <c r="H39" s="2"/>
      <c r="I39" s="2"/>
      <c r="K39" s="2"/>
    </row>
    <row r="40" spans="1:11" x14ac:dyDescent="0.2">
      <c r="A40" s="11">
        <v>7207</v>
      </c>
      <c r="B40" s="9" t="s">
        <v>159</v>
      </c>
      <c r="C40" s="9">
        <v>7207</v>
      </c>
      <c r="D40" s="9" t="s">
        <v>229</v>
      </c>
      <c r="E40" s="2" t="s">
        <v>54</v>
      </c>
      <c r="F40" s="2">
        <v>1960</v>
      </c>
      <c r="G40" s="2"/>
      <c r="H40" s="2"/>
      <c r="I40" s="2"/>
      <c r="K40" s="2"/>
    </row>
    <row r="41" spans="1:11" x14ac:dyDescent="0.2">
      <c r="A41" s="11">
        <v>7207</v>
      </c>
      <c r="B41" s="9" t="s">
        <v>159</v>
      </c>
      <c r="C41" s="9">
        <v>7207</v>
      </c>
      <c r="D41" s="9" t="s">
        <v>229</v>
      </c>
      <c r="E41" s="2" t="s">
        <v>62</v>
      </c>
      <c r="F41" s="2">
        <v>1932</v>
      </c>
      <c r="G41" s="2"/>
      <c r="H41" s="2"/>
      <c r="I41" s="2"/>
    </row>
    <row r="42" spans="1:11" x14ac:dyDescent="0.2">
      <c r="A42" s="11">
        <v>7207</v>
      </c>
      <c r="B42" s="9" t="s">
        <v>159</v>
      </c>
      <c r="C42" s="9">
        <v>7207</v>
      </c>
      <c r="D42" s="9" t="s">
        <v>229</v>
      </c>
      <c r="E42" s="2" t="s">
        <v>76</v>
      </c>
      <c r="F42" s="2">
        <v>1807</v>
      </c>
      <c r="G42" s="2"/>
      <c r="H42" s="2"/>
      <c r="I42" s="2"/>
    </row>
    <row r="43" spans="1:11" x14ac:dyDescent="0.2">
      <c r="A43" s="11">
        <v>7207</v>
      </c>
      <c r="B43" s="9" t="s">
        <v>159</v>
      </c>
      <c r="C43" s="9">
        <v>7207</v>
      </c>
      <c r="D43" s="9" t="s">
        <v>229</v>
      </c>
      <c r="E43" s="2" t="s">
        <v>77</v>
      </c>
      <c r="F43" s="2">
        <v>1743</v>
      </c>
      <c r="G43" s="2"/>
      <c r="H43" s="2"/>
      <c r="I43" s="2"/>
    </row>
    <row r="44" spans="1:11" x14ac:dyDescent="0.2">
      <c r="A44" s="11">
        <v>7207</v>
      </c>
      <c r="B44" s="9" t="s">
        <v>159</v>
      </c>
      <c r="C44" s="9">
        <v>7207</v>
      </c>
      <c r="D44" s="9" t="s">
        <v>229</v>
      </c>
      <c r="E44" s="2" t="s">
        <v>60</v>
      </c>
      <c r="F44" s="2">
        <v>1637</v>
      </c>
      <c r="G44" s="2"/>
      <c r="H44" s="2"/>
      <c r="I44" s="2"/>
    </row>
    <row r="45" spans="1:11" x14ac:dyDescent="0.2">
      <c r="A45" s="11">
        <v>7207</v>
      </c>
      <c r="B45" s="9" t="s">
        <v>159</v>
      </c>
      <c r="C45" s="9">
        <v>7207</v>
      </c>
      <c r="D45" s="9" t="s">
        <v>229</v>
      </c>
      <c r="E45" s="2" t="s">
        <v>70</v>
      </c>
      <c r="F45" s="2">
        <v>1612</v>
      </c>
      <c r="G45" s="2"/>
      <c r="H45" s="2"/>
      <c r="I45" s="2"/>
    </row>
    <row r="46" spans="1:11" x14ac:dyDescent="0.2">
      <c r="A46" s="11">
        <v>7207</v>
      </c>
      <c r="B46" s="9" t="s">
        <v>159</v>
      </c>
      <c r="C46" s="9">
        <v>7207</v>
      </c>
      <c r="D46" s="9" t="s">
        <v>229</v>
      </c>
      <c r="E46" s="2" t="s">
        <v>42</v>
      </c>
      <c r="F46" s="2">
        <v>1559</v>
      </c>
      <c r="G46" s="2"/>
      <c r="H46" s="2"/>
      <c r="I46" s="2"/>
    </row>
    <row r="47" spans="1:11" x14ac:dyDescent="0.2">
      <c r="A47" s="11">
        <v>7207</v>
      </c>
      <c r="B47" s="9" t="s">
        <v>159</v>
      </c>
      <c r="C47" s="9">
        <v>7207</v>
      </c>
      <c r="D47" s="9" t="s">
        <v>229</v>
      </c>
      <c r="E47" s="2" t="s">
        <v>103</v>
      </c>
      <c r="F47" s="2">
        <v>1019</v>
      </c>
      <c r="G47" s="2"/>
      <c r="H47" s="2"/>
      <c r="I47" s="2"/>
    </row>
    <row r="48" spans="1:11" x14ac:dyDescent="0.2">
      <c r="A48" s="11">
        <v>7207</v>
      </c>
      <c r="B48" s="9" t="s">
        <v>159</v>
      </c>
      <c r="C48" s="9">
        <v>7207</v>
      </c>
      <c r="D48" s="9" t="s">
        <v>229</v>
      </c>
      <c r="E48" s="2" t="s">
        <v>158</v>
      </c>
      <c r="F48" s="2">
        <v>977</v>
      </c>
      <c r="G48" s="2"/>
      <c r="H48" s="9"/>
      <c r="I48" s="2"/>
    </row>
    <row r="49" spans="1:10" x14ac:dyDescent="0.2">
      <c r="A49" s="11">
        <v>7207</v>
      </c>
      <c r="B49" s="9" t="s">
        <v>159</v>
      </c>
      <c r="C49" s="9">
        <v>7207</v>
      </c>
      <c r="D49" s="9" t="s">
        <v>229</v>
      </c>
      <c r="E49" s="2" t="s">
        <v>75</v>
      </c>
      <c r="F49" s="2">
        <v>956</v>
      </c>
      <c r="G49" s="2"/>
      <c r="H49" s="9"/>
      <c r="I49" s="2"/>
    </row>
    <row r="50" spans="1:10" x14ac:dyDescent="0.2">
      <c r="A50" s="11">
        <v>7207</v>
      </c>
      <c r="B50" s="9" t="s">
        <v>159</v>
      </c>
      <c r="C50" s="9">
        <v>7207</v>
      </c>
      <c r="D50" s="9" t="s">
        <v>229</v>
      </c>
      <c r="E50" s="2" t="s">
        <v>80</v>
      </c>
      <c r="F50" s="2">
        <v>939</v>
      </c>
      <c r="G50" s="2"/>
      <c r="H50" s="9"/>
      <c r="I50" s="2"/>
    </row>
    <row r="51" spans="1:10" x14ac:dyDescent="0.2">
      <c r="A51" s="11">
        <v>7207</v>
      </c>
      <c r="B51" s="9" t="s">
        <v>159</v>
      </c>
      <c r="C51" s="9">
        <v>7207</v>
      </c>
      <c r="D51" s="9" t="s">
        <v>229</v>
      </c>
      <c r="E51" s="2" t="s">
        <v>98</v>
      </c>
      <c r="F51" s="2">
        <v>937</v>
      </c>
      <c r="G51" s="2"/>
      <c r="H51" s="2"/>
      <c r="I51" s="2"/>
    </row>
    <row r="52" spans="1:10" x14ac:dyDescent="0.2">
      <c r="A52" s="11">
        <v>7207</v>
      </c>
      <c r="B52" s="9" t="s">
        <v>159</v>
      </c>
      <c r="C52" s="9">
        <v>7207</v>
      </c>
      <c r="D52" s="9" t="s">
        <v>229</v>
      </c>
      <c r="E52" s="2" t="s">
        <v>74</v>
      </c>
      <c r="F52" s="2">
        <v>904</v>
      </c>
      <c r="G52" s="2"/>
      <c r="H52" s="9"/>
      <c r="I52" s="2"/>
    </row>
    <row r="53" spans="1:10" x14ac:dyDescent="0.2">
      <c r="A53" s="11">
        <v>7207</v>
      </c>
      <c r="B53" s="9" t="s">
        <v>159</v>
      </c>
      <c r="C53" s="9">
        <v>7207</v>
      </c>
      <c r="D53" s="9" t="s">
        <v>229</v>
      </c>
      <c r="E53" s="2" t="s">
        <v>90</v>
      </c>
      <c r="F53" s="2">
        <v>885</v>
      </c>
      <c r="G53" s="2"/>
      <c r="H53" s="2"/>
      <c r="I53" s="9"/>
    </row>
    <row r="54" spans="1:10" x14ac:dyDescent="0.2">
      <c r="A54" s="11">
        <v>7207</v>
      </c>
      <c r="B54" s="9" t="s">
        <v>159</v>
      </c>
      <c r="C54" s="9">
        <v>7207</v>
      </c>
      <c r="D54" s="9" t="s">
        <v>229</v>
      </c>
      <c r="E54" s="2" t="s">
        <v>82</v>
      </c>
      <c r="F54" s="2">
        <v>837</v>
      </c>
      <c r="G54" s="2"/>
      <c r="H54" s="2"/>
      <c r="I54" s="9"/>
    </row>
    <row r="55" spans="1:10" x14ac:dyDescent="0.2">
      <c r="A55" s="11">
        <v>7207</v>
      </c>
      <c r="B55" s="9" t="s">
        <v>159</v>
      </c>
      <c r="C55" s="9">
        <v>7207</v>
      </c>
      <c r="D55" s="9" t="s">
        <v>229</v>
      </c>
      <c r="E55" s="2" t="s">
        <v>72</v>
      </c>
      <c r="F55" s="2">
        <v>833</v>
      </c>
      <c r="G55" s="2"/>
      <c r="H55" s="2"/>
      <c r="I55" s="9"/>
    </row>
    <row r="56" spans="1:10" x14ac:dyDescent="0.2">
      <c r="A56" s="11">
        <v>7207</v>
      </c>
      <c r="B56" s="9" t="s">
        <v>159</v>
      </c>
      <c r="C56" s="9">
        <v>7207</v>
      </c>
      <c r="D56" s="9" t="s">
        <v>229</v>
      </c>
      <c r="E56" s="2" t="s">
        <v>71</v>
      </c>
      <c r="F56" s="2">
        <v>775</v>
      </c>
      <c r="G56" s="2"/>
      <c r="H56" s="2"/>
      <c r="I56" s="9"/>
    </row>
    <row r="57" spans="1:10" x14ac:dyDescent="0.2">
      <c r="A57" s="11">
        <v>7207</v>
      </c>
      <c r="B57" s="9" t="s">
        <v>159</v>
      </c>
      <c r="C57" s="9">
        <v>7207</v>
      </c>
      <c r="D57" s="9" t="s">
        <v>229</v>
      </c>
      <c r="E57" s="2" t="s">
        <v>94</v>
      </c>
      <c r="F57" s="2">
        <v>701</v>
      </c>
      <c r="G57" s="2"/>
      <c r="H57" s="2"/>
      <c r="I57" s="9"/>
    </row>
    <row r="58" spans="1:10" x14ac:dyDescent="0.2">
      <c r="A58" s="11">
        <v>7207</v>
      </c>
      <c r="B58" s="9" t="s">
        <v>159</v>
      </c>
      <c r="C58" s="9">
        <v>7207</v>
      </c>
      <c r="D58" s="9" t="s">
        <v>229</v>
      </c>
      <c r="E58" s="2" t="s">
        <v>111</v>
      </c>
      <c r="F58" s="2">
        <v>662</v>
      </c>
      <c r="G58" s="2"/>
      <c r="H58" s="9"/>
      <c r="I58" s="9"/>
    </row>
    <row r="59" spans="1:10" x14ac:dyDescent="0.2">
      <c r="A59" s="11">
        <v>7207</v>
      </c>
      <c r="B59" s="9" t="s">
        <v>159</v>
      </c>
      <c r="C59" s="9">
        <v>7207</v>
      </c>
      <c r="D59" s="9" t="s">
        <v>229</v>
      </c>
      <c r="E59" s="2" t="s">
        <v>56</v>
      </c>
      <c r="F59" s="2">
        <v>560</v>
      </c>
      <c r="G59" s="2"/>
      <c r="H59" s="2"/>
      <c r="I59" s="9"/>
      <c r="J59" s="2"/>
    </row>
    <row r="60" spans="1:10" x14ac:dyDescent="0.2">
      <c r="A60" s="11">
        <v>7207</v>
      </c>
      <c r="B60" s="9" t="s">
        <v>159</v>
      </c>
      <c r="C60" s="9">
        <v>7207</v>
      </c>
      <c r="D60" s="9" t="s">
        <v>229</v>
      </c>
      <c r="E60" s="2" t="s">
        <v>66</v>
      </c>
      <c r="F60" s="2">
        <v>549</v>
      </c>
      <c r="G60" s="2"/>
      <c r="H60" s="2"/>
      <c r="I60" s="9"/>
      <c r="J60" s="9"/>
    </row>
    <row r="61" spans="1:10" x14ac:dyDescent="0.2">
      <c r="A61" s="11">
        <v>7207</v>
      </c>
      <c r="B61" s="9" t="s">
        <v>159</v>
      </c>
      <c r="C61" s="9">
        <v>7207</v>
      </c>
      <c r="D61" s="9" t="s">
        <v>229</v>
      </c>
      <c r="E61" s="2" t="s">
        <v>92</v>
      </c>
      <c r="F61" s="2">
        <v>470</v>
      </c>
      <c r="G61" s="2"/>
      <c r="H61" s="2"/>
      <c r="I61" s="9"/>
      <c r="J61" s="9"/>
    </row>
    <row r="62" spans="1:10" x14ac:dyDescent="0.2">
      <c r="A62" s="11">
        <v>7207</v>
      </c>
      <c r="B62" s="9" t="s">
        <v>159</v>
      </c>
      <c r="C62" s="9">
        <v>7207</v>
      </c>
      <c r="D62" s="9" t="s">
        <v>229</v>
      </c>
      <c r="E62" s="2" t="s">
        <v>114</v>
      </c>
      <c r="F62" s="2">
        <v>454</v>
      </c>
      <c r="G62" s="2"/>
      <c r="H62" s="2"/>
      <c r="I62" s="9"/>
      <c r="J62" s="9"/>
    </row>
    <row r="63" spans="1:10" x14ac:dyDescent="0.2">
      <c r="A63" s="11">
        <v>7207</v>
      </c>
      <c r="B63" s="9" t="s">
        <v>159</v>
      </c>
      <c r="C63" s="9">
        <v>7207</v>
      </c>
      <c r="D63" s="9" t="s">
        <v>229</v>
      </c>
      <c r="E63" s="2" t="s">
        <v>64</v>
      </c>
      <c r="F63" s="2">
        <v>425</v>
      </c>
      <c r="G63" s="2"/>
      <c r="H63" s="2"/>
      <c r="I63" s="9"/>
      <c r="J63" s="2"/>
    </row>
    <row r="64" spans="1:10" x14ac:dyDescent="0.2">
      <c r="A64" s="11">
        <v>7207</v>
      </c>
      <c r="B64" s="9" t="s">
        <v>159</v>
      </c>
      <c r="C64" s="9">
        <v>7207</v>
      </c>
      <c r="D64" s="9" t="s">
        <v>229</v>
      </c>
      <c r="E64" s="2" t="s">
        <v>107</v>
      </c>
      <c r="F64" s="2">
        <v>401</v>
      </c>
      <c r="G64" s="2"/>
      <c r="H64" s="2"/>
      <c r="I64" s="9"/>
      <c r="J64" s="9"/>
    </row>
    <row r="65" spans="1:11" x14ac:dyDescent="0.2">
      <c r="A65" s="11">
        <v>7207</v>
      </c>
      <c r="B65" s="9" t="s">
        <v>159</v>
      </c>
      <c r="C65" s="9">
        <v>7207</v>
      </c>
      <c r="D65" s="9" t="s">
        <v>229</v>
      </c>
      <c r="E65" s="2" t="s">
        <v>105</v>
      </c>
      <c r="F65" s="2">
        <v>255</v>
      </c>
      <c r="G65" s="2"/>
      <c r="H65" s="2"/>
      <c r="I65" s="9"/>
      <c r="K65" s="9"/>
    </row>
    <row r="66" spans="1:11" x14ac:dyDescent="0.2">
      <c r="A66" s="11">
        <v>7207</v>
      </c>
      <c r="B66" s="9" t="s">
        <v>159</v>
      </c>
      <c r="C66" s="9">
        <v>7207</v>
      </c>
      <c r="D66" s="9" t="s">
        <v>229</v>
      </c>
      <c r="E66" s="2" t="s">
        <v>100</v>
      </c>
      <c r="F66" s="2">
        <v>237</v>
      </c>
      <c r="G66" s="2"/>
      <c r="H66" s="2"/>
      <c r="I66" s="9"/>
      <c r="K66" s="9"/>
    </row>
    <row r="67" spans="1:11" x14ac:dyDescent="0.2">
      <c r="A67" s="11">
        <v>7207</v>
      </c>
      <c r="B67" s="9" t="s">
        <v>159</v>
      </c>
      <c r="C67" s="9">
        <v>7207</v>
      </c>
      <c r="D67" s="9" t="s">
        <v>229</v>
      </c>
      <c r="E67" s="2" t="s">
        <v>68</v>
      </c>
      <c r="F67" s="2">
        <v>204</v>
      </c>
      <c r="G67" s="2"/>
      <c r="H67" s="9"/>
      <c r="I67" s="9"/>
      <c r="K67" s="9"/>
    </row>
    <row r="68" spans="1:11" x14ac:dyDescent="0.2">
      <c r="A68" s="11">
        <v>7207</v>
      </c>
      <c r="B68" s="9" t="s">
        <v>159</v>
      </c>
      <c r="C68" s="9">
        <v>7207</v>
      </c>
      <c r="D68" s="9" t="s">
        <v>229</v>
      </c>
      <c r="E68" s="2" t="s">
        <v>91</v>
      </c>
      <c r="F68" s="2">
        <v>198</v>
      </c>
      <c r="G68" s="2"/>
      <c r="H68" s="9"/>
      <c r="I68" s="9"/>
      <c r="K68" s="9"/>
    </row>
    <row r="69" spans="1:11" x14ac:dyDescent="0.2">
      <c r="A69" s="11">
        <v>7207</v>
      </c>
      <c r="B69" s="9" t="s">
        <v>159</v>
      </c>
      <c r="C69" s="9">
        <v>7207</v>
      </c>
      <c r="D69" s="9" t="s">
        <v>229</v>
      </c>
      <c r="E69" s="2" t="s">
        <v>52</v>
      </c>
      <c r="F69" s="2">
        <v>175</v>
      </c>
      <c r="G69" s="2"/>
      <c r="H69" s="9"/>
      <c r="I69" s="9"/>
      <c r="K69" s="9"/>
    </row>
    <row r="70" spans="1:11" x14ac:dyDescent="0.2">
      <c r="A70" s="11">
        <v>7207</v>
      </c>
      <c r="B70" s="9" t="s">
        <v>159</v>
      </c>
      <c r="C70" s="9">
        <v>7207</v>
      </c>
      <c r="D70" s="9" t="s">
        <v>229</v>
      </c>
      <c r="E70" s="2" t="s">
        <v>96</v>
      </c>
      <c r="F70" s="2">
        <v>150</v>
      </c>
      <c r="G70" s="2"/>
      <c r="H70" s="9"/>
      <c r="I70" s="9"/>
      <c r="K70" s="9"/>
    </row>
    <row r="71" spans="1:11" x14ac:dyDescent="0.2">
      <c r="A71" s="11">
        <v>7207</v>
      </c>
      <c r="B71" s="9" t="s">
        <v>159</v>
      </c>
      <c r="C71" s="9">
        <v>7207</v>
      </c>
      <c r="D71" s="9" t="s">
        <v>229</v>
      </c>
      <c r="E71" s="2" t="s">
        <v>87</v>
      </c>
      <c r="F71" s="2">
        <v>140</v>
      </c>
      <c r="G71" s="2"/>
      <c r="H71" s="9"/>
      <c r="I71" s="9"/>
      <c r="K71" s="9"/>
    </row>
    <row r="72" spans="1:11" x14ac:dyDescent="0.2">
      <c r="A72" s="11">
        <v>7207</v>
      </c>
      <c r="B72" s="9" t="s">
        <v>159</v>
      </c>
      <c r="C72" s="9">
        <v>7207</v>
      </c>
      <c r="D72" s="9" t="s">
        <v>229</v>
      </c>
      <c r="E72" s="2" t="s">
        <v>44</v>
      </c>
      <c r="F72" s="2">
        <v>139</v>
      </c>
      <c r="G72" s="2"/>
      <c r="H72" s="9"/>
      <c r="I72" s="9"/>
      <c r="K72" s="9"/>
    </row>
    <row r="73" spans="1:11" x14ac:dyDescent="0.2">
      <c r="A73" s="11">
        <v>7207</v>
      </c>
      <c r="B73" s="9" t="s">
        <v>159</v>
      </c>
      <c r="C73" s="9">
        <v>7207</v>
      </c>
      <c r="D73" s="9" t="s">
        <v>229</v>
      </c>
      <c r="E73" s="2" t="s">
        <v>40</v>
      </c>
      <c r="F73" s="2">
        <v>116</v>
      </c>
      <c r="G73" s="2"/>
      <c r="H73" s="9"/>
      <c r="I73" s="2"/>
    </row>
    <row r="74" spans="1:11" x14ac:dyDescent="0.2">
      <c r="A74" s="11">
        <v>7207</v>
      </c>
      <c r="B74" s="9" t="s">
        <v>159</v>
      </c>
      <c r="C74" s="9">
        <v>7207</v>
      </c>
      <c r="D74" s="9" t="s">
        <v>229</v>
      </c>
      <c r="E74" s="2" t="s">
        <v>112</v>
      </c>
      <c r="F74" s="2">
        <v>102</v>
      </c>
      <c r="G74" s="2"/>
      <c r="H74" s="9"/>
      <c r="I74" s="2"/>
    </row>
    <row r="75" spans="1:11" x14ac:dyDescent="0.2">
      <c r="A75" s="11">
        <v>7207</v>
      </c>
      <c r="B75" s="9" t="s">
        <v>159</v>
      </c>
      <c r="C75" s="9">
        <v>7207</v>
      </c>
      <c r="D75" s="9" t="s">
        <v>229</v>
      </c>
      <c r="E75" s="2" t="s">
        <v>84</v>
      </c>
      <c r="F75" s="2">
        <v>77</v>
      </c>
      <c r="G75" s="2"/>
      <c r="H75" s="9"/>
      <c r="I75" s="2"/>
    </row>
    <row r="76" spans="1:11" x14ac:dyDescent="0.2">
      <c r="A76" s="10" t="s">
        <v>31</v>
      </c>
      <c r="F76" s="10">
        <f>SUM(F6:F75)</f>
        <v>429291</v>
      </c>
      <c r="G76" s="35"/>
      <c r="H76" s="24"/>
    </row>
    <row r="77" spans="1:11" x14ac:dyDescent="0.2">
      <c r="H77" s="9"/>
    </row>
    <row r="78" spans="1:11" x14ac:dyDescent="0.2">
      <c r="H78" s="9"/>
    </row>
    <row r="79" spans="1:11" x14ac:dyDescent="0.2">
      <c r="H79" s="9"/>
    </row>
    <row r="80" spans="1:11" x14ac:dyDescent="0.2">
      <c r="H80" s="9"/>
    </row>
    <row r="81" spans="8:8" x14ac:dyDescent="0.2">
      <c r="H81" s="9"/>
    </row>
    <row r="82" spans="8:8" x14ac:dyDescent="0.2">
      <c r="H82" s="9"/>
    </row>
    <row r="83" spans="8:8" x14ac:dyDescent="0.2">
      <c r="H83" s="9"/>
    </row>
    <row r="84" spans="8:8" x14ac:dyDescent="0.2">
      <c r="H84" s="9"/>
    </row>
    <row r="85" spans="8:8" x14ac:dyDescent="0.2">
      <c r="H85" s="9"/>
    </row>
    <row r="86" spans="8:8" x14ac:dyDescent="0.2">
      <c r="H86" s="9"/>
    </row>
  </sheetData>
  <sortState xmlns:xlrd2="http://schemas.microsoft.com/office/spreadsheetml/2017/richdata2" ref="A6:F75">
    <sortCondition descending="1" ref="F6:F7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9B90-7A2C-234D-8805-96B3E0FFDEE1}">
  <dimension ref="A1:K24"/>
  <sheetViews>
    <sheetView workbookViewId="0">
      <selection activeCell="H7" sqref="H7"/>
    </sheetView>
  </sheetViews>
  <sheetFormatPr baseColWidth="10" defaultRowHeight="16" x14ac:dyDescent="0.2"/>
  <cols>
    <col min="2" max="2" width="20.83203125" customWidth="1"/>
    <col min="3" max="3" width="34.6640625" customWidth="1"/>
    <col min="4" max="6" width="23" customWidth="1"/>
    <col min="7" max="7" width="24.83203125" customWidth="1"/>
    <col min="10" max="10" width="16.5" customWidth="1"/>
  </cols>
  <sheetData>
    <row r="1" spans="1:11" x14ac:dyDescent="0.2">
      <c r="A1" s="1" t="s">
        <v>228</v>
      </c>
      <c r="B1" s="1"/>
      <c r="C1" s="1"/>
      <c r="D1" s="1"/>
      <c r="E1" s="1"/>
      <c r="F1" s="1"/>
      <c r="G1" s="1"/>
      <c r="H1" s="1"/>
      <c r="I1" s="1"/>
    </row>
    <row r="2" spans="1:11" x14ac:dyDescent="0.2">
      <c r="A2" s="1" t="s">
        <v>0</v>
      </c>
      <c r="B2" s="1"/>
      <c r="C2" s="1"/>
      <c r="D2" s="22"/>
      <c r="E2" s="22"/>
      <c r="F2" s="22"/>
      <c r="G2" s="22"/>
      <c r="H2" s="22"/>
      <c r="I2" s="1"/>
    </row>
    <row r="3" spans="1:11" x14ac:dyDescent="0.2">
      <c r="A3" s="1" t="s">
        <v>160</v>
      </c>
      <c r="B3" s="1"/>
      <c r="C3" s="1"/>
      <c r="D3" s="1"/>
      <c r="E3" s="1"/>
      <c r="F3" s="1"/>
      <c r="G3" s="1"/>
      <c r="H3" s="1"/>
      <c r="I3" s="3"/>
    </row>
    <row r="4" spans="1:11" x14ac:dyDescent="0.2">
      <c r="A4" s="1" t="s">
        <v>116</v>
      </c>
      <c r="B4" s="1"/>
      <c r="C4" s="1"/>
      <c r="D4" s="1"/>
      <c r="E4" s="1"/>
      <c r="F4" s="1"/>
      <c r="G4" s="1"/>
      <c r="H4" s="1"/>
      <c r="I4" s="1"/>
    </row>
    <row r="5" spans="1:11" x14ac:dyDescent="0.2">
      <c r="A5" s="5" t="s">
        <v>3</v>
      </c>
      <c r="B5" s="5" t="s">
        <v>4</v>
      </c>
      <c r="C5" s="5" t="s">
        <v>6</v>
      </c>
      <c r="D5" s="5" t="s">
        <v>117</v>
      </c>
      <c r="E5" s="6" t="s">
        <v>8</v>
      </c>
      <c r="F5" s="6"/>
      <c r="G5" s="6"/>
      <c r="H5" s="6"/>
      <c r="I5" s="6"/>
    </row>
    <row r="6" spans="1:11" x14ac:dyDescent="0.2">
      <c r="A6" s="9" t="s">
        <v>161</v>
      </c>
      <c r="B6" s="9" t="s">
        <v>162</v>
      </c>
      <c r="C6" s="9" t="s">
        <v>230</v>
      </c>
      <c r="D6" s="9" t="s">
        <v>120</v>
      </c>
      <c r="E6" s="2">
        <v>46970</v>
      </c>
      <c r="F6" s="2"/>
      <c r="G6" s="2"/>
      <c r="H6" s="2"/>
      <c r="J6" s="36"/>
      <c r="K6" s="2"/>
    </row>
    <row r="7" spans="1:11" x14ac:dyDescent="0.2">
      <c r="A7" s="9" t="s">
        <v>161</v>
      </c>
      <c r="B7" s="9" t="s">
        <v>162</v>
      </c>
      <c r="C7" s="9" t="s">
        <v>230</v>
      </c>
      <c r="D7" s="9" t="s">
        <v>121</v>
      </c>
      <c r="E7" s="2">
        <v>42303</v>
      </c>
      <c r="F7" s="2"/>
      <c r="G7" s="2"/>
      <c r="H7" s="2"/>
      <c r="J7" s="36"/>
      <c r="K7" s="2"/>
    </row>
    <row r="8" spans="1:11" x14ac:dyDescent="0.2">
      <c r="A8" s="9" t="s">
        <v>161</v>
      </c>
      <c r="B8" s="9" t="s">
        <v>162</v>
      </c>
      <c r="C8" s="9" t="s">
        <v>230</v>
      </c>
      <c r="D8" s="9" t="s">
        <v>123</v>
      </c>
      <c r="E8" s="2">
        <v>39978</v>
      </c>
      <c r="F8" s="2"/>
      <c r="G8" s="2"/>
      <c r="H8" s="2"/>
      <c r="J8" s="36"/>
      <c r="K8" s="2"/>
    </row>
    <row r="9" spans="1:11" x14ac:dyDescent="0.2">
      <c r="A9" s="9" t="s">
        <v>161</v>
      </c>
      <c r="B9" s="9" t="s">
        <v>162</v>
      </c>
      <c r="C9" s="9" t="s">
        <v>230</v>
      </c>
      <c r="D9" s="9" t="s">
        <v>122</v>
      </c>
      <c r="E9" s="2">
        <v>36468</v>
      </c>
      <c r="F9" s="2"/>
      <c r="G9" s="2"/>
      <c r="H9" s="2"/>
      <c r="J9" s="36"/>
      <c r="K9" s="2"/>
    </row>
    <row r="10" spans="1:11" x14ac:dyDescent="0.2">
      <c r="A10" s="9" t="s">
        <v>161</v>
      </c>
      <c r="B10" s="9" t="s">
        <v>162</v>
      </c>
      <c r="C10" s="9" t="s">
        <v>230</v>
      </c>
      <c r="D10" s="9" t="s">
        <v>163</v>
      </c>
      <c r="E10" s="2">
        <v>30176</v>
      </c>
      <c r="F10" s="2"/>
      <c r="G10" s="2"/>
      <c r="H10" s="2"/>
      <c r="J10" s="36"/>
      <c r="K10" s="2"/>
    </row>
    <row r="11" spans="1:11" x14ac:dyDescent="0.2">
      <c r="A11" s="9" t="s">
        <v>161</v>
      </c>
      <c r="B11" s="9" t="s">
        <v>162</v>
      </c>
      <c r="C11" s="9" t="s">
        <v>230</v>
      </c>
      <c r="D11" s="9" t="s">
        <v>125</v>
      </c>
      <c r="E11" s="2">
        <v>27531</v>
      </c>
      <c r="F11" s="2"/>
      <c r="G11" s="2"/>
      <c r="H11" s="2"/>
      <c r="J11" s="36"/>
      <c r="K11" s="2"/>
    </row>
    <row r="12" spans="1:11" x14ac:dyDescent="0.2">
      <c r="A12" s="9" t="s">
        <v>161</v>
      </c>
      <c r="B12" s="9" t="s">
        <v>162</v>
      </c>
      <c r="C12" s="9" t="s">
        <v>230</v>
      </c>
      <c r="D12" s="9" t="s">
        <v>124</v>
      </c>
      <c r="E12" s="2">
        <v>26367</v>
      </c>
      <c r="F12" s="2"/>
      <c r="G12" s="2"/>
      <c r="H12" s="2"/>
      <c r="I12" s="2"/>
      <c r="J12" s="36"/>
      <c r="K12" s="2"/>
    </row>
    <row r="13" spans="1:11" x14ac:dyDescent="0.2">
      <c r="A13" s="9" t="s">
        <v>161</v>
      </c>
      <c r="B13" s="9" t="s">
        <v>162</v>
      </c>
      <c r="C13" s="9" t="s">
        <v>230</v>
      </c>
      <c r="D13" s="9" t="s">
        <v>164</v>
      </c>
      <c r="E13" s="2">
        <v>24647</v>
      </c>
      <c r="F13" s="2"/>
      <c r="G13" s="2"/>
      <c r="H13" s="2"/>
      <c r="I13" s="2"/>
      <c r="J13" s="36"/>
      <c r="K13" s="2"/>
    </row>
    <row r="14" spans="1:11" x14ac:dyDescent="0.2">
      <c r="A14" s="9" t="s">
        <v>161</v>
      </c>
      <c r="B14" s="9" t="s">
        <v>162</v>
      </c>
      <c r="C14" s="9" t="s">
        <v>230</v>
      </c>
      <c r="D14" s="2" t="s">
        <v>165</v>
      </c>
      <c r="E14" s="2">
        <v>23763</v>
      </c>
      <c r="F14" s="2"/>
      <c r="G14" s="2"/>
      <c r="H14" s="2"/>
      <c r="J14" s="36"/>
      <c r="K14" s="2"/>
    </row>
    <row r="15" spans="1:11" x14ac:dyDescent="0.2">
      <c r="A15" s="9" t="s">
        <v>161</v>
      </c>
      <c r="B15" s="9" t="s">
        <v>162</v>
      </c>
      <c r="C15" s="9" t="s">
        <v>230</v>
      </c>
      <c r="D15" s="2" t="s">
        <v>134</v>
      </c>
      <c r="E15" s="2">
        <v>23206</v>
      </c>
      <c r="F15" s="2"/>
      <c r="G15" s="2"/>
      <c r="H15" s="2"/>
      <c r="J15" s="36"/>
      <c r="K15" s="2"/>
    </row>
    <row r="16" spans="1:11" x14ac:dyDescent="0.2">
      <c r="A16" s="9" t="s">
        <v>161</v>
      </c>
      <c r="B16" s="9" t="s">
        <v>162</v>
      </c>
      <c r="C16" s="9" t="s">
        <v>230</v>
      </c>
      <c r="D16" s="2" t="s">
        <v>167</v>
      </c>
      <c r="E16" s="2">
        <v>20813</v>
      </c>
      <c r="F16" s="2"/>
      <c r="G16" s="2"/>
      <c r="H16" s="2"/>
      <c r="J16" s="36"/>
      <c r="K16" s="2"/>
    </row>
    <row r="17" spans="1:11" x14ac:dyDescent="0.2">
      <c r="A17" s="9" t="s">
        <v>161</v>
      </c>
      <c r="B17" s="9" t="s">
        <v>162</v>
      </c>
      <c r="C17" s="9" t="s">
        <v>230</v>
      </c>
      <c r="D17" s="2" t="s">
        <v>127</v>
      </c>
      <c r="E17" s="2">
        <v>19959</v>
      </c>
      <c r="F17" s="2"/>
      <c r="G17" s="2"/>
      <c r="H17" s="2"/>
      <c r="J17" s="36"/>
      <c r="K17" s="2"/>
    </row>
    <row r="18" spans="1:11" x14ac:dyDescent="0.2">
      <c r="A18" s="9" t="s">
        <v>161</v>
      </c>
      <c r="B18" s="9" t="s">
        <v>162</v>
      </c>
      <c r="C18" s="9" t="s">
        <v>230</v>
      </c>
      <c r="D18" s="2" t="s">
        <v>166</v>
      </c>
      <c r="E18" s="2">
        <v>18155</v>
      </c>
      <c r="F18" s="2"/>
      <c r="G18" s="2"/>
      <c r="H18" s="2"/>
      <c r="J18" s="36"/>
      <c r="K18" s="2"/>
    </row>
    <row r="19" spans="1:11" x14ac:dyDescent="0.2">
      <c r="A19" s="9" t="s">
        <v>161</v>
      </c>
      <c r="B19" s="9" t="s">
        <v>162</v>
      </c>
      <c r="C19" s="9" t="s">
        <v>230</v>
      </c>
      <c r="D19" s="2" t="s">
        <v>128</v>
      </c>
      <c r="E19" s="2">
        <v>16970</v>
      </c>
      <c r="F19" s="2"/>
      <c r="G19" s="2"/>
      <c r="H19" s="2"/>
      <c r="I19" s="2"/>
      <c r="J19" s="36"/>
      <c r="K19" s="2"/>
    </row>
    <row r="20" spans="1:11" x14ac:dyDescent="0.2">
      <c r="A20" s="9" t="s">
        <v>161</v>
      </c>
      <c r="B20" s="9" t="s">
        <v>162</v>
      </c>
      <c r="C20" s="9" t="s">
        <v>230</v>
      </c>
      <c r="D20" s="2" t="s">
        <v>132</v>
      </c>
      <c r="E20" s="2">
        <v>13563</v>
      </c>
      <c r="F20" s="2"/>
      <c r="G20" s="2"/>
      <c r="H20" s="2"/>
      <c r="I20" s="2"/>
      <c r="J20" s="36"/>
      <c r="K20" s="36"/>
    </row>
    <row r="21" spans="1:11" x14ac:dyDescent="0.2">
      <c r="A21" s="9" t="s">
        <v>161</v>
      </c>
      <c r="B21" s="9" t="s">
        <v>162</v>
      </c>
      <c r="C21" s="9" t="s">
        <v>230</v>
      </c>
      <c r="D21" s="2" t="s">
        <v>130</v>
      </c>
      <c r="E21" s="2">
        <v>11134</v>
      </c>
      <c r="F21" s="2"/>
      <c r="G21" s="36"/>
      <c r="H21" s="2"/>
      <c r="J21" s="36"/>
      <c r="K21" s="2"/>
    </row>
    <row r="22" spans="1:11" x14ac:dyDescent="0.2">
      <c r="A22" s="9" t="s">
        <v>161</v>
      </c>
      <c r="B22" s="9" t="s">
        <v>162</v>
      </c>
      <c r="C22" s="9" t="s">
        <v>230</v>
      </c>
      <c r="D22" s="2" t="s">
        <v>144</v>
      </c>
      <c r="E22" s="2">
        <v>7288</v>
      </c>
      <c r="F22" s="2"/>
      <c r="G22" s="2"/>
      <c r="H22" s="2"/>
    </row>
    <row r="23" spans="1:11" x14ac:dyDescent="0.2">
      <c r="A23" s="10" t="s">
        <v>31</v>
      </c>
      <c r="B23" s="9"/>
      <c r="C23" s="9"/>
      <c r="D23" s="2"/>
      <c r="E23" s="10">
        <f>SUM(E6:E22)</f>
        <v>429291</v>
      </c>
      <c r="F23" s="2"/>
      <c r="G23" s="2"/>
      <c r="H23" s="2"/>
    </row>
    <row r="24" spans="1:11" x14ac:dyDescent="0.2">
      <c r="A24" s="35"/>
      <c r="E24" s="35"/>
      <c r="F24" s="35"/>
      <c r="G24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F217-D95E-B045-B49E-1E9469AD5218}">
  <dimension ref="A1:M28"/>
  <sheetViews>
    <sheetView workbookViewId="0">
      <selection activeCell="J20" sqref="J20:K27"/>
    </sheetView>
  </sheetViews>
  <sheetFormatPr baseColWidth="10" defaultRowHeight="16" x14ac:dyDescent="0.2"/>
  <cols>
    <col min="2" max="2" width="21.1640625" customWidth="1"/>
    <col min="3" max="3" width="36.1640625" customWidth="1"/>
    <col min="4" max="4" width="10.83203125" customWidth="1"/>
    <col min="5" max="5" width="16.1640625" customWidth="1"/>
    <col min="6" max="6" width="20.33203125" customWidth="1"/>
    <col min="10" max="10" width="18.33203125" customWidth="1"/>
  </cols>
  <sheetData>
    <row r="1" spans="1:13" x14ac:dyDescent="0.2">
      <c r="A1" s="1" t="s">
        <v>228</v>
      </c>
      <c r="B1" s="1"/>
      <c r="C1" s="1"/>
      <c r="D1" s="1"/>
      <c r="E1" s="1"/>
    </row>
    <row r="2" spans="1:13" x14ac:dyDescent="0.2">
      <c r="A2" s="1" t="s">
        <v>0</v>
      </c>
      <c r="B2" s="1"/>
      <c r="C2" s="1"/>
      <c r="D2" s="1"/>
    </row>
    <row r="3" spans="1:13" x14ac:dyDescent="0.2">
      <c r="A3" s="1" t="s">
        <v>160</v>
      </c>
      <c r="B3" s="1"/>
      <c r="C3" s="1"/>
      <c r="D3" s="1"/>
      <c r="E3" s="1"/>
      <c r="F3" s="21"/>
    </row>
    <row r="4" spans="1:13" x14ac:dyDescent="0.2">
      <c r="A4" s="1" t="s">
        <v>146</v>
      </c>
      <c r="B4" s="1"/>
      <c r="C4" s="1"/>
      <c r="D4" s="1"/>
      <c r="E4" s="1"/>
    </row>
    <row r="5" spans="1:13" x14ac:dyDescent="0.2">
      <c r="A5" s="5" t="s">
        <v>3</v>
      </c>
      <c r="B5" s="5" t="s">
        <v>4</v>
      </c>
      <c r="C5" s="5" t="s">
        <v>6</v>
      </c>
      <c r="D5" s="13" t="s">
        <v>147</v>
      </c>
      <c r="E5" s="14" t="s">
        <v>8</v>
      </c>
      <c r="F5" s="15" t="s">
        <v>148</v>
      </c>
    </row>
    <row r="6" spans="1:13" x14ac:dyDescent="0.2">
      <c r="A6" s="9" t="s">
        <v>161</v>
      </c>
      <c r="B6" s="9" t="s">
        <v>162</v>
      </c>
      <c r="C6" s="9" t="s">
        <v>168</v>
      </c>
      <c r="D6" s="16">
        <v>45957</v>
      </c>
      <c r="E6" s="17">
        <v>20447</v>
      </c>
      <c r="F6" s="18">
        <v>428.68</v>
      </c>
    </row>
    <row r="7" spans="1:13" x14ac:dyDescent="0.2">
      <c r="A7" s="9" t="s">
        <v>161</v>
      </c>
      <c r="B7" s="9" t="s">
        <v>162</v>
      </c>
      <c r="C7" s="9" t="s">
        <v>169</v>
      </c>
      <c r="D7" s="16">
        <v>45958</v>
      </c>
      <c r="E7" s="17">
        <v>20451</v>
      </c>
      <c r="F7" s="18">
        <v>428.75</v>
      </c>
    </row>
    <row r="8" spans="1:13" x14ac:dyDescent="0.2">
      <c r="A8" s="9" t="s">
        <v>161</v>
      </c>
      <c r="B8" s="9" t="s">
        <v>162</v>
      </c>
      <c r="C8" s="9" t="s">
        <v>170</v>
      </c>
      <c r="D8" s="16">
        <v>45959</v>
      </c>
      <c r="E8" s="17">
        <v>20437</v>
      </c>
      <c r="F8" s="18">
        <v>428.46</v>
      </c>
    </row>
    <row r="9" spans="1:13" x14ac:dyDescent="0.2">
      <c r="A9" s="9" t="s">
        <v>161</v>
      </c>
      <c r="B9" s="9" t="s">
        <v>162</v>
      </c>
      <c r="C9" s="9" t="s">
        <v>171</v>
      </c>
      <c r="D9" s="16">
        <v>45960</v>
      </c>
      <c r="E9" s="17">
        <v>20441</v>
      </c>
      <c r="F9" s="18">
        <v>428.54</v>
      </c>
    </row>
    <row r="10" spans="1:13" x14ac:dyDescent="0.2">
      <c r="A10" s="9" t="s">
        <v>161</v>
      </c>
      <c r="B10" s="9" t="s">
        <v>162</v>
      </c>
      <c r="C10" s="9" t="s">
        <v>172</v>
      </c>
      <c r="D10" s="16">
        <v>45961</v>
      </c>
      <c r="E10" s="17">
        <v>20439</v>
      </c>
      <c r="F10" s="18">
        <v>428.51</v>
      </c>
    </row>
    <row r="11" spans="1:13" x14ac:dyDescent="0.2">
      <c r="A11" s="9" t="s">
        <v>161</v>
      </c>
      <c r="B11" s="9" t="s">
        <v>162</v>
      </c>
      <c r="C11" s="9" t="s">
        <v>173</v>
      </c>
      <c r="D11" s="16">
        <v>45962</v>
      </c>
      <c r="E11" s="17">
        <v>20444</v>
      </c>
      <c r="F11" s="18">
        <v>428.6</v>
      </c>
      <c r="J11" s="18"/>
      <c r="K11" s="18"/>
      <c r="M11" s="18"/>
    </row>
    <row r="12" spans="1:13" x14ac:dyDescent="0.2">
      <c r="A12" s="9" t="s">
        <v>161</v>
      </c>
      <c r="B12" s="9" t="s">
        <v>162</v>
      </c>
      <c r="C12" s="9" t="s">
        <v>174</v>
      </c>
      <c r="D12" s="16">
        <v>45963</v>
      </c>
      <c r="E12" s="17">
        <v>20448</v>
      </c>
      <c r="F12" s="18">
        <v>428.7</v>
      </c>
      <c r="I12" s="21"/>
      <c r="J12" s="18"/>
      <c r="K12" s="18"/>
      <c r="M12" s="18"/>
    </row>
    <row r="13" spans="1:13" x14ac:dyDescent="0.2">
      <c r="A13" s="9" t="s">
        <v>161</v>
      </c>
      <c r="B13" s="9" t="s">
        <v>162</v>
      </c>
      <c r="C13" s="9" t="s">
        <v>176</v>
      </c>
      <c r="D13" s="16">
        <v>45964</v>
      </c>
      <c r="E13" s="17">
        <v>20468</v>
      </c>
      <c r="F13" s="18">
        <v>429.26</v>
      </c>
      <c r="J13" s="18"/>
      <c r="K13" s="18"/>
      <c r="M13" s="18"/>
    </row>
    <row r="14" spans="1:13" x14ac:dyDescent="0.2">
      <c r="A14" s="9" t="s">
        <v>161</v>
      </c>
      <c r="B14" s="9" t="s">
        <v>162</v>
      </c>
      <c r="C14" s="9" t="s">
        <v>177</v>
      </c>
      <c r="D14" s="16">
        <v>45965</v>
      </c>
      <c r="E14" s="17">
        <v>20457</v>
      </c>
      <c r="F14" s="18">
        <v>429.03</v>
      </c>
      <c r="J14" s="18"/>
      <c r="K14" s="18"/>
      <c r="M14" s="18"/>
    </row>
    <row r="15" spans="1:13" x14ac:dyDescent="0.2">
      <c r="A15" s="9" t="s">
        <v>161</v>
      </c>
      <c r="B15" s="9" t="s">
        <v>162</v>
      </c>
      <c r="C15" s="9" t="s">
        <v>178</v>
      </c>
      <c r="D15" s="16">
        <v>45966</v>
      </c>
      <c r="E15" s="17">
        <v>20452</v>
      </c>
      <c r="F15" s="18">
        <v>428.95</v>
      </c>
      <c r="J15" s="18"/>
      <c r="K15" s="18"/>
      <c r="L15" s="18"/>
      <c r="M15" s="18"/>
    </row>
    <row r="16" spans="1:13" x14ac:dyDescent="0.2">
      <c r="A16" s="9" t="s">
        <v>161</v>
      </c>
      <c r="B16" s="9" t="s">
        <v>162</v>
      </c>
      <c r="C16" s="9" t="s">
        <v>179</v>
      </c>
      <c r="D16" s="16">
        <v>45967</v>
      </c>
      <c r="E16" s="17">
        <v>20461</v>
      </c>
      <c r="F16" s="18">
        <v>429.11</v>
      </c>
      <c r="J16" s="18"/>
      <c r="K16" s="18"/>
      <c r="L16" s="18"/>
      <c r="M16" s="18"/>
    </row>
    <row r="17" spans="1:13" x14ac:dyDescent="0.2">
      <c r="A17" s="9" t="s">
        <v>161</v>
      </c>
      <c r="B17" s="9" t="s">
        <v>162</v>
      </c>
      <c r="C17" s="9" t="s">
        <v>180</v>
      </c>
      <c r="D17" s="16">
        <v>45968</v>
      </c>
      <c r="E17" s="17">
        <v>20462</v>
      </c>
      <c r="F17" s="18">
        <v>429.13</v>
      </c>
      <c r="J17" s="18"/>
      <c r="K17" s="18"/>
      <c r="L17" s="18"/>
      <c r="M17" s="18"/>
    </row>
    <row r="18" spans="1:13" x14ac:dyDescent="0.2">
      <c r="A18" s="9" t="s">
        <v>161</v>
      </c>
      <c r="B18" s="9" t="s">
        <v>162</v>
      </c>
      <c r="C18" s="9" t="s">
        <v>181</v>
      </c>
      <c r="D18" s="16">
        <v>45969</v>
      </c>
      <c r="E18" s="17">
        <v>20464</v>
      </c>
      <c r="F18" s="18">
        <v>429.16</v>
      </c>
      <c r="J18" s="18"/>
      <c r="K18" s="18"/>
      <c r="L18" s="18"/>
      <c r="M18" s="18"/>
    </row>
    <row r="19" spans="1:13" x14ac:dyDescent="0.2">
      <c r="A19" s="9" t="s">
        <v>161</v>
      </c>
      <c r="B19" s="9" t="s">
        <v>162</v>
      </c>
      <c r="C19" s="9" t="s">
        <v>182</v>
      </c>
      <c r="D19" s="16">
        <v>45970</v>
      </c>
      <c r="E19" s="17">
        <v>20457</v>
      </c>
      <c r="F19" s="18">
        <v>429.01</v>
      </c>
      <c r="J19" s="18"/>
      <c r="K19" s="18"/>
      <c r="L19" s="18"/>
      <c r="M19" s="18"/>
    </row>
    <row r="20" spans="1:13" x14ac:dyDescent="0.2">
      <c r="A20" s="9" t="s">
        <v>161</v>
      </c>
      <c r="B20" s="9" t="s">
        <v>162</v>
      </c>
      <c r="C20" s="9" t="s">
        <v>231</v>
      </c>
      <c r="D20" s="16">
        <v>45971</v>
      </c>
      <c r="E20" s="17">
        <v>20432</v>
      </c>
      <c r="F20" s="18">
        <v>428.88</v>
      </c>
      <c r="J20" s="17"/>
      <c r="K20" s="18"/>
      <c r="L20" s="18"/>
      <c r="M20" s="18"/>
    </row>
    <row r="21" spans="1:13" x14ac:dyDescent="0.2">
      <c r="A21" s="9" t="s">
        <v>161</v>
      </c>
      <c r="B21" s="9" t="s">
        <v>162</v>
      </c>
      <c r="C21" s="9" t="s">
        <v>232</v>
      </c>
      <c r="D21" s="16">
        <v>45972</v>
      </c>
      <c r="E21" s="17">
        <v>20419</v>
      </c>
      <c r="F21" s="18">
        <v>428.61</v>
      </c>
      <c r="J21" s="17"/>
      <c r="K21" s="18"/>
      <c r="L21" s="18"/>
      <c r="M21" s="18"/>
    </row>
    <row r="22" spans="1:13" x14ac:dyDescent="0.2">
      <c r="A22" s="9" t="s">
        <v>161</v>
      </c>
      <c r="B22" s="9" t="s">
        <v>162</v>
      </c>
      <c r="C22" s="9" t="s">
        <v>233</v>
      </c>
      <c r="D22" s="16">
        <v>45973</v>
      </c>
      <c r="E22" s="17">
        <v>20425</v>
      </c>
      <c r="F22" s="18">
        <v>428.73</v>
      </c>
      <c r="J22" s="17"/>
      <c r="K22" s="18"/>
      <c r="L22" s="23"/>
      <c r="M22" s="18"/>
    </row>
    <row r="23" spans="1:13" x14ac:dyDescent="0.2">
      <c r="A23" s="9" t="s">
        <v>161</v>
      </c>
      <c r="B23" s="9" t="s">
        <v>162</v>
      </c>
      <c r="C23" s="9" t="s">
        <v>234</v>
      </c>
      <c r="D23" s="16">
        <v>45974</v>
      </c>
      <c r="E23" s="17">
        <v>20427</v>
      </c>
      <c r="F23" s="18">
        <v>428.77</v>
      </c>
      <c r="J23" s="17"/>
      <c r="K23" s="18"/>
      <c r="M23" s="18"/>
    </row>
    <row r="24" spans="1:13" x14ac:dyDescent="0.2">
      <c r="A24" s="9" t="s">
        <v>161</v>
      </c>
      <c r="B24" s="9" t="s">
        <v>162</v>
      </c>
      <c r="C24" s="9" t="s">
        <v>235</v>
      </c>
      <c r="D24" s="16">
        <v>45975</v>
      </c>
      <c r="E24" s="17">
        <v>20423</v>
      </c>
      <c r="F24" s="18">
        <v>428.69</v>
      </c>
      <c r="J24" s="17"/>
      <c r="K24" s="18"/>
      <c r="M24" s="18"/>
    </row>
    <row r="25" spans="1:13" x14ac:dyDescent="0.2">
      <c r="A25" s="9" t="s">
        <v>161</v>
      </c>
      <c r="B25" s="9" t="s">
        <v>162</v>
      </c>
      <c r="C25" s="9" t="s">
        <v>236</v>
      </c>
      <c r="D25" s="16">
        <v>45976</v>
      </c>
      <c r="E25" s="17">
        <v>20421</v>
      </c>
      <c r="F25" s="18">
        <v>428.65</v>
      </c>
      <c r="J25" s="17"/>
      <c r="K25" s="18"/>
      <c r="M25" s="18"/>
    </row>
    <row r="26" spans="1:13" x14ac:dyDescent="0.2">
      <c r="A26" s="9" t="s">
        <v>161</v>
      </c>
      <c r="B26" s="9" t="s">
        <v>162</v>
      </c>
      <c r="C26" s="9" t="s">
        <v>237</v>
      </c>
      <c r="D26" s="16">
        <v>45977</v>
      </c>
      <c r="E26" s="17">
        <v>20416</v>
      </c>
      <c r="F26" s="18">
        <v>428.54</v>
      </c>
      <c r="J26" s="17"/>
      <c r="K26" s="18"/>
      <c r="M26" s="18"/>
    </row>
    <row r="27" spans="1:13" x14ac:dyDescent="0.2">
      <c r="E27" s="19">
        <f>SUM(E6:E26)</f>
        <v>429291</v>
      </c>
      <c r="F27" s="20">
        <f>SUM(F6:F26)</f>
        <v>9004.76</v>
      </c>
      <c r="J27" s="18"/>
      <c r="K27" s="18"/>
    </row>
    <row r="28" spans="1:13" x14ac:dyDescent="0.2">
      <c r="J28" s="23"/>
      <c r="K2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1-2 BASE 10.27-11.9</vt:lpstr>
      <vt:lpstr>Week 1-2 BASE + GEO 10.27-11.9</vt:lpstr>
      <vt:lpstr>Week 1 BASE DLY SPND 10.27-11.2</vt:lpstr>
      <vt:lpstr>TREATMENT 11.3-11.16</vt:lpstr>
      <vt:lpstr>TREATMENT + GEO 11.3-11.16</vt:lpstr>
      <vt:lpstr>TREATMENT DAILY SPND 11.3-11.16</vt:lpstr>
      <vt:lpstr>CONTROL 11.3-11.16</vt:lpstr>
      <vt:lpstr>CONTROL + GEO 11.3-11.16</vt:lpstr>
      <vt:lpstr>CONTROL DAILY SPND 11.3-11.16</vt:lpstr>
      <vt:lpstr>Week 1-3 WC 10.27-11.16</vt:lpstr>
      <vt:lpstr>Week 1-3 WC (+) GEO 10.27-11.16</vt:lpstr>
      <vt:lpstr>Week 1-3 WC DLY SPD 10.27-11.16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Glenn Higgins</cp:lastModifiedBy>
  <dcterms:created xsi:type="dcterms:W3CDTF">2025-10-31T19:28:53Z</dcterms:created>
  <dcterms:modified xsi:type="dcterms:W3CDTF">2025-11-18T20:33:08Z</dcterms:modified>
</cp:coreProperties>
</file>