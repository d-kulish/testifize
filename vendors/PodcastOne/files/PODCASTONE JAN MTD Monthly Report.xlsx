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BC2FAA51-E89D-0740-85B3-6DC91DA9DD61}" xr6:coauthVersionLast="47" xr6:coauthVersionMax="47" xr10:uidLastSave="{00000000-0000-0000-0000-000000000000}"/>
  <bookViews>
    <workbookView xWindow="320" yWindow="500" windowWidth="28480" windowHeight="16160" xr2:uid="{4E851795-6E1C-3E4D-ABF7-6C7D3553D496}"/>
  </bookViews>
  <sheets>
    <sheet name="Week 1-3 Control 1.1-1.18" sheetId="4" r:id="rId1"/>
    <sheet name="Week 1-3 Control GEO 1.1-1.18" sheetId="5" r:id="rId2"/>
    <sheet name="Week 1-3 Control DLY 1.1-1.18" sheetId="9" r:id="rId3"/>
    <sheet name="Week 1-3 Treat. 1.1-1.18" sheetId="6" r:id="rId4"/>
    <sheet name="Week 1-3 Treat GEO 1.1-1.18" sheetId="7" r:id="rId5"/>
    <sheet name="Week 1-2 Treat. DLY 11-1.11" sheetId="8" r:id="rId6"/>
    <sheet name="WC Week 1-3 1.1-1.18" sheetId="1" r:id="rId7"/>
    <sheet name="WC Week 1-3 GEO 1.1-1.18" sheetId="2" r:id="rId8"/>
    <sheet name="WC Week 1-3 DLY 1.1-1.18" sheetId="3" r:id="rId9"/>
  </sheets>
  <definedNames>
    <definedName name="_xlnm._FilterDatabase" localSheetId="0" hidden="1">'Week 1-3 Control 1.1-1.18'!$A$5:$F$96</definedName>
    <definedName name="_xlnm._FilterDatabase" localSheetId="3" hidden="1">'Week 1-3 Treat. 1.1-1.18'!$A$5:$F$94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8576" i="6" l="1"/>
  <c r="F95" i="6"/>
  <c r="F97" i="4"/>
  <c r="F24" i="9"/>
  <c r="F24" i="8"/>
  <c r="E24" i="8"/>
  <c r="E19" i="7"/>
  <c r="E24" i="9"/>
  <c r="E19" i="5"/>
  <c r="F24" i="3"/>
  <c r="E24" i="3"/>
  <c r="E23" i="2"/>
  <c r="F76" i="1"/>
</calcChain>
</file>

<file path=xl/sharedStrings.xml><?xml version="1.0" encoding="utf-8"?>
<sst xmlns="http://schemas.openxmlformats.org/spreadsheetml/2006/main" count="1538" uniqueCount="238">
  <si>
    <t>Timezone: America/New_York</t>
  </si>
  <si>
    <t xml:space="preserve">Filters: Order ID IN (7207) 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</si>
  <si>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</si>
  <si>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</si>
  <si>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</si>
  <si>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</si>
  <si>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</si>
  <si>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</si>
  <si>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</si>
  <si>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Cold Case Files</t>
  </si>
  <si>
    <t>Murder Made Me Famous</t>
  </si>
  <si>
    <t>Bad Bad Thing: The Blackstone Sisters</t>
  </si>
  <si>
    <t>I Survived</t>
  </si>
  <si>
    <t>Varnamtown</t>
  </si>
  <si>
    <t>Dark Hollywood: The Reelz Files</t>
  </si>
  <si>
    <t>On Brand with Jon and Marisa</t>
  </si>
  <si>
    <t>The World of Phil Hendrie</t>
  </si>
  <si>
    <t>Copycat Killers</t>
  </si>
  <si>
    <t>Sex, Lies &amp; Murder</t>
  </si>
  <si>
    <t>Nappy Boy Radio with T-Pain</t>
  </si>
  <si>
    <t>Ace On The House</t>
  </si>
  <si>
    <t>The Consult: Real FBI Profilers</t>
  </si>
  <si>
    <t>Lost In Panama</t>
  </si>
  <si>
    <t>Real Crime: The REELZ Files</t>
  </si>
  <si>
    <t>CIVIL</t>
  </si>
  <si>
    <t>This Is Monsters</t>
  </si>
  <si>
    <t>CONNECT with Jonathan Mark</t>
  </si>
  <si>
    <t>Cheating: When Love Lies</t>
  </si>
  <si>
    <t>Reasonable Doubt</t>
  </si>
  <si>
    <t>Bret Easton Ellis Podcast</t>
  </si>
  <si>
    <t>Adam Carolla Show Daily Brief</t>
  </si>
  <si>
    <t>SUS: Share Ur Scare</t>
  </si>
  <si>
    <t>All of the Above with Norman Lear</t>
  </si>
  <si>
    <t>The Jay Jay French Connection: Beyond the Music</t>
  </si>
  <si>
    <t>Wholeheartedly with Kendall and Galey</t>
  </si>
  <si>
    <t>Knock Knock</t>
  </si>
  <si>
    <t>Fully Booked by Kirkus Reviews</t>
  </si>
  <si>
    <t>HOT ROD Pod: Where It All Began</t>
  </si>
  <si>
    <t>The Funny Papers with Jersey Jerry</t>
  </si>
  <si>
    <t>We Are Not Journalists</t>
  </si>
  <si>
    <t>Talk To Me</t>
  </si>
  <si>
    <t>The Head &amp; The Heart</t>
  </si>
  <si>
    <t>Blunt Force Truth</t>
  </si>
  <si>
    <t>Adam Carolla Live</t>
  </si>
  <si>
    <t>The Producer's Guide: Todd Garner &amp; Hollywood's Elite</t>
  </si>
  <si>
    <t>Geffen Playhouse Unscripted</t>
  </si>
  <si>
    <t>The Kelly Osbourne and Jeff Beacher Show</t>
  </si>
  <si>
    <t>Ransom</t>
  </si>
  <si>
    <t>We (Almost) Made It</t>
  </si>
  <si>
    <t>Hammered Heroes (And Villains)</t>
  </si>
  <si>
    <t>expediTIously with Tip "T.I." Harris</t>
  </si>
  <si>
    <t>Chop Shop</t>
  </si>
  <si>
    <t>The Dan Abrams Podcast (PodcastOne)</t>
  </si>
  <si>
    <t>From Zero: A Conversation with Mike Shinoda and Emily Armstrong</t>
  </si>
  <si>
    <t>Carolla Classics </t>
  </si>
  <si>
    <t>The Campaign Managers with Kellyanne Conway and David Plouffe</t>
  </si>
  <si>
    <t>From Negative to Positive with Pitbull</t>
  </si>
  <si>
    <t>The Michael Harrison Interview</t>
  </si>
  <si>
    <t>Let Me Save You 25 Years</t>
  </si>
  <si>
    <t>Comeback Kids</t>
  </si>
  <si>
    <t>Idiotically Speaking with Chris Kattan</t>
  </si>
  <si>
    <t>It's Not Only Football: Friday Night Lights and Beyond</t>
  </si>
  <si>
    <t>Invisible Choir</t>
  </si>
  <si>
    <t>Who I Am</t>
  </si>
  <si>
    <t>Zero Stars</t>
  </si>
  <si>
    <t>Botany &amp; Barrels</t>
  </si>
  <si>
    <t>Be Very Afraid: A Horror Podcast</t>
  </si>
  <si>
    <t>Let's Do Life with Autumn Calabrese</t>
  </si>
  <si>
    <t>Salty with Captain Lee</t>
  </si>
  <si>
    <t>Ever After with Jaleel White</t>
  </si>
  <si>
    <t>Living in Adoptionland with Bryan Elliott</t>
  </si>
  <si>
    <t>Adam's Best</t>
  </si>
  <si>
    <t>C-Sessions…with Randall Broad</t>
  </si>
  <si>
    <t>Earth to Ariana</t>
  </si>
  <si>
    <t>Bounceback with Uncle Tim</t>
  </si>
  <si>
    <t>Adam Carolla Show Clips</t>
  </si>
  <si>
    <t>Adam Carolla's Exclusive Interviews</t>
  </si>
  <si>
    <t>Mind. Body. No Soul.</t>
  </si>
  <si>
    <t>All Dollars. No $ense</t>
  </si>
  <si>
    <t>(7207) Betonline 2026</t>
  </si>
  <si>
    <t>TOTAL</t>
  </si>
  <si>
    <t xml:space="preserve">Filters: Order ID IN (7207*) </t>
  </si>
  <si>
    <t>Splits: Order ID,Order,Campaign ID,Geo-Region,Audio Impressions</t>
  </si>
  <si>
    <t>Geo - Region</t>
  </si>
  <si>
    <t>(7207*)</t>
  </si>
  <si>
    <t>California (ca)</t>
  </si>
  <si>
    <t>Texas (tx)</t>
  </si>
  <si>
    <t>Florida (fl)</t>
  </si>
  <si>
    <t>Illinois (il)</t>
  </si>
  <si>
    <t>New York (ny)</t>
  </si>
  <si>
    <t>Georgia (ga)</t>
  </si>
  <si>
    <t>Massachusetts (ma)</t>
  </si>
  <si>
    <t>Washington (wa)</t>
  </si>
  <si>
    <t>Ohio (oh)</t>
  </si>
  <si>
    <t>Virginia (va)</t>
  </si>
  <si>
    <t>Utah (ut)</t>
  </si>
  <si>
    <t>Kentucky (ky)</t>
  </si>
  <si>
    <t>North Carolina (nc)</t>
  </si>
  <si>
    <t>Colorado (co)</t>
  </si>
  <si>
    <t>Arizona (az)</t>
  </si>
  <si>
    <t>South Carolina (sc)</t>
  </si>
  <si>
    <t>Hawaii (hi)</t>
  </si>
  <si>
    <t>(7207*) Betonline 2026</t>
  </si>
  <si>
    <t>Splits: Order ID,Order,Campaign ID,Day,Audio Impressions</t>
  </si>
  <si>
    <t>Day</t>
  </si>
  <si>
    <t>$ By Day</t>
  </si>
  <si>
    <t>(7207*) Betonline 2026-1-01/2026-1-01</t>
  </si>
  <si>
    <t>(7207*) Betonline 2026-1-02/2025-1-02</t>
  </si>
  <si>
    <t>(7207*) Betonline 2026-1-03/2026-1-03</t>
  </si>
  <si>
    <t>(7207*) Betonline 2026-1-04/2026-1-04</t>
  </si>
  <si>
    <t xml:space="preserve">Filters: Order ID IN (7210;7212) </t>
  </si>
  <si>
    <t>(7210; 7212)</t>
  </si>
  <si>
    <t>(7210;7212) Betonline 2025</t>
  </si>
  <si>
    <t>(7210;7212)</t>
  </si>
  <si>
    <t>Adam Carolla Show</t>
  </si>
  <si>
    <t>"YOUR WELCOME" with Michael Malice</t>
  </si>
  <si>
    <t>The Adam and Dr. Drew Show</t>
  </si>
  <si>
    <t>The Steve Austin Show</t>
  </si>
  <si>
    <t>Notsam Wrestling</t>
  </si>
  <si>
    <t xml:space="preserve">CarCast </t>
  </si>
  <si>
    <t>One MANS Opinion with Jeff Mans</t>
  </si>
  <si>
    <t xml:space="preserve">The Morning After STL </t>
  </si>
  <si>
    <t>Plugged In with Chris Howard</t>
  </si>
  <si>
    <t>Going Racing with Adam Carolla</t>
  </si>
  <si>
    <t>The Michael Irvin Podcast</t>
  </si>
  <si>
    <t>Uncut with Jay Cutler</t>
  </si>
  <si>
    <t>The Big Podcast With Shaq</t>
  </si>
  <si>
    <t xml:space="preserve">No Gruffs Given with Sean Avery </t>
  </si>
  <si>
    <t xml:space="preserve">Big Shot Bob Pod with Robert Horry </t>
  </si>
  <si>
    <t xml:space="preserve">Everyday Greatness: The Ray Lewis Podcast </t>
  </si>
  <si>
    <t>Jim Beaver's Project Action</t>
  </si>
  <si>
    <t>Dr. Hockey</t>
  </si>
  <si>
    <t xml:space="preserve">The Deegans </t>
  </si>
  <si>
    <t>Foley Is Pod</t>
  </si>
  <si>
    <t xml:space="preserve">Hotboxin With Mike Tyson </t>
  </si>
  <si>
    <t>(7211);(7213)</t>
  </si>
  <si>
    <t>(7211);(7213) Betonline 2025</t>
  </si>
  <si>
    <t xml:space="preserve">Filters: Order ID IN (7210);(7211);(7212);(7213) </t>
  </si>
  <si>
    <t>(7210);(7211); (7212);(7213)</t>
  </si>
  <si>
    <t>Missouri (mo)</t>
  </si>
  <si>
    <t>Wisconsin (wi)</t>
  </si>
  <si>
    <t>District of Columbia (dc)</t>
  </si>
  <si>
    <t>Mississippi (ms)</t>
  </si>
  <si>
    <t>Montana (mt)</t>
  </si>
  <si>
    <t>South Dakota (sd)</t>
  </si>
  <si>
    <t>Alaska (ak)</t>
  </si>
  <si>
    <t>(7210);(7211);(7212);(7213) Betonline 2026</t>
  </si>
  <si>
    <t xml:space="preserve">Filters: Order ID IN (7208;7214) </t>
  </si>
  <si>
    <t>(7208;7214)</t>
  </si>
  <si>
    <t xml:space="preserve">Adam Carolla Show </t>
  </si>
  <si>
    <t xml:space="preserve">"YOUR WELCOME" with Michael Malice </t>
  </si>
  <si>
    <t xml:space="preserve">The Adam and Dr. Drew Show </t>
  </si>
  <si>
    <t xml:space="preserve">Notsam Wrestling </t>
  </si>
  <si>
    <t xml:space="preserve">One MANS Opinion with Jeff Mans </t>
  </si>
  <si>
    <t xml:space="preserve">Unplugged Chris Howard </t>
  </si>
  <si>
    <t xml:space="preserve">The Michael Irvin Podcast </t>
  </si>
  <si>
    <t xml:space="preserve">Uncut with Jay Cutler </t>
  </si>
  <si>
    <t xml:space="preserve">Going Racing with Adam Carolla </t>
  </si>
  <si>
    <t xml:space="preserve">Foley Is Pod </t>
  </si>
  <si>
    <t xml:space="preserve">Dr. Hockey </t>
  </si>
  <si>
    <t>(7209;7215)</t>
  </si>
  <si>
    <t>(7208;7214) Betonline 2026</t>
  </si>
  <si>
    <t>(7209;7215) Betonline 2026</t>
  </si>
  <si>
    <t>Filters: Order ID IN (7208);(7209);(7214);(7215)</t>
  </si>
  <si>
    <t>(7208);(7209);(7214);(7215)</t>
  </si>
  <si>
    <t>Minnesota (mn)</t>
  </si>
  <si>
    <t>Alabama (al)</t>
  </si>
  <si>
    <t>Oklahoma (ok)</t>
  </si>
  <si>
    <t>Idaho (id)</t>
  </si>
  <si>
    <t>New Mexico (nm)</t>
  </si>
  <si>
    <t>Delaware (de)</t>
  </si>
  <si>
    <t>North Dakota (nd)</t>
  </si>
  <si>
    <t>(7208);(7209);(7214);(7215) Betonline 2026</t>
  </si>
  <si>
    <t xml:space="preserve">Filters: Order ID IN (7208;7209;7214;7215) </t>
  </si>
  <si>
    <t>(7208;7209;7214;7215)</t>
  </si>
  <si>
    <t>(7208;7209;7214;7215) Betonline 2026</t>
  </si>
  <si>
    <t>(7208;7209;7214;7215) Betonline 2026-1-01/2025-1-01</t>
  </si>
  <si>
    <t>(7208;7209;7214;7215) Betonline 2026-1-02/2026-1-02</t>
  </si>
  <si>
    <t>(7208;7209;7214;7215) Betonline 2026-1-03/2026-1-03</t>
  </si>
  <si>
    <t>(7208;7209;7214;7215) Betonline 2026-1-04/2026-1-04</t>
  </si>
  <si>
    <t xml:space="preserve">Filters: Order ID IN (7210; 7211; 7212; 7213) </t>
  </si>
  <si>
    <t>(7210; 7211;7212;7213)</t>
  </si>
  <si>
    <t>(7210; 7211;7212;7213) Betonline 2026</t>
  </si>
  <si>
    <t>(7210; 7211;7212;7213) Betonline 2026-1-01/2026-1-01</t>
  </si>
  <si>
    <t>(7210; 7211;7212;7213) Betonline 2026-1-02/2026-1-02</t>
  </si>
  <si>
    <t>(7210; 7211;7212;7213) Betonline 2026-1-03/2026-1-03</t>
  </si>
  <si>
    <t>(7210; 7211;7212;7213) Betonline 2026-1-04/2026-1-04</t>
  </si>
  <si>
    <t>(7207*) Betonline 2026-1-05/2026-1-05</t>
  </si>
  <si>
    <t>(7207*) Betonline 2026-1-06/2026-1-06</t>
  </si>
  <si>
    <t>(7207*) Betonline 2026-1-07/2026-1-07</t>
  </si>
  <si>
    <t>(7207*) Betonline 2026-1-08/2026-1-08</t>
  </si>
  <si>
    <t>(7207*) Betonline 2026-1-09/2026-1-09</t>
  </si>
  <si>
    <t>(7207*) Betonline 2026-1-10/2026-1-10</t>
  </si>
  <si>
    <t>(7207*) Betonline 2026-1-11/2026-1-11</t>
  </si>
  <si>
    <t>(7210; 7211;7212;7213) Betonline 2026-1-05/2026-1-05</t>
  </si>
  <si>
    <t>(7210; 7211;7212;7213) Betonline 2026-1-06/2026-1-06</t>
  </si>
  <si>
    <t>(7210; 7211;7212;7213) Betonline 2026-1-07/2026-1-07</t>
  </si>
  <si>
    <t>(7210; 7211;7212;7213) Betonline 2026-1-08/2026-1-08</t>
  </si>
  <si>
    <t>(7210; 7211;7212;7213) Betonline 2026-1-09/2026-1-09</t>
  </si>
  <si>
    <t>(7210; 7211;7212;7213) Betonline 2026-1-10/2026-1-10</t>
  </si>
  <si>
    <t>(7210; 7211;7212;7213) Betonline 2026-1-11/2026-1-11</t>
  </si>
  <si>
    <t>(7208;7209;7214;7215) Betonline 2026-1-05/2026-1-05</t>
  </si>
  <si>
    <t>(7208;7209;7214;7215) Betonline 2026-1-06/2026-1-06</t>
  </si>
  <si>
    <t>(7208;7209;7214;7215) Betonline 2026-1-07/2026-1-07</t>
  </si>
  <si>
    <t>(7208;7209;7214;7215) Betonline 2026-1-08/2026-1-08</t>
  </si>
  <si>
    <t>(7208;7209;7214;7215) Betonline 2026-1-09/2026-1-09</t>
  </si>
  <si>
    <t>(7208;7209;7214;7215) Betonline 2026-1-10/2026-1-10</t>
  </si>
  <si>
    <t>(7208;7209;7214;7215) Betonline 2026-1-11/2026-1-11</t>
  </si>
  <si>
    <t>Interval: 2026-1-01/2026-1-18</t>
  </si>
  <si>
    <t>(7207) Betonline 2026-1-01/2026-1-18</t>
  </si>
  <si>
    <t>(7207*) Betonline 2026-1-01/2026-1-18</t>
  </si>
  <si>
    <t>(7207*) Betonline 2026-1-12/2026-1-12</t>
  </si>
  <si>
    <t>(7207*) Betonline 2026-1-13/2026-1-13</t>
  </si>
  <si>
    <t>(7207*) Betonline 2026-1-14/2026-1-14</t>
  </si>
  <si>
    <t>(7207*) Betonline 2026-1-15/2026-1-15</t>
  </si>
  <si>
    <t>(7207*) Betonline 2026-1-16/2026-1-16</t>
  </si>
  <si>
    <t>(7207*) Betonline 2026-1-17/2026-1-17</t>
  </si>
  <si>
    <t>(7207*) Betonline 2026-1-18/2026-1-18</t>
  </si>
  <si>
    <t>(7210;7212)) Betonline 2026-1-01/2026-1-18</t>
  </si>
  <si>
    <t>(7211);(7213) Betonline 2026-1-01/2026-1-18</t>
  </si>
  <si>
    <t>(7210);(7211);(7212);(7213) Betonline 2026-1-01/2026-1-18</t>
  </si>
  <si>
    <t>(7210; 7211;7212;7213) Betonline 2026-1-12/2026-1-12</t>
  </si>
  <si>
    <t>(7210; 7211;7212;7213) Betonline 2026-1-13/2026-1-13</t>
  </si>
  <si>
    <t>(7210; 7211;7212;7213) Betonline 2026-1-14/2026-1-14</t>
  </si>
  <si>
    <t>(7210; 7211;7212;7213) Betonline 2026-1-15/2026-1-15</t>
  </si>
  <si>
    <t>(7210; 7211;7212;7213) Betonline 2026-1-16/2026-1-16</t>
  </si>
  <si>
    <t>(7210; 7211;7212;7213) Betonline 2026-1-17/2026-1-17</t>
  </si>
  <si>
    <t>(7210; 7211;7212;7213) Betonline 2026-1-18/2026-1-18</t>
  </si>
  <si>
    <t>(7208;7214) Betonline 2026-1-01/2026-1-18</t>
  </si>
  <si>
    <t>(7209;7215) Betonline 2026-1-01/2026-1-18</t>
  </si>
  <si>
    <t>(7208);(7209);(7214);(7215) Betonline 2026-1-01/2026-1-18</t>
  </si>
  <si>
    <t>(7208;7209;7214;7215) Betonline 2026-1-12/2026-1-12</t>
  </si>
  <si>
    <t>(7208;7209;7214;7215) Betonline 2026-1-13/2026-1-13</t>
  </si>
  <si>
    <t>(7208;7209;7214;7215) Betonline 2026-1-14/2026-1-14</t>
  </si>
  <si>
    <t>(7208;7209;7214;7215) Betonline 2026-1-15/2026-1-15</t>
  </si>
  <si>
    <t>(7208;7209;7214;7215) Betonline 2026-1-16/2026-1-16</t>
  </si>
  <si>
    <t>(7208;7209;7214;7215) Betonline 2026-1-17/2026-1-17</t>
  </si>
  <si>
    <t>(7208;7209;7214;7215) Betonline 2026-1-18/2026-1-18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</si>
</sst>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1.5"/>
      <color rgb="FF222222"/>
      <name val="Aptos Narrow"/>
      <scheme val="minor"/>
    </font>
    <font>
      <sz val="10"/>
      <color theme="1"/>
      <name val="Helvetica"/>
      <family val="2"/>
    </font>
    <font>
      <b/>
      <sz val="10"/>
      <color rgb="FF000000"/>
      <name val="Helvetica Neue"/>
      <family val="2"/>
    </font>
    <font>
      <b/>
      <sz val="10"/>
      <color theme="1"/>
      <name val="Helvetica"/>
      <family val="2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2" borderId="0" xfId="0" applyFont="1" applyFill="1"/>
    <xf numFmtId="0" fontId="6" fillId="0" borderId="0" xfId="0" applyFont="1"/>
    <xf numFmtId="3" fontId="1" fillId="0" borderId="0" xfId="0" applyNumberFormat="1" applyFont="1"/>
    <xf numFmtId="0" fontId="5" fillId="0" borderId="0" xfId="0" applyFont="1"/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8" fontId="5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8" fontId="0" fillId="0" borderId="0" xfId="0" applyNumberFormat="1"/>
    <xf numFmtId="0" fontId="10" fillId="0" borderId="0" xfId="0" applyFont="1"/>
    <xf numFmtId="0" fontId="9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2A81-ECAF-D045-9B91-A65687CACEB9}">
  <dimension ref="A1:P108"/>
  <sheetViews>
    <sheetView tabSelected="1" workbookViewId="0">
      <selection activeCell="A5" sqref="A5:XFD5"/>
    </sheetView>
  </sheetViews>
  <sheetFormatPr baseColWidth="10" defaultRowHeight="15" x14ac:dyDescent="0.2"/>
  <cols>
    <col min="1" max="1" width="14.1640625" customWidth="1"/>
    <col min="3" max="3" width="13.5" customWidth="1"/>
    <col min="4" max="4" width="38.83203125" customWidth="1"/>
    <col min="5" max="5" width="52.5" customWidth="1"/>
    <col min="6" max="6" width="17" customWidth="1"/>
    <col min="7" max="7" width="23" customWidth="1"/>
    <col min="8" max="8" width="19.6640625" customWidth="1"/>
  </cols>
  <sheetData>
    <row r="1" spans="1:16" x14ac:dyDescent="0.2">
      <c r="A1" s="1" t="s">
        <v>208</v>
      </c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" t="s">
        <v>110</v>
      </c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">
      <c r="A4" s="4" t="s">
        <v>2</v>
      </c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">
      <c r="A6" s="21" t="s">
        <v>111</v>
      </c>
      <c r="B6" s="22" t="s">
        <v>112</v>
      </c>
      <c r="C6" s="22" t="s">
        <v>113</v>
      </c>
      <c r="D6" s="7" t="s">
        <v>218</v>
      </c>
      <c r="E6" s="3" t="s">
        <v>114</v>
      </c>
      <c r="F6" s="3">
        <v>67908</v>
      </c>
      <c r="G6" s="3"/>
      <c r="H6" s="3"/>
      <c r="I6" s="3"/>
    </row>
    <row r="7" spans="1:16" x14ac:dyDescent="0.2">
      <c r="A7" s="21" t="s">
        <v>111</v>
      </c>
      <c r="B7" s="22" t="s">
        <v>112</v>
      </c>
      <c r="C7" s="22" t="s">
        <v>113</v>
      </c>
      <c r="D7" s="7" t="s">
        <v>218</v>
      </c>
      <c r="E7" s="3" t="s">
        <v>115</v>
      </c>
      <c r="F7" s="3">
        <v>58249</v>
      </c>
      <c r="G7" s="3"/>
      <c r="H7" s="3"/>
      <c r="I7" s="3"/>
    </row>
    <row r="8" spans="1:16" x14ac:dyDescent="0.2">
      <c r="A8" s="6" t="s">
        <v>135</v>
      </c>
      <c r="B8" s="7" t="s">
        <v>136</v>
      </c>
      <c r="C8" s="7" t="s">
        <v>135</v>
      </c>
      <c r="D8" s="7" t="s">
        <v>219</v>
      </c>
      <c r="E8" s="3" t="s">
        <v>12</v>
      </c>
      <c r="F8" s="3">
        <v>57004</v>
      </c>
      <c r="G8" s="3"/>
      <c r="H8" s="3"/>
      <c r="I8" s="3"/>
    </row>
    <row r="9" spans="1:16" x14ac:dyDescent="0.2">
      <c r="A9" s="6" t="s">
        <v>135</v>
      </c>
      <c r="B9" s="7" t="s">
        <v>136</v>
      </c>
      <c r="C9" s="7" t="s">
        <v>135</v>
      </c>
      <c r="D9" s="7" t="s">
        <v>219</v>
      </c>
      <c r="E9" s="3" t="s">
        <v>17</v>
      </c>
      <c r="F9" s="3">
        <v>54162</v>
      </c>
      <c r="G9" s="3"/>
      <c r="H9" s="3"/>
      <c r="I9" s="3"/>
    </row>
    <row r="10" spans="1:16" x14ac:dyDescent="0.2">
      <c r="A10" s="21" t="s">
        <v>111</v>
      </c>
      <c r="B10" s="22" t="s">
        <v>112</v>
      </c>
      <c r="C10" s="22" t="s">
        <v>113</v>
      </c>
      <c r="D10" s="7" t="s">
        <v>218</v>
      </c>
      <c r="E10" s="3" t="s">
        <v>116</v>
      </c>
      <c r="F10" s="3">
        <v>50354</v>
      </c>
      <c r="G10" s="3"/>
      <c r="H10" s="3"/>
      <c r="I10" s="3"/>
    </row>
    <row r="11" spans="1:16" x14ac:dyDescent="0.2">
      <c r="A11" s="6" t="s">
        <v>135</v>
      </c>
      <c r="B11" s="7" t="s">
        <v>136</v>
      </c>
      <c r="C11" s="7" t="s">
        <v>135</v>
      </c>
      <c r="D11" s="7" t="s">
        <v>219</v>
      </c>
      <c r="E11" s="3" t="s">
        <v>29</v>
      </c>
      <c r="F11" s="3">
        <v>49385</v>
      </c>
      <c r="G11" s="3"/>
      <c r="H11" s="3"/>
      <c r="I11" s="3"/>
    </row>
    <row r="12" spans="1:16" x14ac:dyDescent="0.2">
      <c r="A12" s="21" t="s">
        <v>111</v>
      </c>
      <c r="B12" s="22" t="s">
        <v>112</v>
      </c>
      <c r="C12" s="22" t="s">
        <v>113</v>
      </c>
      <c r="D12" s="7" t="s">
        <v>218</v>
      </c>
      <c r="E12" s="3" t="s">
        <v>117</v>
      </c>
      <c r="F12" s="3">
        <v>49354</v>
      </c>
      <c r="G12" s="3"/>
      <c r="H12" s="3"/>
      <c r="I12" s="3"/>
    </row>
    <row r="13" spans="1:16" x14ac:dyDescent="0.2">
      <c r="A13" s="6" t="s">
        <v>135</v>
      </c>
      <c r="B13" s="7" t="s">
        <v>136</v>
      </c>
      <c r="C13" s="7" t="s">
        <v>135</v>
      </c>
      <c r="D13" s="7" t="s">
        <v>219</v>
      </c>
      <c r="E13" s="3" t="s">
        <v>11</v>
      </c>
      <c r="F13" s="3">
        <v>47793</v>
      </c>
      <c r="G13" s="3"/>
      <c r="H13" s="3"/>
      <c r="I13" s="3"/>
    </row>
    <row r="14" spans="1:16" x14ac:dyDescent="0.2">
      <c r="A14" s="21" t="s">
        <v>111</v>
      </c>
      <c r="B14" s="22" t="s">
        <v>112</v>
      </c>
      <c r="C14" s="22" t="s">
        <v>113</v>
      </c>
      <c r="D14" s="7" t="s">
        <v>218</v>
      </c>
      <c r="E14" s="3" t="s">
        <v>118</v>
      </c>
      <c r="F14" s="3">
        <v>44961</v>
      </c>
      <c r="G14" s="3"/>
      <c r="H14" s="3"/>
      <c r="I14" s="3"/>
    </row>
    <row r="15" spans="1:16" x14ac:dyDescent="0.2">
      <c r="A15" s="6" t="s">
        <v>135</v>
      </c>
      <c r="B15" s="7" t="s">
        <v>136</v>
      </c>
      <c r="C15" s="7" t="s">
        <v>135</v>
      </c>
      <c r="D15" s="7" t="s">
        <v>219</v>
      </c>
      <c r="E15" s="3" t="s">
        <v>10</v>
      </c>
      <c r="F15" s="3">
        <v>44469</v>
      </c>
      <c r="G15" s="3"/>
      <c r="H15" s="3"/>
      <c r="I15" s="3"/>
    </row>
    <row r="16" spans="1:16" x14ac:dyDescent="0.2">
      <c r="A16" s="6" t="s">
        <v>135</v>
      </c>
      <c r="B16" s="7" t="s">
        <v>136</v>
      </c>
      <c r="C16" s="7" t="s">
        <v>135</v>
      </c>
      <c r="D16" s="7" t="s">
        <v>219</v>
      </c>
      <c r="E16" s="3" t="s">
        <v>16</v>
      </c>
      <c r="F16" s="3">
        <v>42057</v>
      </c>
      <c r="G16" s="3"/>
      <c r="H16" s="3"/>
      <c r="I16" s="3"/>
    </row>
    <row r="17" spans="1:12" x14ac:dyDescent="0.2">
      <c r="A17" s="6" t="s">
        <v>135</v>
      </c>
      <c r="B17" s="7" t="s">
        <v>136</v>
      </c>
      <c r="C17" s="7" t="s">
        <v>135</v>
      </c>
      <c r="D17" s="7" t="s">
        <v>219</v>
      </c>
      <c r="E17" s="3" t="s">
        <v>21</v>
      </c>
      <c r="F17" s="3">
        <v>40152</v>
      </c>
      <c r="G17" s="3"/>
      <c r="H17" s="3"/>
      <c r="I17" s="3"/>
    </row>
    <row r="18" spans="1:12" x14ac:dyDescent="0.2">
      <c r="A18" s="21" t="s">
        <v>111</v>
      </c>
      <c r="B18" s="22" t="s">
        <v>112</v>
      </c>
      <c r="C18" s="22" t="s">
        <v>113</v>
      </c>
      <c r="D18" s="7" t="s">
        <v>218</v>
      </c>
      <c r="E18" s="3" t="s">
        <v>119</v>
      </c>
      <c r="F18" s="3">
        <v>35003</v>
      </c>
      <c r="G18" s="3"/>
      <c r="H18" s="3"/>
      <c r="I18" s="3"/>
    </row>
    <row r="19" spans="1:12" x14ac:dyDescent="0.2">
      <c r="A19" s="6" t="s">
        <v>135</v>
      </c>
      <c r="B19" s="7" t="s">
        <v>136</v>
      </c>
      <c r="C19" s="7" t="s">
        <v>135</v>
      </c>
      <c r="D19" s="7" t="s">
        <v>219</v>
      </c>
      <c r="E19" s="3" t="s">
        <v>20</v>
      </c>
      <c r="F19" s="3">
        <v>34518</v>
      </c>
      <c r="G19" s="3"/>
      <c r="H19" s="3"/>
      <c r="I19" s="3"/>
    </row>
    <row r="20" spans="1:12" x14ac:dyDescent="0.2">
      <c r="A20" s="6" t="s">
        <v>135</v>
      </c>
      <c r="B20" s="7" t="s">
        <v>136</v>
      </c>
      <c r="C20" s="7" t="s">
        <v>135</v>
      </c>
      <c r="D20" s="7" t="s">
        <v>219</v>
      </c>
      <c r="E20" s="3" t="s">
        <v>13</v>
      </c>
      <c r="F20" s="3">
        <v>33846</v>
      </c>
      <c r="G20" s="3"/>
      <c r="H20" s="3"/>
      <c r="I20" s="3"/>
    </row>
    <row r="21" spans="1:12" x14ac:dyDescent="0.2">
      <c r="A21" s="6" t="s">
        <v>135</v>
      </c>
      <c r="B21" s="7" t="s">
        <v>136</v>
      </c>
      <c r="C21" s="7" t="s">
        <v>135</v>
      </c>
      <c r="D21" s="7" t="s">
        <v>219</v>
      </c>
      <c r="E21" s="3" t="s">
        <v>18</v>
      </c>
      <c r="F21" s="3">
        <v>33309</v>
      </c>
      <c r="G21" s="3"/>
      <c r="H21" s="3"/>
      <c r="I21" s="3"/>
    </row>
    <row r="22" spans="1:12" x14ac:dyDescent="0.2">
      <c r="A22" s="6" t="s">
        <v>135</v>
      </c>
      <c r="B22" s="7" t="s">
        <v>136</v>
      </c>
      <c r="C22" s="7" t="s">
        <v>135</v>
      </c>
      <c r="D22" s="7" t="s">
        <v>219</v>
      </c>
      <c r="E22" s="3" t="s">
        <v>30</v>
      </c>
      <c r="F22" s="3">
        <v>31355</v>
      </c>
      <c r="G22" s="3"/>
      <c r="H22" s="3"/>
      <c r="I22" s="3"/>
    </row>
    <row r="23" spans="1:12" x14ac:dyDescent="0.2">
      <c r="A23" s="6" t="s">
        <v>135</v>
      </c>
      <c r="B23" s="7" t="s">
        <v>136</v>
      </c>
      <c r="C23" s="7" t="s">
        <v>135</v>
      </c>
      <c r="D23" s="7" t="s">
        <v>219</v>
      </c>
      <c r="E23" s="3" t="s">
        <v>15</v>
      </c>
      <c r="F23" s="3">
        <v>29684</v>
      </c>
      <c r="G23" s="3"/>
      <c r="H23" s="3"/>
      <c r="I23" s="3"/>
    </row>
    <row r="24" spans="1:12" x14ac:dyDescent="0.2">
      <c r="A24" s="6" t="s">
        <v>135</v>
      </c>
      <c r="B24" s="7" t="s">
        <v>136</v>
      </c>
      <c r="C24" s="7" t="s">
        <v>135</v>
      </c>
      <c r="D24" s="7" t="s">
        <v>219</v>
      </c>
      <c r="E24" s="3" t="s">
        <v>28</v>
      </c>
      <c r="F24" s="3">
        <v>28219</v>
      </c>
      <c r="G24" s="7"/>
      <c r="H24" s="3"/>
      <c r="I24" s="3"/>
    </row>
    <row r="25" spans="1:12" x14ac:dyDescent="0.2">
      <c r="A25" s="6" t="s">
        <v>135</v>
      </c>
      <c r="B25" s="7" t="s">
        <v>136</v>
      </c>
      <c r="C25" s="7" t="s">
        <v>135</v>
      </c>
      <c r="D25" s="7" t="s">
        <v>219</v>
      </c>
      <c r="E25" s="3" t="s">
        <v>9</v>
      </c>
      <c r="F25" s="3">
        <v>25800</v>
      </c>
      <c r="G25" s="3"/>
      <c r="H25" s="3"/>
      <c r="I25" s="3"/>
    </row>
    <row r="26" spans="1:12" x14ac:dyDescent="0.2">
      <c r="A26" s="6" t="s">
        <v>135</v>
      </c>
      <c r="B26" s="7" t="s">
        <v>136</v>
      </c>
      <c r="C26" s="7" t="s">
        <v>135</v>
      </c>
      <c r="D26" s="7" t="s">
        <v>219</v>
      </c>
      <c r="E26" s="3" t="s">
        <v>26</v>
      </c>
      <c r="F26" s="3">
        <v>24911</v>
      </c>
      <c r="G26" s="3"/>
      <c r="H26" s="3"/>
      <c r="I26" s="3"/>
    </row>
    <row r="27" spans="1:12" x14ac:dyDescent="0.2">
      <c r="A27" s="6" t="s">
        <v>135</v>
      </c>
      <c r="B27" s="7" t="s">
        <v>136</v>
      </c>
      <c r="C27" s="7" t="s">
        <v>135</v>
      </c>
      <c r="D27" s="7" t="s">
        <v>219</v>
      </c>
      <c r="E27" s="3" t="s">
        <v>52</v>
      </c>
      <c r="F27" s="3">
        <v>24620</v>
      </c>
      <c r="G27" s="3"/>
      <c r="H27" s="3"/>
      <c r="I27" s="3"/>
      <c r="J27" s="3"/>
      <c r="K27" s="3"/>
      <c r="L27" s="3"/>
    </row>
    <row r="28" spans="1:12" x14ac:dyDescent="0.2">
      <c r="A28" s="6" t="s">
        <v>135</v>
      </c>
      <c r="B28" s="7" t="s">
        <v>136</v>
      </c>
      <c r="C28" s="7" t="s">
        <v>135</v>
      </c>
      <c r="D28" s="7" t="s">
        <v>219</v>
      </c>
      <c r="E28" s="3" t="s">
        <v>34</v>
      </c>
      <c r="F28" s="3">
        <v>21961</v>
      </c>
      <c r="G28" s="3"/>
      <c r="H28" s="3"/>
      <c r="I28" s="3"/>
      <c r="J28" s="3"/>
      <c r="K28" s="3"/>
      <c r="L28" s="3"/>
    </row>
    <row r="29" spans="1:12" x14ac:dyDescent="0.2">
      <c r="A29" s="21" t="s">
        <v>111</v>
      </c>
      <c r="B29" s="22" t="s">
        <v>112</v>
      </c>
      <c r="C29" s="22" t="s">
        <v>113</v>
      </c>
      <c r="D29" s="7" t="s">
        <v>218</v>
      </c>
      <c r="E29" s="3" t="s">
        <v>122</v>
      </c>
      <c r="F29" s="3">
        <v>21603</v>
      </c>
      <c r="G29" s="3"/>
      <c r="H29" s="3"/>
      <c r="I29" s="7"/>
      <c r="J29" s="3"/>
      <c r="K29" s="3"/>
      <c r="L29" s="3"/>
    </row>
    <row r="30" spans="1:12" x14ac:dyDescent="0.2">
      <c r="A30" s="6" t="s">
        <v>135</v>
      </c>
      <c r="B30" s="7" t="s">
        <v>136</v>
      </c>
      <c r="C30" s="7" t="s">
        <v>135</v>
      </c>
      <c r="D30" s="7" t="s">
        <v>219</v>
      </c>
      <c r="E30" s="3" t="s">
        <v>44</v>
      </c>
      <c r="F30" s="3">
        <v>20762</v>
      </c>
      <c r="G30" s="3"/>
      <c r="H30" s="3"/>
      <c r="I30" s="7"/>
      <c r="J30" s="3"/>
      <c r="K30" s="3"/>
      <c r="L30" s="3"/>
    </row>
    <row r="31" spans="1:12" x14ac:dyDescent="0.2">
      <c r="A31" s="6" t="s">
        <v>135</v>
      </c>
      <c r="B31" s="7" t="s">
        <v>136</v>
      </c>
      <c r="C31" s="7" t="s">
        <v>135</v>
      </c>
      <c r="D31" s="7" t="s">
        <v>219</v>
      </c>
      <c r="E31" s="3" t="s">
        <v>36</v>
      </c>
      <c r="F31" s="3">
        <v>19284</v>
      </c>
      <c r="G31" s="3"/>
      <c r="H31" s="3"/>
      <c r="I31" s="3"/>
      <c r="J31" s="3"/>
      <c r="K31" s="3"/>
      <c r="L31" s="3"/>
    </row>
    <row r="32" spans="1:12" x14ac:dyDescent="0.2">
      <c r="A32" s="6" t="s">
        <v>135</v>
      </c>
      <c r="B32" s="7" t="s">
        <v>136</v>
      </c>
      <c r="C32" s="7" t="s">
        <v>135</v>
      </c>
      <c r="D32" s="7" t="s">
        <v>219</v>
      </c>
      <c r="E32" s="3" t="s">
        <v>32</v>
      </c>
      <c r="F32" s="3">
        <v>18828</v>
      </c>
      <c r="G32" s="3"/>
      <c r="H32" s="3"/>
      <c r="I32" s="7"/>
      <c r="J32" s="3"/>
      <c r="K32" s="3"/>
      <c r="L32" s="7"/>
    </row>
    <row r="33" spans="1:14" x14ac:dyDescent="0.2">
      <c r="A33" s="21" t="s">
        <v>111</v>
      </c>
      <c r="B33" s="22" t="s">
        <v>112</v>
      </c>
      <c r="C33" s="22" t="s">
        <v>113</v>
      </c>
      <c r="D33" s="7" t="s">
        <v>218</v>
      </c>
      <c r="E33" s="3" t="s">
        <v>123</v>
      </c>
      <c r="F33" s="3">
        <v>17434</v>
      </c>
      <c r="G33" s="3"/>
      <c r="H33" s="3"/>
      <c r="I33" s="7"/>
      <c r="J33" s="3"/>
      <c r="K33" s="3"/>
      <c r="L33" s="3"/>
      <c r="N33" s="3"/>
    </row>
    <row r="34" spans="1:14" x14ac:dyDescent="0.2">
      <c r="A34" s="6" t="s">
        <v>135</v>
      </c>
      <c r="B34" s="7" t="s">
        <v>136</v>
      </c>
      <c r="C34" s="7" t="s">
        <v>135</v>
      </c>
      <c r="D34" s="7" t="s">
        <v>219</v>
      </c>
      <c r="E34" s="3" t="s">
        <v>25</v>
      </c>
      <c r="F34" s="3">
        <v>16363</v>
      </c>
      <c r="G34" s="3"/>
      <c r="H34" s="3"/>
      <c r="I34" s="3"/>
      <c r="J34" s="3"/>
      <c r="K34" s="3"/>
      <c r="L34" s="3"/>
      <c r="N34" s="3"/>
    </row>
    <row r="35" spans="1:14" x14ac:dyDescent="0.2">
      <c r="A35" s="6" t="s">
        <v>135</v>
      </c>
      <c r="B35" s="7" t="s">
        <v>136</v>
      </c>
      <c r="C35" s="7" t="s">
        <v>135</v>
      </c>
      <c r="D35" s="7" t="s">
        <v>219</v>
      </c>
      <c r="E35" s="3" t="s">
        <v>27</v>
      </c>
      <c r="F35" s="3">
        <v>15212</v>
      </c>
      <c r="G35" s="3"/>
      <c r="H35" s="3"/>
      <c r="I35" s="7"/>
      <c r="J35" s="3"/>
      <c r="K35" s="3"/>
      <c r="L35" s="3"/>
      <c r="N35" s="3"/>
    </row>
    <row r="36" spans="1:14" x14ac:dyDescent="0.2">
      <c r="A36" s="21" t="s">
        <v>111</v>
      </c>
      <c r="B36" s="22" t="s">
        <v>112</v>
      </c>
      <c r="C36" s="22" t="s">
        <v>113</v>
      </c>
      <c r="D36" s="7" t="s">
        <v>218</v>
      </c>
      <c r="E36" s="7" t="s">
        <v>121</v>
      </c>
      <c r="F36" s="7">
        <v>14455</v>
      </c>
      <c r="G36" s="3"/>
      <c r="H36" s="3"/>
      <c r="I36" s="3"/>
      <c r="J36" s="3"/>
      <c r="K36" s="3"/>
      <c r="L36" s="3"/>
      <c r="N36" s="3"/>
    </row>
    <row r="37" spans="1:14" x14ac:dyDescent="0.2">
      <c r="A37" s="21" t="s">
        <v>111</v>
      </c>
      <c r="B37" s="22" t="s">
        <v>112</v>
      </c>
      <c r="C37" s="22" t="s">
        <v>113</v>
      </c>
      <c r="D37" s="7" t="s">
        <v>218</v>
      </c>
      <c r="E37" s="7" t="s">
        <v>120</v>
      </c>
      <c r="F37" s="7">
        <v>13786</v>
      </c>
      <c r="G37" s="3"/>
      <c r="H37" s="3"/>
      <c r="I37" s="3"/>
      <c r="J37" s="3"/>
      <c r="K37" s="3"/>
      <c r="L37" s="3"/>
    </row>
    <row r="38" spans="1:14" x14ac:dyDescent="0.2">
      <c r="A38" s="6" t="s">
        <v>135</v>
      </c>
      <c r="B38" s="7" t="s">
        <v>136</v>
      </c>
      <c r="C38" s="7" t="s">
        <v>135</v>
      </c>
      <c r="D38" s="7" t="s">
        <v>219</v>
      </c>
      <c r="E38" s="3" t="s">
        <v>31</v>
      </c>
      <c r="F38" s="3">
        <v>13614</v>
      </c>
      <c r="G38" s="3"/>
      <c r="H38" s="3"/>
      <c r="I38" s="3"/>
      <c r="J38" s="3"/>
      <c r="K38" s="3"/>
      <c r="L38" s="3"/>
    </row>
    <row r="39" spans="1:14" x14ac:dyDescent="0.2">
      <c r="A39" s="6" t="s">
        <v>135</v>
      </c>
      <c r="B39" s="7" t="s">
        <v>136</v>
      </c>
      <c r="C39" s="7" t="s">
        <v>135</v>
      </c>
      <c r="D39" s="7" t="s">
        <v>219</v>
      </c>
      <c r="E39" s="3" t="s">
        <v>23</v>
      </c>
      <c r="F39" s="3">
        <v>12899</v>
      </c>
      <c r="G39" s="3"/>
      <c r="H39" s="3"/>
      <c r="I39" s="7"/>
      <c r="J39" s="3"/>
      <c r="K39" s="3"/>
      <c r="L39" s="3"/>
    </row>
    <row r="40" spans="1:14" x14ac:dyDescent="0.2">
      <c r="A40" s="6" t="s">
        <v>135</v>
      </c>
      <c r="B40" s="7" t="s">
        <v>136</v>
      </c>
      <c r="C40" s="7" t="s">
        <v>135</v>
      </c>
      <c r="D40" s="7" t="s">
        <v>219</v>
      </c>
      <c r="E40" s="3" t="s">
        <v>22</v>
      </c>
      <c r="F40" s="3">
        <v>12516</v>
      </c>
      <c r="G40" s="3"/>
      <c r="H40" s="3"/>
      <c r="I40" s="7"/>
      <c r="J40" s="3"/>
      <c r="K40" s="3"/>
      <c r="L40" s="3"/>
    </row>
    <row r="41" spans="1:14" x14ac:dyDescent="0.2">
      <c r="A41" s="6" t="s">
        <v>135</v>
      </c>
      <c r="B41" s="7" t="s">
        <v>136</v>
      </c>
      <c r="C41" s="7" t="s">
        <v>135</v>
      </c>
      <c r="D41" s="7" t="s">
        <v>219</v>
      </c>
      <c r="E41" s="3" t="s">
        <v>19</v>
      </c>
      <c r="F41" s="3">
        <v>11779</v>
      </c>
      <c r="G41" s="3"/>
      <c r="H41" s="3"/>
      <c r="I41" s="7"/>
      <c r="J41" s="3"/>
      <c r="K41" s="3"/>
      <c r="L41" s="3"/>
    </row>
    <row r="42" spans="1:14" x14ac:dyDescent="0.2">
      <c r="A42" s="6" t="s">
        <v>135</v>
      </c>
      <c r="B42" s="7" t="s">
        <v>136</v>
      </c>
      <c r="C42" s="7" t="s">
        <v>135</v>
      </c>
      <c r="D42" s="7" t="s">
        <v>219</v>
      </c>
      <c r="E42" s="3" t="s">
        <v>24</v>
      </c>
      <c r="F42" s="3">
        <v>11213</v>
      </c>
      <c r="G42" s="3"/>
      <c r="H42" s="3"/>
      <c r="I42" s="7"/>
      <c r="J42" s="3"/>
      <c r="K42" s="3"/>
      <c r="L42" s="3"/>
    </row>
    <row r="43" spans="1:14" x14ac:dyDescent="0.2">
      <c r="A43" s="6" t="s">
        <v>135</v>
      </c>
      <c r="B43" s="7" t="s">
        <v>136</v>
      </c>
      <c r="C43" s="7" t="s">
        <v>135</v>
      </c>
      <c r="D43" s="7" t="s">
        <v>219</v>
      </c>
      <c r="E43" s="3" t="s">
        <v>14</v>
      </c>
      <c r="F43" s="3">
        <v>10846</v>
      </c>
      <c r="G43" s="3"/>
      <c r="H43" s="3"/>
      <c r="I43" s="7"/>
      <c r="J43" s="3"/>
      <c r="K43" s="3"/>
      <c r="L43" s="3"/>
    </row>
    <row r="44" spans="1:14" x14ac:dyDescent="0.2">
      <c r="A44" s="6" t="s">
        <v>135</v>
      </c>
      <c r="B44" s="7" t="s">
        <v>136</v>
      </c>
      <c r="C44" s="7" t="s">
        <v>135</v>
      </c>
      <c r="D44" s="7" t="s">
        <v>219</v>
      </c>
      <c r="E44" s="3" t="s">
        <v>40</v>
      </c>
      <c r="F44" s="3">
        <v>9439</v>
      </c>
      <c r="G44" s="3"/>
      <c r="H44" s="3"/>
      <c r="I44" s="7"/>
      <c r="J44" s="3"/>
      <c r="K44" s="3"/>
      <c r="L44" s="3"/>
    </row>
    <row r="45" spans="1:14" x14ac:dyDescent="0.2">
      <c r="A45" s="6" t="s">
        <v>135</v>
      </c>
      <c r="B45" s="7" t="s">
        <v>136</v>
      </c>
      <c r="C45" s="7" t="s">
        <v>135</v>
      </c>
      <c r="D45" s="7" t="s">
        <v>219</v>
      </c>
      <c r="E45" s="3" t="s">
        <v>50</v>
      </c>
      <c r="F45" s="3">
        <v>9438</v>
      </c>
      <c r="G45" s="3"/>
      <c r="H45" s="3"/>
      <c r="I45" s="7"/>
      <c r="J45" s="3"/>
      <c r="K45" s="3"/>
      <c r="L45" s="3"/>
    </row>
    <row r="46" spans="1:14" x14ac:dyDescent="0.2">
      <c r="A46" s="6" t="s">
        <v>135</v>
      </c>
      <c r="B46" s="7" t="s">
        <v>136</v>
      </c>
      <c r="C46" s="7" t="s">
        <v>135</v>
      </c>
      <c r="D46" s="7" t="s">
        <v>219</v>
      </c>
      <c r="E46" s="3" t="s">
        <v>43</v>
      </c>
      <c r="F46" s="3">
        <v>9065</v>
      </c>
      <c r="G46" s="3"/>
      <c r="H46" s="3"/>
      <c r="I46" s="7"/>
      <c r="J46" s="3"/>
      <c r="K46" s="3"/>
      <c r="L46" s="3"/>
    </row>
    <row r="47" spans="1:14" x14ac:dyDescent="0.2">
      <c r="A47" s="6" t="s">
        <v>135</v>
      </c>
      <c r="B47" s="7" t="s">
        <v>136</v>
      </c>
      <c r="C47" s="7" t="s">
        <v>135</v>
      </c>
      <c r="D47" s="7" t="s">
        <v>219</v>
      </c>
      <c r="E47" s="3" t="s">
        <v>41</v>
      </c>
      <c r="F47" s="3">
        <v>9057</v>
      </c>
      <c r="G47" s="3"/>
      <c r="H47" s="3"/>
      <c r="I47" s="3"/>
      <c r="J47" s="3"/>
      <c r="K47" s="3"/>
      <c r="L47" s="3"/>
    </row>
    <row r="48" spans="1:14" x14ac:dyDescent="0.2">
      <c r="A48" s="6" t="s">
        <v>135</v>
      </c>
      <c r="B48" s="7" t="s">
        <v>136</v>
      </c>
      <c r="C48" s="7" t="s">
        <v>135</v>
      </c>
      <c r="D48" s="7" t="s">
        <v>219</v>
      </c>
      <c r="E48" s="3" t="s">
        <v>51</v>
      </c>
      <c r="F48" s="3">
        <v>8817</v>
      </c>
      <c r="G48" s="3"/>
      <c r="H48" s="3"/>
      <c r="I48" s="3"/>
      <c r="J48" s="3"/>
      <c r="K48" s="3"/>
      <c r="L48" s="3"/>
    </row>
    <row r="49" spans="1:14" x14ac:dyDescent="0.2">
      <c r="A49" s="6" t="s">
        <v>135</v>
      </c>
      <c r="B49" s="7" t="s">
        <v>136</v>
      </c>
      <c r="C49" s="7" t="s">
        <v>135</v>
      </c>
      <c r="D49" s="7" t="s">
        <v>219</v>
      </c>
      <c r="E49" s="3" t="s">
        <v>47</v>
      </c>
      <c r="F49" s="3">
        <v>8341</v>
      </c>
      <c r="G49" s="3"/>
      <c r="H49" s="3"/>
      <c r="I49" s="3"/>
      <c r="J49" s="3"/>
      <c r="K49" s="3"/>
      <c r="L49" s="3"/>
    </row>
    <row r="50" spans="1:14" x14ac:dyDescent="0.2">
      <c r="A50" s="6" t="s">
        <v>135</v>
      </c>
      <c r="B50" s="7" t="s">
        <v>136</v>
      </c>
      <c r="C50" s="7" t="s">
        <v>135</v>
      </c>
      <c r="D50" s="7" t="s">
        <v>219</v>
      </c>
      <c r="E50" s="3" t="s">
        <v>68</v>
      </c>
      <c r="F50" s="3">
        <v>8292</v>
      </c>
      <c r="G50" s="3"/>
      <c r="H50" s="3"/>
      <c r="I50" s="3"/>
      <c r="J50" s="3"/>
      <c r="K50" s="3"/>
      <c r="L50" s="3"/>
    </row>
    <row r="51" spans="1:14" x14ac:dyDescent="0.2">
      <c r="A51" s="21" t="s">
        <v>111</v>
      </c>
      <c r="B51" s="22" t="s">
        <v>112</v>
      </c>
      <c r="C51" s="22" t="s">
        <v>113</v>
      </c>
      <c r="D51" s="7" t="s">
        <v>218</v>
      </c>
      <c r="E51" s="3" t="s">
        <v>124</v>
      </c>
      <c r="F51" s="3">
        <v>7947</v>
      </c>
      <c r="G51" s="3"/>
      <c r="H51" s="3"/>
      <c r="I51" s="7"/>
      <c r="J51" s="3"/>
      <c r="K51" s="3"/>
      <c r="L51" s="3"/>
    </row>
    <row r="52" spans="1:14" x14ac:dyDescent="0.2">
      <c r="A52" s="6" t="s">
        <v>135</v>
      </c>
      <c r="B52" s="7" t="s">
        <v>136</v>
      </c>
      <c r="C52" s="7" t="s">
        <v>135</v>
      </c>
      <c r="D52" s="7" t="s">
        <v>219</v>
      </c>
      <c r="E52" s="3" t="s">
        <v>42</v>
      </c>
      <c r="F52" s="3">
        <v>7800</v>
      </c>
      <c r="G52" s="3"/>
      <c r="H52" s="3"/>
      <c r="I52" s="7"/>
      <c r="J52" s="3"/>
      <c r="K52" s="3"/>
      <c r="L52" s="3"/>
    </row>
    <row r="53" spans="1:14" x14ac:dyDescent="0.2">
      <c r="A53" s="6" t="s">
        <v>135</v>
      </c>
      <c r="B53" s="7" t="s">
        <v>136</v>
      </c>
      <c r="C53" s="7" t="s">
        <v>135</v>
      </c>
      <c r="D53" s="7" t="s">
        <v>219</v>
      </c>
      <c r="E53" s="3" t="s">
        <v>37</v>
      </c>
      <c r="F53" s="3">
        <v>7536</v>
      </c>
      <c r="G53" s="3"/>
      <c r="H53" s="3"/>
      <c r="I53" s="7"/>
      <c r="J53" s="3"/>
      <c r="K53" s="3"/>
      <c r="L53" s="3"/>
    </row>
    <row r="54" spans="1:14" x14ac:dyDescent="0.2">
      <c r="A54" s="6" t="s">
        <v>135</v>
      </c>
      <c r="B54" s="7" t="s">
        <v>136</v>
      </c>
      <c r="C54" s="7" t="s">
        <v>135</v>
      </c>
      <c r="D54" s="7" t="s">
        <v>219</v>
      </c>
      <c r="E54" s="3" t="s">
        <v>39</v>
      </c>
      <c r="F54" s="3">
        <v>7344</v>
      </c>
      <c r="G54" s="3"/>
      <c r="H54" s="3"/>
      <c r="I54" s="7"/>
      <c r="J54" s="3"/>
      <c r="K54" s="3"/>
      <c r="L54" s="3"/>
    </row>
    <row r="55" spans="1:14" x14ac:dyDescent="0.2">
      <c r="A55" s="6" t="s">
        <v>135</v>
      </c>
      <c r="B55" s="7" t="s">
        <v>136</v>
      </c>
      <c r="C55" s="7" t="s">
        <v>135</v>
      </c>
      <c r="D55" s="7" t="s">
        <v>219</v>
      </c>
      <c r="E55" s="3" t="s">
        <v>33</v>
      </c>
      <c r="F55" s="3">
        <v>7185</v>
      </c>
      <c r="G55" s="3"/>
      <c r="H55" s="3"/>
      <c r="I55" s="7"/>
      <c r="J55" s="3"/>
      <c r="K55" s="3"/>
      <c r="L55" s="3"/>
    </row>
    <row r="56" spans="1:14" x14ac:dyDescent="0.2">
      <c r="A56" s="6" t="s">
        <v>135</v>
      </c>
      <c r="B56" s="7" t="s">
        <v>136</v>
      </c>
      <c r="C56" s="7" t="s">
        <v>135</v>
      </c>
      <c r="D56" s="7" t="s">
        <v>219</v>
      </c>
      <c r="E56" s="3" t="s">
        <v>38</v>
      </c>
      <c r="F56" s="3">
        <v>6851</v>
      </c>
      <c r="G56" s="3"/>
      <c r="H56" s="3"/>
      <c r="I56" s="7"/>
      <c r="J56" s="3"/>
      <c r="K56" s="3"/>
      <c r="L56" s="3"/>
    </row>
    <row r="57" spans="1:14" x14ac:dyDescent="0.2">
      <c r="A57" s="21" t="s">
        <v>111</v>
      </c>
      <c r="B57" s="22" t="s">
        <v>112</v>
      </c>
      <c r="C57" s="22" t="s">
        <v>113</v>
      </c>
      <c r="D57" s="7" t="s">
        <v>218</v>
      </c>
      <c r="E57" s="3" t="s">
        <v>125</v>
      </c>
      <c r="F57" s="3">
        <v>6777</v>
      </c>
      <c r="G57" s="3"/>
      <c r="H57" s="3"/>
      <c r="I57" s="7"/>
      <c r="J57" s="3"/>
      <c r="K57" s="3"/>
      <c r="L57" s="3"/>
    </row>
    <row r="58" spans="1:14" x14ac:dyDescent="0.2">
      <c r="A58" s="21" t="s">
        <v>111</v>
      </c>
      <c r="B58" s="22" t="s">
        <v>112</v>
      </c>
      <c r="C58" s="22" t="s">
        <v>113</v>
      </c>
      <c r="D58" s="7" t="s">
        <v>218</v>
      </c>
      <c r="E58" s="3" t="s">
        <v>126</v>
      </c>
      <c r="F58" s="3">
        <v>5924</v>
      </c>
      <c r="G58" s="3"/>
      <c r="H58" s="3"/>
      <c r="I58" s="7"/>
      <c r="J58" s="3"/>
      <c r="K58" s="3"/>
      <c r="L58" s="3"/>
    </row>
    <row r="59" spans="1:14" x14ac:dyDescent="0.2">
      <c r="A59" s="6" t="s">
        <v>135</v>
      </c>
      <c r="B59" s="7" t="s">
        <v>136</v>
      </c>
      <c r="C59" s="7" t="s">
        <v>135</v>
      </c>
      <c r="D59" s="7" t="s">
        <v>219</v>
      </c>
      <c r="E59" s="3" t="s">
        <v>35</v>
      </c>
      <c r="F59" s="3">
        <v>5903</v>
      </c>
      <c r="G59" s="3"/>
      <c r="H59" s="3"/>
      <c r="I59" s="7"/>
      <c r="J59" s="3"/>
      <c r="K59" s="3"/>
      <c r="L59" s="3"/>
    </row>
    <row r="60" spans="1:14" x14ac:dyDescent="0.2">
      <c r="A60" s="6" t="s">
        <v>135</v>
      </c>
      <c r="B60" s="7" t="s">
        <v>136</v>
      </c>
      <c r="C60" s="7" t="s">
        <v>135</v>
      </c>
      <c r="D60" s="7" t="s">
        <v>219</v>
      </c>
      <c r="E60" s="3" t="s">
        <v>45</v>
      </c>
      <c r="F60" s="3">
        <v>5693</v>
      </c>
      <c r="G60" s="3"/>
      <c r="H60" s="3"/>
      <c r="I60" s="7"/>
      <c r="J60" s="3"/>
      <c r="K60" s="3"/>
      <c r="L60" s="3"/>
    </row>
    <row r="61" spans="1:14" x14ac:dyDescent="0.2">
      <c r="A61" s="6" t="s">
        <v>135</v>
      </c>
      <c r="B61" s="7" t="s">
        <v>136</v>
      </c>
      <c r="C61" s="7" t="s">
        <v>135</v>
      </c>
      <c r="D61" s="7" t="s">
        <v>219</v>
      </c>
      <c r="E61" s="3" t="s">
        <v>57</v>
      </c>
      <c r="F61" s="3">
        <v>5536</v>
      </c>
      <c r="G61" s="3"/>
      <c r="H61" s="3"/>
      <c r="I61" s="7"/>
      <c r="J61" s="3"/>
      <c r="K61" s="3"/>
      <c r="L61" s="3"/>
      <c r="N61" s="3"/>
    </row>
    <row r="62" spans="1:14" x14ac:dyDescent="0.2">
      <c r="A62" s="6" t="s">
        <v>135</v>
      </c>
      <c r="B62" s="7" t="s">
        <v>136</v>
      </c>
      <c r="C62" s="7" t="s">
        <v>135</v>
      </c>
      <c r="D62" s="7" t="s">
        <v>219</v>
      </c>
      <c r="E62" s="3" t="s">
        <v>61</v>
      </c>
      <c r="F62" s="3">
        <v>5073</v>
      </c>
      <c r="G62" s="3"/>
      <c r="H62" s="3"/>
      <c r="I62" s="7"/>
      <c r="J62" s="3"/>
      <c r="K62" s="3"/>
      <c r="L62" s="3"/>
      <c r="N62" s="3"/>
    </row>
    <row r="63" spans="1:14" x14ac:dyDescent="0.2">
      <c r="A63" s="6" t="s">
        <v>135</v>
      </c>
      <c r="B63" s="7" t="s">
        <v>136</v>
      </c>
      <c r="C63" s="7" t="s">
        <v>135</v>
      </c>
      <c r="D63" s="7" t="s">
        <v>219</v>
      </c>
      <c r="E63" s="3" t="s">
        <v>73</v>
      </c>
      <c r="F63" s="3">
        <v>4818</v>
      </c>
      <c r="G63" s="3"/>
      <c r="H63" s="3"/>
      <c r="I63" s="7"/>
      <c r="J63" s="3"/>
      <c r="K63" s="3"/>
      <c r="L63" s="3"/>
      <c r="N63" s="3"/>
    </row>
    <row r="64" spans="1:14" x14ac:dyDescent="0.2">
      <c r="A64" s="21" t="s">
        <v>111</v>
      </c>
      <c r="B64" s="22" t="s">
        <v>112</v>
      </c>
      <c r="C64" s="22" t="s">
        <v>113</v>
      </c>
      <c r="D64" s="7" t="s">
        <v>218</v>
      </c>
      <c r="E64" s="3" t="s">
        <v>128</v>
      </c>
      <c r="F64" s="3">
        <v>4443</v>
      </c>
      <c r="G64" s="3"/>
      <c r="H64" s="3"/>
      <c r="I64" s="7"/>
      <c r="J64" s="3"/>
      <c r="K64" s="3"/>
      <c r="L64" s="3"/>
      <c r="N64" s="3"/>
    </row>
    <row r="65" spans="1:14" x14ac:dyDescent="0.2">
      <c r="A65" s="21" t="s">
        <v>111</v>
      </c>
      <c r="B65" s="22" t="s">
        <v>112</v>
      </c>
      <c r="C65" s="22" t="s">
        <v>113</v>
      </c>
      <c r="D65" s="7" t="s">
        <v>218</v>
      </c>
      <c r="E65" s="3" t="s">
        <v>127</v>
      </c>
      <c r="F65" s="3">
        <v>4405</v>
      </c>
      <c r="G65" s="3"/>
      <c r="H65" s="3"/>
      <c r="I65" s="7"/>
      <c r="J65" s="3"/>
      <c r="K65" s="3"/>
      <c r="L65" s="3"/>
      <c r="N65" s="3"/>
    </row>
    <row r="66" spans="1:14" x14ac:dyDescent="0.2">
      <c r="A66" s="6" t="s">
        <v>135</v>
      </c>
      <c r="B66" s="7" t="s">
        <v>136</v>
      </c>
      <c r="C66" s="7" t="s">
        <v>135</v>
      </c>
      <c r="D66" s="7" t="s">
        <v>219</v>
      </c>
      <c r="E66" s="3" t="s">
        <v>54</v>
      </c>
      <c r="F66" s="3">
        <v>4280</v>
      </c>
      <c r="G66" s="3"/>
      <c r="H66" s="3"/>
      <c r="I66" s="7"/>
      <c r="J66" s="3"/>
      <c r="K66" s="3"/>
      <c r="L66" s="3"/>
      <c r="N66" s="3"/>
    </row>
    <row r="67" spans="1:14" x14ac:dyDescent="0.2">
      <c r="A67" s="21" t="s">
        <v>111</v>
      </c>
      <c r="B67" s="22" t="s">
        <v>112</v>
      </c>
      <c r="C67" s="22" t="s">
        <v>113</v>
      </c>
      <c r="D67" s="7" t="s">
        <v>218</v>
      </c>
      <c r="E67" s="3" t="s">
        <v>129</v>
      </c>
      <c r="F67" s="3">
        <v>4038</v>
      </c>
      <c r="G67" s="3"/>
      <c r="H67" s="3"/>
      <c r="I67" s="7"/>
      <c r="J67" s="3"/>
      <c r="K67" s="3"/>
      <c r="L67" s="3"/>
    </row>
    <row r="68" spans="1:14" x14ac:dyDescent="0.2">
      <c r="A68" s="6" t="s">
        <v>135</v>
      </c>
      <c r="B68" s="7" t="s">
        <v>136</v>
      </c>
      <c r="C68" s="7" t="s">
        <v>135</v>
      </c>
      <c r="D68" s="7" t="s">
        <v>219</v>
      </c>
      <c r="E68" s="3" t="s">
        <v>55</v>
      </c>
      <c r="F68" s="3">
        <v>3887</v>
      </c>
      <c r="G68" s="3"/>
      <c r="H68" s="3"/>
      <c r="I68" s="7"/>
      <c r="J68" s="3"/>
      <c r="K68" s="3"/>
      <c r="L68" s="3"/>
    </row>
    <row r="69" spans="1:14" x14ac:dyDescent="0.2">
      <c r="A69" s="6" t="s">
        <v>135</v>
      </c>
      <c r="B69" s="7" t="s">
        <v>136</v>
      </c>
      <c r="C69" s="7" t="s">
        <v>135</v>
      </c>
      <c r="D69" s="7" t="s">
        <v>219</v>
      </c>
      <c r="E69" s="3" t="s">
        <v>46</v>
      </c>
      <c r="F69" s="3">
        <v>3308</v>
      </c>
      <c r="G69" s="3"/>
      <c r="H69" s="3"/>
      <c r="I69" s="7"/>
      <c r="J69" s="3"/>
      <c r="K69" s="3"/>
      <c r="L69" s="3"/>
    </row>
    <row r="70" spans="1:14" x14ac:dyDescent="0.2">
      <c r="A70" s="6" t="s">
        <v>135</v>
      </c>
      <c r="B70" s="7" t="s">
        <v>136</v>
      </c>
      <c r="C70" s="7" t="s">
        <v>135</v>
      </c>
      <c r="D70" s="7" t="s">
        <v>219</v>
      </c>
      <c r="E70" s="3" t="s">
        <v>75</v>
      </c>
      <c r="F70" s="3">
        <v>3181</v>
      </c>
      <c r="G70" s="3"/>
      <c r="H70" s="3"/>
      <c r="I70" s="7"/>
      <c r="J70" s="3"/>
      <c r="K70" s="3"/>
      <c r="L70" s="3"/>
    </row>
    <row r="71" spans="1:14" x14ac:dyDescent="0.2">
      <c r="A71" s="6" t="s">
        <v>135</v>
      </c>
      <c r="B71" s="7" t="s">
        <v>136</v>
      </c>
      <c r="C71" s="7" t="s">
        <v>135</v>
      </c>
      <c r="D71" s="7" t="s">
        <v>219</v>
      </c>
      <c r="E71" s="3" t="s">
        <v>49</v>
      </c>
      <c r="F71" s="3">
        <v>3079</v>
      </c>
      <c r="G71" s="3"/>
      <c r="H71" s="3"/>
      <c r="I71" s="7"/>
      <c r="J71" s="3"/>
      <c r="K71" s="3"/>
      <c r="L71" s="7"/>
    </row>
    <row r="72" spans="1:14" x14ac:dyDescent="0.2">
      <c r="A72" s="6" t="s">
        <v>135</v>
      </c>
      <c r="B72" s="7" t="s">
        <v>136</v>
      </c>
      <c r="C72" s="7" t="s">
        <v>135</v>
      </c>
      <c r="D72" s="7" t="s">
        <v>219</v>
      </c>
      <c r="E72" s="3" t="s">
        <v>69</v>
      </c>
      <c r="F72" s="3">
        <v>3021</v>
      </c>
      <c r="G72" s="3"/>
      <c r="H72" s="3"/>
      <c r="I72" s="7"/>
      <c r="J72" s="3"/>
      <c r="K72" s="3"/>
      <c r="L72" s="3"/>
    </row>
    <row r="73" spans="1:14" x14ac:dyDescent="0.2">
      <c r="A73" s="6" t="s">
        <v>135</v>
      </c>
      <c r="B73" s="7" t="s">
        <v>136</v>
      </c>
      <c r="C73" s="7" t="s">
        <v>135</v>
      </c>
      <c r="D73" s="7" t="s">
        <v>219</v>
      </c>
      <c r="E73" s="3" t="s">
        <v>63</v>
      </c>
      <c r="F73" s="3">
        <v>2767</v>
      </c>
      <c r="G73" s="3"/>
      <c r="H73" s="3"/>
      <c r="I73" s="7"/>
      <c r="J73" s="3"/>
      <c r="K73" s="3"/>
      <c r="L73" s="7"/>
    </row>
    <row r="74" spans="1:14" x14ac:dyDescent="0.2">
      <c r="A74" s="21" t="s">
        <v>111</v>
      </c>
      <c r="B74" s="22" t="s">
        <v>112</v>
      </c>
      <c r="C74" s="22" t="s">
        <v>113</v>
      </c>
      <c r="D74" s="7" t="s">
        <v>218</v>
      </c>
      <c r="E74" s="3" t="s">
        <v>130</v>
      </c>
      <c r="F74" s="3">
        <v>2648</v>
      </c>
      <c r="G74" s="3"/>
      <c r="H74" s="3"/>
      <c r="I74" s="7"/>
      <c r="J74" s="3"/>
      <c r="K74" s="3"/>
      <c r="L74" s="3"/>
    </row>
    <row r="75" spans="1:14" x14ac:dyDescent="0.2">
      <c r="A75" s="6" t="s">
        <v>135</v>
      </c>
      <c r="B75" s="7" t="s">
        <v>136</v>
      </c>
      <c r="C75" s="7" t="s">
        <v>135</v>
      </c>
      <c r="D75" s="7" t="s">
        <v>219</v>
      </c>
      <c r="E75" s="3" t="s">
        <v>64</v>
      </c>
      <c r="F75" s="3">
        <v>2599</v>
      </c>
      <c r="G75" s="3"/>
      <c r="H75" s="3"/>
      <c r="I75" s="7"/>
      <c r="J75" s="3"/>
      <c r="K75" s="3"/>
      <c r="L75" s="3"/>
    </row>
    <row r="76" spans="1:14" x14ac:dyDescent="0.2">
      <c r="A76" s="6" t="s">
        <v>135</v>
      </c>
      <c r="B76" s="7" t="s">
        <v>136</v>
      </c>
      <c r="C76" s="7" t="s">
        <v>135</v>
      </c>
      <c r="D76" s="7" t="s">
        <v>219</v>
      </c>
      <c r="E76" s="3" t="s">
        <v>78</v>
      </c>
      <c r="F76" s="3">
        <v>2520</v>
      </c>
      <c r="G76" s="3"/>
      <c r="H76" s="3"/>
      <c r="I76" s="7"/>
      <c r="J76" s="3"/>
      <c r="K76" s="3"/>
      <c r="L76" s="7"/>
    </row>
    <row r="77" spans="1:14" x14ac:dyDescent="0.2">
      <c r="A77" s="6" t="s">
        <v>135</v>
      </c>
      <c r="B77" s="7" t="s">
        <v>136</v>
      </c>
      <c r="C77" s="7" t="s">
        <v>135</v>
      </c>
      <c r="D77" s="7" t="s">
        <v>219</v>
      </c>
      <c r="E77" s="3" t="s">
        <v>65</v>
      </c>
      <c r="F77" s="3">
        <v>2456</v>
      </c>
      <c r="G77" s="3"/>
      <c r="H77" s="3"/>
      <c r="I77" s="7"/>
      <c r="J77" s="3"/>
      <c r="K77" s="3"/>
      <c r="L77" s="3"/>
    </row>
    <row r="78" spans="1:14" x14ac:dyDescent="0.2">
      <c r="A78" s="6" t="s">
        <v>135</v>
      </c>
      <c r="B78" s="7" t="s">
        <v>136</v>
      </c>
      <c r="C78" s="7" t="s">
        <v>135</v>
      </c>
      <c r="D78" s="7" t="s">
        <v>219</v>
      </c>
      <c r="E78" s="3" t="s">
        <v>72</v>
      </c>
      <c r="F78" s="3">
        <v>2351</v>
      </c>
      <c r="G78" s="3"/>
      <c r="H78" s="3"/>
      <c r="I78" s="7"/>
      <c r="J78" s="3"/>
      <c r="K78" s="3"/>
      <c r="L78" s="3"/>
    </row>
    <row r="79" spans="1:14" x14ac:dyDescent="0.2">
      <c r="A79" s="21" t="s">
        <v>111</v>
      </c>
      <c r="B79" s="22" t="s">
        <v>112</v>
      </c>
      <c r="C79" s="22" t="s">
        <v>113</v>
      </c>
      <c r="D79" s="7" t="s">
        <v>218</v>
      </c>
      <c r="E79" s="3" t="s">
        <v>131</v>
      </c>
      <c r="F79" s="3">
        <v>2280</v>
      </c>
      <c r="G79" s="3"/>
      <c r="H79" s="3"/>
      <c r="I79" s="7"/>
      <c r="J79" s="3"/>
      <c r="K79" s="3"/>
      <c r="L79" s="3"/>
    </row>
    <row r="80" spans="1:14" x14ac:dyDescent="0.2">
      <c r="A80" s="6" t="s">
        <v>135</v>
      </c>
      <c r="B80" s="7" t="s">
        <v>136</v>
      </c>
      <c r="C80" s="7" t="s">
        <v>135</v>
      </c>
      <c r="D80" s="7" t="s">
        <v>219</v>
      </c>
      <c r="E80" s="3" t="s">
        <v>67</v>
      </c>
      <c r="F80" s="3">
        <v>2060</v>
      </c>
      <c r="G80" s="3"/>
      <c r="H80" s="3"/>
      <c r="I80" s="7"/>
      <c r="J80" s="3"/>
      <c r="K80" s="3"/>
      <c r="L80" s="3"/>
    </row>
    <row r="81" spans="1:14" x14ac:dyDescent="0.2">
      <c r="A81" s="6" t="s">
        <v>135</v>
      </c>
      <c r="B81" s="7" t="s">
        <v>136</v>
      </c>
      <c r="C81" s="7" t="s">
        <v>135</v>
      </c>
      <c r="D81" s="7" t="s">
        <v>219</v>
      </c>
      <c r="E81" s="3" t="s">
        <v>70</v>
      </c>
      <c r="F81" s="3">
        <v>1869</v>
      </c>
      <c r="G81" s="3"/>
      <c r="H81" s="3"/>
      <c r="I81" s="7"/>
      <c r="J81" s="7"/>
      <c r="K81" s="3"/>
      <c r="L81" s="7"/>
    </row>
    <row r="82" spans="1:14" x14ac:dyDescent="0.2">
      <c r="A82" s="6" t="s">
        <v>135</v>
      </c>
      <c r="B82" s="7" t="s">
        <v>136</v>
      </c>
      <c r="C82" s="7" t="s">
        <v>135</v>
      </c>
      <c r="D82" s="7" t="s">
        <v>219</v>
      </c>
      <c r="E82" s="3" t="s">
        <v>56</v>
      </c>
      <c r="F82" s="3">
        <v>1770</v>
      </c>
      <c r="G82" s="3"/>
      <c r="H82" s="3"/>
      <c r="I82" s="7"/>
      <c r="J82" s="7"/>
      <c r="K82" s="3"/>
      <c r="L82" s="3"/>
      <c r="N82" s="7"/>
    </row>
    <row r="83" spans="1:14" x14ac:dyDescent="0.2">
      <c r="A83" s="6" t="s">
        <v>135</v>
      </c>
      <c r="B83" s="7" t="s">
        <v>136</v>
      </c>
      <c r="C83" s="7" t="s">
        <v>135</v>
      </c>
      <c r="D83" s="7" t="s">
        <v>219</v>
      </c>
      <c r="E83" s="3" t="s">
        <v>58</v>
      </c>
      <c r="F83" s="3">
        <v>1731</v>
      </c>
      <c r="G83" s="3"/>
      <c r="H83" s="3"/>
      <c r="I83" s="7"/>
      <c r="J83" s="7"/>
      <c r="K83" s="3"/>
      <c r="L83" s="3"/>
      <c r="N83" s="3"/>
    </row>
    <row r="84" spans="1:14" x14ac:dyDescent="0.2">
      <c r="A84" s="21" t="s">
        <v>111</v>
      </c>
      <c r="B84" s="22" t="s">
        <v>112</v>
      </c>
      <c r="C84" s="22" t="s">
        <v>113</v>
      </c>
      <c r="D84" s="7" t="s">
        <v>218</v>
      </c>
      <c r="E84" s="7" t="s">
        <v>132</v>
      </c>
      <c r="F84" s="7">
        <v>1708</v>
      </c>
      <c r="G84" s="3"/>
      <c r="H84" s="3"/>
      <c r="I84" s="7"/>
      <c r="J84" s="7"/>
      <c r="K84" s="3"/>
      <c r="L84" s="3"/>
      <c r="N84" s="7"/>
    </row>
    <row r="85" spans="1:14" x14ac:dyDescent="0.2">
      <c r="A85" s="6" t="s">
        <v>135</v>
      </c>
      <c r="B85" s="7" t="s">
        <v>136</v>
      </c>
      <c r="C85" s="7" t="s">
        <v>135</v>
      </c>
      <c r="D85" s="7" t="s">
        <v>219</v>
      </c>
      <c r="E85" s="3" t="s">
        <v>53</v>
      </c>
      <c r="F85" s="3">
        <v>1621</v>
      </c>
      <c r="G85" s="3"/>
      <c r="H85" s="3"/>
      <c r="I85" s="7"/>
      <c r="J85" s="7"/>
      <c r="K85" s="3"/>
      <c r="L85" s="3"/>
      <c r="N85" s="3"/>
    </row>
    <row r="86" spans="1:14" x14ac:dyDescent="0.2">
      <c r="A86" s="6" t="s">
        <v>135</v>
      </c>
      <c r="B86" s="7" t="s">
        <v>136</v>
      </c>
      <c r="C86" s="7" t="s">
        <v>135</v>
      </c>
      <c r="D86" s="7" t="s">
        <v>219</v>
      </c>
      <c r="E86" s="3" t="s">
        <v>77</v>
      </c>
      <c r="F86" s="3">
        <v>1522</v>
      </c>
      <c r="G86" s="3"/>
      <c r="H86" s="3"/>
      <c r="I86" s="7"/>
      <c r="J86" s="7"/>
      <c r="K86" s="3"/>
      <c r="L86" s="7"/>
      <c r="N86" s="3"/>
    </row>
    <row r="87" spans="1:14" x14ac:dyDescent="0.2">
      <c r="A87" s="21" t="s">
        <v>111</v>
      </c>
      <c r="B87" s="22" t="s">
        <v>112</v>
      </c>
      <c r="C87" s="22" t="s">
        <v>113</v>
      </c>
      <c r="D87" s="7" t="s">
        <v>218</v>
      </c>
      <c r="E87" s="3" t="s">
        <v>133</v>
      </c>
      <c r="F87" s="3">
        <v>1505</v>
      </c>
      <c r="G87" s="3"/>
      <c r="H87" s="3"/>
      <c r="I87" s="3"/>
      <c r="J87" s="7"/>
      <c r="K87" s="3"/>
      <c r="L87" s="3"/>
      <c r="N87" s="7"/>
    </row>
    <row r="88" spans="1:14" x14ac:dyDescent="0.2">
      <c r="A88" s="6" t="s">
        <v>135</v>
      </c>
      <c r="B88" s="7" t="s">
        <v>136</v>
      </c>
      <c r="C88" s="7" t="s">
        <v>135</v>
      </c>
      <c r="D88" s="7" t="s">
        <v>219</v>
      </c>
      <c r="E88" s="3" t="s">
        <v>59</v>
      </c>
      <c r="F88" s="3">
        <v>1127</v>
      </c>
      <c r="G88" s="3"/>
      <c r="H88" s="3"/>
      <c r="I88" s="3"/>
      <c r="J88" s="7"/>
      <c r="K88" s="3"/>
      <c r="L88" s="7"/>
    </row>
    <row r="89" spans="1:14" x14ac:dyDescent="0.2">
      <c r="A89" s="6" t="s">
        <v>135</v>
      </c>
      <c r="B89" s="7" t="s">
        <v>136</v>
      </c>
      <c r="C89" s="7" t="s">
        <v>135</v>
      </c>
      <c r="D89" s="7" t="s">
        <v>219</v>
      </c>
      <c r="E89" s="3" t="s">
        <v>62</v>
      </c>
      <c r="F89" s="3">
        <v>967</v>
      </c>
      <c r="G89" s="3"/>
      <c r="H89" s="3"/>
      <c r="I89" s="3"/>
      <c r="J89" s="7"/>
      <c r="K89" s="3"/>
      <c r="L89" s="3"/>
    </row>
    <row r="90" spans="1:14" x14ac:dyDescent="0.2">
      <c r="A90" s="6" t="s">
        <v>135</v>
      </c>
      <c r="B90" s="7" t="s">
        <v>136</v>
      </c>
      <c r="C90" s="7" t="s">
        <v>135</v>
      </c>
      <c r="D90" s="7" t="s">
        <v>219</v>
      </c>
      <c r="E90" s="3" t="s">
        <v>74</v>
      </c>
      <c r="F90" s="3">
        <v>878</v>
      </c>
      <c r="G90" s="3"/>
      <c r="H90" s="3"/>
      <c r="I90" s="3"/>
      <c r="J90" s="7"/>
      <c r="K90" s="3"/>
      <c r="L90" s="7"/>
    </row>
    <row r="91" spans="1:14" x14ac:dyDescent="0.2">
      <c r="A91" s="6" t="s">
        <v>135</v>
      </c>
      <c r="B91" s="7" t="s">
        <v>136</v>
      </c>
      <c r="C91" s="7" t="s">
        <v>135</v>
      </c>
      <c r="D91" s="7" t="s">
        <v>219</v>
      </c>
      <c r="E91" s="3" t="s">
        <v>48</v>
      </c>
      <c r="F91" s="3">
        <v>792</v>
      </c>
      <c r="G91" s="3"/>
      <c r="H91" s="3"/>
      <c r="I91" s="7"/>
      <c r="J91" s="7"/>
      <c r="K91" s="3"/>
      <c r="L91" s="3"/>
    </row>
    <row r="92" spans="1:14" x14ac:dyDescent="0.2">
      <c r="A92" s="6" t="s">
        <v>135</v>
      </c>
      <c r="B92" s="7" t="s">
        <v>136</v>
      </c>
      <c r="C92" s="7" t="s">
        <v>135</v>
      </c>
      <c r="D92" s="7" t="s">
        <v>219</v>
      </c>
      <c r="E92" s="3" t="s">
        <v>76</v>
      </c>
      <c r="F92" s="3">
        <v>636</v>
      </c>
      <c r="G92" s="3"/>
      <c r="H92" s="3"/>
      <c r="I92" s="7"/>
      <c r="J92" s="7"/>
      <c r="K92" s="3"/>
      <c r="L92" s="7"/>
    </row>
    <row r="93" spans="1:14" x14ac:dyDescent="0.2">
      <c r="A93" s="6" t="s">
        <v>135</v>
      </c>
      <c r="B93" s="7" t="s">
        <v>136</v>
      </c>
      <c r="C93" s="7" t="s">
        <v>135</v>
      </c>
      <c r="D93" s="7" t="s">
        <v>219</v>
      </c>
      <c r="E93" s="3" t="s">
        <v>71</v>
      </c>
      <c r="F93" s="3">
        <v>576</v>
      </c>
      <c r="G93" s="3"/>
      <c r="H93" s="3"/>
      <c r="I93" s="7"/>
      <c r="J93" s="7"/>
      <c r="K93" s="3"/>
      <c r="L93" s="3"/>
    </row>
    <row r="94" spans="1:14" x14ac:dyDescent="0.2">
      <c r="A94" s="6" t="s">
        <v>135</v>
      </c>
      <c r="B94" s="7" t="s">
        <v>136</v>
      </c>
      <c r="C94" s="7" t="s">
        <v>135</v>
      </c>
      <c r="D94" s="7" t="s">
        <v>219</v>
      </c>
      <c r="E94" s="3" t="s">
        <v>66</v>
      </c>
      <c r="F94" s="3">
        <v>532</v>
      </c>
      <c r="G94" s="3"/>
      <c r="H94" s="3"/>
      <c r="I94" s="7"/>
      <c r="J94" s="7"/>
      <c r="K94" s="3"/>
      <c r="L94" s="3"/>
      <c r="N94" s="7"/>
    </row>
    <row r="95" spans="1:14" x14ac:dyDescent="0.2">
      <c r="A95" s="6" t="s">
        <v>135</v>
      </c>
      <c r="B95" s="7" t="s">
        <v>136</v>
      </c>
      <c r="C95" s="7" t="s">
        <v>135</v>
      </c>
      <c r="D95" s="7" t="s">
        <v>219</v>
      </c>
      <c r="E95" s="3" t="s">
        <v>60</v>
      </c>
      <c r="F95" s="3">
        <v>449</v>
      </c>
      <c r="G95" s="3"/>
      <c r="H95" s="3"/>
      <c r="I95" s="7"/>
      <c r="J95" s="7"/>
      <c r="K95" s="3"/>
      <c r="L95" s="3"/>
      <c r="N95" s="3"/>
    </row>
    <row r="96" spans="1:14" x14ac:dyDescent="0.2">
      <c r="A96" s="21" t="s">
        <v>111</v>
      </c>
      <c r="B96" s="22" t="s">
        <v>112</v>
      </c>
      <c r="C96" s="22" t="s">
        <v>113</v>
      </c>
      <c r="D96" s="7" t="s">
        <v>218</v>
      </c>
      <c r="E96" s="3" t="s">
        <v>134</v>
      </c>
      <c r="F96" s="3">
        <v>3</v>
      </c>
      <c r="G96" s="3"/>
      <c r="H96" s="3"/>
      <c r="I96" s="7"/>
      <c r="J96" s="7"/>
      <c r="K96" s="7"/>
      <c r="L96" s="3"/>
      <c r="N96" s="7"/>
    </row>
    <row r="97" spans="6:9" x14ac:dyDescent="0.2">
      <c r="F97">
        <f>SUM(F1:F82)</f>
        <v>1363466</v>
      </c>
      <c r="H97" s="3"/>
      <c r="I97" s="7"/>
    </row>
    <row r="98" spans="6:9" x14ac:dyDescent="0.2">
      <c r="H98" s="3"/>
      <c r="I98" s="7"/>
    </row>
    <row r="99" spans="6:9" x14ac:dyDescent="0.2">
      <c r="H99" s="3"/>
      <c r="I99" s="7"/>
    </row>
    <row r="100" spans="6:9" x14ac:dyDescent="0.2">
      <c r="H100" s="3"/>
      <c r="I100" s="7"/>
    </row>
    <row r="101" spans="6:9" x14ac:dyDescent="0.2">
      <c r="H101" s="3"/>
      <c r="I101" s="7"/>
    </row>
    <row r="102" spans="6:9" x14ac:dyDescent="0.2">
      <c r="H102" s="3"/>
      <c r="I102" s="7"/>
    </row>
    <row r="103" spans="6:9" x14ac:dyDescent="0.2">
      <c r="H103" s="3"/>
      <c r="I103" s="7"/>
    </row>
    <row r="104" spans="6:9" x14ac:dyDescent="0.2">
      <c r="H104" s="3"/>
      <c r="I104" s="7"/>
    </row>
    <row r="105" spans="6:9" x14ac:dyDescent="0.2">
      <c r="H105" s="3"/>
      <c r="I105" s="7"/>
    </row>
    <row r="106" spans="6:9" x14ac:dyDescent="0.2">
      <c r="H106" s="3"/>
      <c r="I106" s="7"/>
    </row>
    <row r="107" spans="6:9" x14ac:dyDescent="0.2">
      <c r="H107" s="3"/>
    </row>
    <row r="108" spans="6:9" x14ac:dyDescent="0.2">
      <c r="H108" s="3"/>
    </row>
  </sheetData>
  <sortState xmlns:xlrd2="http://schemas.microsoft.com/office/spreadsheetml/2017/richdata2" ref="A27:F96">
    <sortCondition descending="1" ref="F27:F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551C-8D47-8445-9767-2ACAF8018FCA}">
  <dimension ref="A1:N31"/>
  <sheetViews>
    <sheetView workbookViewId="0">
      <selection activeCell="C2" sqref="C2"/>
    </sheetView>
  </sheetViews>
  <sheetFormatPr baseColWidth="10" defaultRowHeight="15" x14ac:dyDescent="0.2"/>
  <cols>
    <col min="1" max="1" width="25.1640625" customWidth="1"/>
    <col min="2" max="2" width="36.33203125" customWidth="1"/>
    <col min="3" max="3" width="51.33203125" customWidth="1"/>
    <col min="4" max="4" width="21.1640625" customWidth="1"/>
    <col min="5" max="5" width="18" customWidth="1"/>
    <col min="6" max="6" width="21.1640625" customWidth="1"/>
    <col min="7" max="7" width="18" customWidth="1"/>
  </cols>
  <sheetData>
    <row r="1" spans="1:14" x14ac:dyDescent="0.2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4" x14ac:dyDescent="0.2">
      <c r="A3" s="1" t="s">
        <v>137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4" x14ac:dyDescent="0.2">
      <c r="A5" s="4" t="s">
        <v>3</v>
      </c>
      <c r="B5" s="4" t="s">
        <v>4</v>
      </c>
      <c r="C5" s="4" t="s">
        <v>6</v>
      </c>
      <c r="D5" s="4" t="s">
        <v>83</v>
      </c>
      <c r="E5" s="5" t="s">
        <v>8</v>
      </c>
      <c r="F5" s="5"/>
      <c r="G5" s="5"/>
      <c r="H5" s="5"/>
      <c r="I5" s="5"/>
      <c r="J5" s="5"/>
      <c r="K5" s="5"/>
    </row>
    <row r="6" spans="1:14" x14ac:dyDescent="0.2">
      <c r="A6" s="7" t="s">
        <v>138</v>
      </c>
      <c r="B6" s="7" t="s">
        <v>146</v>
      </c>
      <c r="C6" s="7" t="s">
        <v>220</v>
      </c>
      <c r="D6" s="3" t="s">
        <v>86</v>
      </c>
      <c r="E6" s="3">
        <v>247070</v>
      </c>
      <c r="F6" s="3"/>
      <c r="G6" s="3"/>
      <c r="H6" s="3"/>
      <c r="I6" s="3"/>
      <c r="J6" s="3"/>
      <c r="K6" s="3"/>
      <c r="L6" s="3"/>
    </row>
    <row r="7" spans="1:14" x14ac:dyDescent="0.2">
      <c r="A7" s="7" t="s">
        <v>138</v>
      </c>
      <c r="B7" s="7" t="s">
        <v>146</v>
      </c>
      <c r="C7" s="7" t="s">
        <v>220</v>
      </c>
      <c r="D7" s="7" t="s">
        <v>90</v>
      </c>
      <c r="E7" s="7">
        <v>213145</v>
      </c>
      <c r="F7" s="7"/>
      <c r="G7" s="3"/>
      <c r="H7" s="3"/>
      <c r="I7" s="3"/>
      <c r="J7" s="3"/>
      <c r="K7" s="7"/>
      <c r="L7" s="7"/>
    </row>
    <row r="8" spans="1:14" x14ac:dyDescent="0.2">
      <c r="A8" s="7" t="s">
        <v>138</v>
      </c>
      <c r="B8" s="7" t="s">
        <v>146</v>
      </c>
      <c r="C8" s="7" t="s">
        <v>220</v>
      </c>
      <c r="D8" s="7" t="s">
        <v>139</v>
      </c>
      <c r="E8" s="7">
        <v>175123</v>
      </c>
      <c r="F8" s="7"/>
      <c r="G8" s="3"/>
      <c r="H8" s="3"/>
      <c r="I8" s="3"/>
      <c r="J8" s="3"/>
      <c r="K8" s="7"/>
      <c r="L8" s="7"/>
    </row>
    <row r="9" spans="1:14" x14ac:dyDescent="0.2">
      <c r="A9" s="7" t="s">
        <v>138</v>
      </c>
      <c r="B9" s="7" t="s">
        <v>146</v>
      </c>
      <c r="C9" s="7" t="s">
        <v>220</v>
      </c>
      <c r="D9" s="7" t="s">
        <v>100</v>
      </c>
      <c r="E9" s="7">
        <v>149150</v>
      </c>
      <c r="F9" s="7"/>
      <c r="G9" s="3"/>
      <c r="H9" s="3"/>
      <c r="I9" s="3"/>
      <c r="J9" s="3"/>
      <c r="K9" s="7"/>
      <c r="L9" s="7"/>
      <c r="N9" s="7"/>
    </row>
    <row r="10" spans="1:14" x14ac:dyDescent="0.2">
      <c r="A10" s="7" t="s">
        <v>138</v>
      </c>
      <c r="B10" s="7" t="s">
        <v>146</v>
      </c>
      <c r="C10" s="7" t="s">
        <v>220</v>
      </c>
      <c r="D10" s="7" t="s">
        <v>95</v>
      </c>
      <c r="E10" s="7">
        <v>126412</v>
      </c>
      <c r="F10" s="7"/>
      <c r="G10" s="3"/>
      <c r="H10" s="3"/>
      <c r="I10" s="3"/>
      <c r="J10" s="3"/>
      <c r="K10" s="7"/>
      <c r="L10" s="7"/>
    </row>
    <row r="11" spans="1:14" x14ac:dyDescent="0.2">
      <c r="A11" s="7" t="s">
        <v>138</v>
      </c>
      <c r="B11" s="7" t="s">
        <v>146</v>
      </c>
      <c r="C11" s="7" t="s">
        <v>220</v>
      </c>
      <c r="D11" s="7" t="s">
        <v>140</v>
      </c>
      <c r="E11" s="7">
        <v>112566</v>
      </c>
      <c r="F11" s="7"/>
      <c r="G11" s="3"/>
      <c r="H11" s="3"/>
      <c r="I11" s="3"/>
      <c r="J11" s="3"/>
      <c r="K11" s="7"/>
      <c r="L11" s="7"/>
    </row>
    <row r="12" spans="1:14" x14ac:dyDescent="0.2">
      <c r="A12" s="7" t="s">
        <v>138</v>
      </c>
      <c r="B12" s="7" t="s">
        <v>146</v>
      </c>
      <c r="C12" s="7" t="s">
        <v>220</v>
      </c>
      <c r="D12" s="7" t="s">
        <v>99</v>
      </c>
      <c r="E12" s="7">
        <v>94539</v>
      </c>
      <c r="F12" s="7"/>
      <c r="G12" s="3"/>
      <c r="H12" s="3"/>
      <c r="I12" s="3"/>
      <c r="J12" s="3"/>
      <c r="K12" s="7"/>
      <c r="L12" s="7"/>
    </row>
    <row r="13" spans="1:14" x14ac:dyDescent="0.2">
      <c r="A13" s="7" t="s">
        <v>138</v>
      </c>
      <c r="B13" s="7" t="s">
        <v>146</v>
      </c>
      <c r="C13" s="7" t="s">
        <v>220</v>
      </c>
      <c r="D13" s="7" t="s">
        <v>94</v>
      </c>
      <c r="E13" s="7">
        <v>84368</v>
      </c>
      <c r="F13" s="7"/>
      <c r="G13" s="3"/>
      <c r="H13" s="3"/>
      <c r="I13" s="3"/>
      <c r="J13" s="3"/>
      <c r="K13" s="7"/>
      <c r="L13" s="7"/>
    </row>
    <row r="14" spans="1:14" x14ac:dyDescent="0.2">
      <c r="A14" s="7" t="s">
        <v>138</v>
      </c>
      <c r="B14" s="7" t="s">
        <v>146</v>
      </c>
      <c r="C14" s="7" t="s">
        <v>220</v>
      </c>
      <c r="D14" s="3" t="s">
        <v>141</v>
      </c>
      <c r="E14" s="3">
        <v>71528</v>
      </c>
      <c r="F14" s="3"/>
      <c r="G14" s="3"/>
      <c r="H14" s="3"/>
      <c r="I14" s="3"/>
      <c r="J14" s="3"/>
      <c r="K14" s="3"/>
      <c r="L14" s="3"/>
    </row>
    <row r="15" spans="1:14" x14ac:dyDescent="0.2">
      <c r="A15" s="7" t="s">
        <v>138</v>
      </c>
      <c r="B15" s="7" t="s">
        <v>146</v>
      </c>
      <c r="C15" s="7" t="s">
        <v>220</v>
      </c>
      <c r="D15" s="3" t="s">
        <v>142</v>
      </c>
      <c r="E15" s="3">
        <v>55195</v>
      </c>
      <c r="F15" s="3"/>
      <c r="G15" s="3"/>
      <c r="H15" s="3"/>
      <c r="I15" s="3"/>
      <c r="J15" s="3"/>
      <c r="K15" s="3"/>
      <c r="L15" s="3"/>
    </row>
    <row r="16" spans="1:14" x14ac:dyDescent="0.2">
      <c r="A16" s="7" t="s">
        <v>138</v>
      </c>
      <c r="B16" s="7" t="s">
        <v>146</v>
      </c>
      <c r="C16" s="7" t="s">
        <v>220</v>
      </c>
      <c r="D16" s="3" t="s">
        <v>143</v>
      </c>
      <c r="E16" s="3">
        <v>26065</v>
      </c>
      <c r="F16" s="3"/>
      <c r="G16" s="3"/>
      <c r="H16" s="3"/>
      <c r="I16" s="3"/>
      <c r="J16" s="3"/>
      <c r="K16" s="3"/>
      <c r="L16" s="3"/>
    </row>
    <row r="17" spans="1:12" x14ac:dyDescent="0.2">
      <c r="A17" s="7" t="s">
        <v>138</v>
      </c>
      <c r="B17" s="7" t="s">
        <v>146</v>
      </c>
      <c r="C17" s="7" t="s">
        <v>220</v>
      </c>
      <c r="D17" s="3" t="s">
        <v>144</v>
      </c>
      <c r="E17" s="3">
        <v>18506</v>
      </c>
      <c r="F17" s="3"/>
      <c r="G17" s="3"/>
      <c r="H17" s="3"/>
      <c r="I17" s="3"/>
      <c r="J17" s="3"/>
      <c r="K17" s="3"/>
      <c r="L17" s="3"/>
    </row>
    <row r="18" spans="1:12" x14ac:dyDescent="0.2">
      <c r="A18" s="7" t="s">
        <v>138</v>
      </c>
      <c r="B18" s="7" t="s">
        <v>146</v>
      </c>
      <c r="C18" s="7" t="s">
        <v>220</v>
      </c>
      <c r="D18" s="3" t="s">
        <v>145</v>
      </c>
      <c r="E18" s="3">
        <v>3846</v>
      </c>
      <c r="F18" s="3"/>
      <c r="G18" s="3"/>
      <c r="H18" s="3"/>
      <c r="I18" s="3"/>
      <c r="J18" s="3"/>
      <c r="K18" s="3"/>
      <c r="L18" s="3"/>
    </row>
    <row r="19" spans="1:12" x14ac:dyDescent="0.2">
      <c r="A19" s="8" t="s">
        <v>80</v>
      </c>
      <c r="E19" s="8">
        <f>SUM(E6:E18)</f>
        <v>1377513</v>
      </c>
      <c r="F19" s="11"/>
      <c r="G19" s="3"/>
      <c r="H19" s="3"/>
      <c r="I19" s="3"/>
      <c r="J19" s="3"/>
      <c r="K19" s="11"/>
    </row>
    <row r="20" spans="1:12" x14ac:dyDescent="0.2">
      <c r="G20" s="3"/>
      <c r="H20" s="3"/>
    </row>
    <row r="21" spans="1:12" x14ac:dyDescent="0.2">
      <c r="G21" s="3"/>
      <c r="H21" s="3"/>
    </row>
    <row r="22" spans="1:12" x14ac:dyDescent="0.2">
      <c r="G22" s="3"/>
      <c r="H22" s="3"/>
    </row>
    <row r="23" spans="1:12" x14ac:dyDescent="0.2">
      <c r="G23" s="3"/>
      <c r="H23" s="3"/>
    </row>
    <row r="24" spans="1:12" x14ac:dyDescent="0.2">
      <c r="G24" s="3"/>
      <c r="H24" s="3"/>
    </row>
    <row r="25" spans="1:12" x14ac:dyDescent="0.2">
      <c r="G25" s="3"/>
      <c r="H25" s="3"/>
    </row>
    <row r="26" spans="1:12" x14ac:dyDescent="0.2">
      <c r="G26" s="3"/>
      <c r="H26" s="3"/>
    </row>
    <row r="27" spans="1:12" x14ac:dyDescent="0.2">
      <c r="G27" s="3"/>
      <c r="H27" s="3"/>
    </row>
    <row r="28" spans="1:12" x14ac:dyDescent="0.2">
      <c r="H28" s="3"/>
    </row>
    <row r="29" spans="1:12" x14ac:dyDescent="0.2">
      <c r="H29" s="3"/>
    </row>
    <row r="30" spans="1:12" x14ac:dyDescent="0.2">
      <c r="H30" s="3"/>
    </row>
    <row r="31" spans="1:12" x14ac:dyDescent="0.2">
      <c r="H3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190A-CB13-BD41-902D-D49D247611AE}">
  <dimension ref="A1:M24"/>
  <sheetViews>
    <sheetView workbookViewId="0">
      <selection activeCell="F2" sqref="F2"/>
    </sheetView>
  </sheetViews>
  <sheetFormatPr baseColWidth="10" defaultRowHeight="15" x14ac:dyDescent="0.2"/>
  <cols>
    <col min="1" max="1" width="21.5" customWidth="1"/>
    <col min="2" max="2" width="33" customWidth="1"/>
    <col min="3" max="3" width="47.6640625" customWidth="1"/>
    <col min="5" max="5" width="16.5" customWidth="1"/>
    <col min="6" max="6" width="16.1640625" customWidth="1"/>
    <col min="10" max="10" width="12.6640625" customWidth="1"/>
  </cols>
  <sheetData>
    <row r="1" spans="1:11" x14ac:dyDescent="0.2">
      <c r="A1" s="1" t="s">
        <v>208</v>
      </c>
      <c r="B1" s="1"/>
      <c r="C1" s="1"/>
      <c r="D1" s="1"/>
      <c r="E1" s="1"/>
    </row>
    <row r="2" spans="1:11" x14ac:dyDescent="0.2">
      <c r="A2" s="1" t="s">
        <v>0</v>
      </c>
      <c r="B2" s="1"/>
      <c r="C2" s="1"/>
      <c r="D2" s="1"/>
    </row>
    <row r="3" spans="1:11" x14ac:dyDescent="0.2">
      <c r="A3" s="1" t="s">
        <v>180</v>
      </c>
      <c r="B3" s="1"/>
      <c r="C3" s="1"/>
      <c r="D3" s="1"/>
      <c r="E3" s="1"/>
    </row>
    <row r="4" spans="1:11" x14ac:dyDescent="0.2">
      <c r="A4" s="1" t="s">
        <v>103</v>
      </c>
      <c r="B4" s="1"/>
      <c r="C4" s="1"/>
      <c r="D4" s="1"/>
      <c r="E4" s="1"/>
    </row>
    <row r="5" spans="1:11" x14ac:dyDescent="0.2">
      <c r="A5" s="4" t="s">
        <v>3</v>
      </c>
      <c r="B5" s="4" t="s">
        <v>4</v>
      </c>
      <c r="C5" s="4" t="s">
        <v>6</v>
      </c>
      <c r="D5" s="13" t="s">
        <v>104</v>
      </c>
      <c r="E5" s="14" t="s">
        <v>8</v>
      </c>
      <c r="F5" s="15" t="s">
        <v>105</v>
      </c>
      <c r="K5" s="24"/>
    </row>
    <row r="6" spans="1:11" x14ac:dyDescent="0.2">
      <c r="A6" s="7" t="s">
        <v>181</v>
      </c>
      <c r="B6" s="7" t="s">
        <v>182</v>
      </c>
      <c r="C6" s="7" t="s">
        <v>183</v>
      </c>
      <c r="D6" s="16">
        <v>46023</v>
      </c>
      <c r="E6" s="17">
        <v>76532</v>
      </c>
      <c r="F6" s="18">
        <v>1606.07</v>
      </c>
    </row>
    <row r="7" spans="1:11" x14ac:dyDescent="0.2">
      <c r="A7" s="7" t="s">
        <v>181</v>
      </c>
      <c r="B7" s="7" t="s">
        <v>182</v>
      </c>
      <c r="C7" s="7" t="s">
        <v>184</v>
      </c>
      <c r="D7" s="16">
        <v>46024</v>
      </c>
      <c r="E7" s="17">
        <v>76527</v>
      </c>
      <c r="F7" s="18">
        <v>1605.96</v>
      </c>
    </row>
    <row r="8" spans="1:11" x14ac:dyDescent="0.2">
      <c r="A8" s="7" t="s">
        <v>181</v>
      </c>
      <c r="B8" s="7" t="s">
        <v>182</v>
      </c>
      <c r="C8" s="7" t="s">
        <v>185</v>
      </c>
      <c r="D8" s="16">
        <v>46025</v>
      </c>
      <c r="E8" s="17">
        <v>76530</v>
      </c>
      <c r="F8" s="18">
        <v>1606.02</v>
      </c>
    </row>
    <row r="9" spans="1:11" x14ac:dyDescent="0.2">
      <c r="A9" s="7" t="s">
        <v>181</v>
      </c>
      <c r="B9" s="7" t="s">
        <v>182</v>
      </c>
      <c r="C9" s="7" t="s">
        <v>186</v>
      </c>
      <c r="D9" s="16">
        <v>46026</v>
      </c>
      <c r="E9" s="17">
        <v>76529</v>
      </c>
      <c r="F9" s="18">
        <v>1606</v>
      </c>
    </row>
    <row r="10" spans="1:11" x14ac:dyDescent="0.2">
      <c r="A10" s="7" t="s">
        <v>181</v>
      </c>
      <c r="B10" s="7" t="s">
        <v>182</v>
      </c>
      <c r="C10" s="7" t="s">
        <v>194</v>
      </c>
      <c r="D10" s="16">
        <v>46027</v>
      </c>
      <c r="E10" s="17">
        <v>76524</v>
      </c>
      <c r="F10" s="18">
        <v>1606.84</v>
      </c>
      <c r="I10" s="17"/>
      <c r="J10" s="18"/>
    </row>
    <row r="11" spans="1:11" x14ac:dyDescent="0.2">
      <c r="A11" s="7" t="s">
        <v>181</v>
      </c>
      <c r="B11" s="7" t="s">
        <v>182</v>
      </c>
      <c r="C11" s="7" t="s">
        <v>195</v>
      </c>
      <c r="D11" s="16">
        <v>46028</v>
      </c>
      <c r="E11" s="17">
        <v>76516</v>
      </c>
      <c r="F11" s="18">
        <v>1606.68</v>
      </c>
      <c r="I11" s="17"/>
      <c r="J11" s="18"/>
    </row>
    <row r="12" spans="1:11" x14ac:dyDescent="0.2">
      <c r="A12" s="7" t="s">
        <v>181</v>
      </c>
      <c r="B12" s="7" t="s">
        <v>182</v>
      </c>
      <c r="C12" s="7" t="s">
        <v>196</v>
      </c>
      <c r="D12" s="16">
        <v>46029</v>
      </c>
      <c r="E12" s="17">
        <v>76520</v>
      </c>
      <c r="F12" s="18">
        <v>1606.76</v>
      </c>
      <c r="I12" s="17"/>
      <c r="J12" s="18"/>
    </row>
    <row r="13" spans="1:11" x14ac:dyDescent="0.2">
      <c r="A13" s="7" t="s">
        <v>181</v>
      </c>
      <c r="B13" s="7" t="s">
        <v>182</v>
      </c>
      <c r="C13" s="7" t="s">
        <v>197</v>
      </c>
      <c r="D13" s="16">
        <v>46030</v>
      </c>
      <c r="E13" s="17">
        <v>76513</v>
      </c>
      <c r="F13" s="18">
        <v>1606.61</v>
      </c>
      <c r="I13" s="17"/>
      <c r="J13" s="18"/>
    </row>
    <row r="14" spans="1:11" x14ac:dyDescent="0.2">
      <c r="A14" s="7" t="s">
        <v>181</v>
      </c>
      <c r="B14" s="7" t="s">
        <v>182</v>
      </c>
      <c r="C14" s="7" t="s">
        <v>198</v>
      </c>
      <c r="D14" s="16">
        <v>46031</v>
      </c>
      <c r="E14" s="17">
        <v>76517</v>
      </c>
      <c r="F14" s="18">
        <v>1606.7</v>
      </c>
      <c r="I14" s="17"/>
      <c r="J14" s="18"/>
    </row>
    <row r="15" spans="1:11" x14ac:dyDescent="0.2">
      <c r="A15" s="7" t="s">
        <v>181</v>
      </c>
      <c r="B15" s="7" t="s">
        <v>182</v>
      </c>
      <c r="C15" s="7" t="s">
        <v>199</v>
      </c>
      <c r="D15" s="16">
        <v>46032</v>
      </c>
      <c r="E15" s="17">
        <v>76511</v>
      </c>
      <c r="F15" s="18">
        <v>1606.57</v>
      </c>
      <c r="I15" s="17"/>
      <c r="J15" s="18"/>
    </row>
    <row r="16" spans="1:11" x14ac:dyDescent="0.2">
      <c r="A16" s="7" t="s">
        <v>181</v>
      </c>
      <c r="B16" s="7" t="s">
        <v>182</v>
      </c>
      <c r="C16" s="7" t="s">
        <v>200</v>
      </c>
      <c r="D16" s="16">
        <v>46033</v>
      </c>
      <c r="E16" s="17">
        <v>76522</v>
      </c>
      <c r="F16" s="18">
        <v>1606.81</v>
      </c>
      <c r="I16" s="17"/>
      <c r="J16" s="17"/>
    </row>
    <row r="17" spans="1:13" x14ac:dyDescent="0.2">
      <c r="A17" s="7" t="s">
        <v>181</v>
      </c>
      <c r="B17" s="7" t="s">
        <v>182</v>
      </c>
      <c r="C17" s="7" t="s">
        <v>221</v>
      </c>
      <c r="D17" s="16">
        <v>46034</v>
      </c>
      <c r="E17" s="17">
        <v>76547</v>
      </c>
      <c r="F17" s="18">
        <v>1606.65</v>
      </c>
      <c r="I17" s="16"/>
      <c r="J17" s="17"/>
      <c r="K17" s="18"/>
      <c r="M17" s="18"/>
    </row>
    <row r="18" spans="1:13" x14ac:dyDescent="0.2">
      <c r="A18" s="7" t="s">
        <v>181</v>
      </c>
      <c r="B18" s="7" t="s">
        <v>182</v>
      </c>
      <c r="C18" s="7" t="s">
        <v>222</v>
      </c>
      <c r="D18" s="16">
        <v>46035</v>
      </c>
      <c r="E18" s="17">
        <v>76549</v>
      </c>
      <c r="F18" s="18">
        <v>1606.69</v>
      </c>
      <c r="I18" s="16"/>
      <c r="J18" s="17"/>
      <c r="K18" s="18"/>
      <c r="M18" s="18"/>
    </row>
    <row r="19" spans="1:13" x14ac:dyDescent="0.2">
      <c r="A19" s="7" t="s">
        <v>181</v>
      </c>
      <c r="B19" s="7" t="s">
        <v>182</v>
      </c>
      <c r="C19" s="7" t="s">
        <v>223</v>
      </c>
      <c r="D19" s="16">
        <v>46036</v>
      </c>
      <c r="E19" s="17">
        <v>76545</v>
      </c>
      <c r="F19" s="18">
        <v>1606.61</v>
      </c>
      <c r="I19" s="16"/>
      <c r="J19" s="17"/>
      <c r="K19" s="18"/>
      <c r="M19" s="18"/>
    </row>
    <row r="20" spans="1:13" x14ac:dyDescent="0.2">
      <c r="A20" s="7" t="s">
        <v>181</v>
      </c>
      <c r="B20" s="7" t="s">
        <v>182</v>
      </c>
      <c r="C20" s="7" t="s">
        <v>224</v>
      </c>
      <c r="D20" s="16">
        <v>46037</v>
      </c>
      <c r="E20" s="17">
        <v>76539</v>
      </c>
      <c r="F20" s="18">
        <v>1606.48</v>
      </c>
      <c r="I20" s="16"/>
      <c r="J20" s="17"/>
      <c r="K20" s="18"/>
      <c r="M20" s="18"/>
    </row>
    <row r="21" spans="1:13" x14ac:dyDescent="0.2">
      <c r="A21" s="7" t="s">
        <v>181</v>
      </c>
      <c r="B21" s="7" t="s">
        <v>182</v>
      </c>
      <c r="C21" s="7" t="s">
        <v>225</v>
      </c>
      <c r="D21" s="16">
        <v>46038</v>
      </c>
      <c r="E21" s="17">
        <v>76521</v>
      </c>
      <c r="F21" s="18">
        <v>1606.11</v>
      </c>
      <c r="I21" s="16"/>
      <c r="J21" s="17"/>
      <c r="K21" s="18"/>
      <c r="M21" s="18"/>
    </row>
    <row r="22" spans="1:13" x14ac:dyDescent="0.2">
      <c r="A22" s="7" t="s">
        <v>181</v>
      </c>
      <c r="B22" s="7" t="s">
        <v>182</v>
      </c>
      <c r="C22" s="7" t="s">
        <v>226</v>
      </c>
      <c r="D22" s="16">
        <v>46039</v>
      </c>
      <c r="E22" s="17">
        <v>76543</v>
      </c>
      <c r="F22" s="18">
        <v>1606.57</v>
      </c>
      <c r="I22" s="16"/>
      <c r="J22" s="17"/>
      <c r="K22" s="18"/>
      <c r="M22" s="18"/>
    </row>
    <row r="23" spans="1:13" x14ac:dyDescent="0.2">
      <c r="A23" s="7" t="s">
        <v>181</v>
      </c>
      <c r="B23" s="7" t="s">
        <v>182</v>
      </c>
      <c r="C23" s="7" t="s">
        <v>227</v>
      </c>
      <c r="D23" s="16">
        <v>46040</v>
      </c>
      <c r="E23" s="17">
        <v>76528</v>
      </c>
      <c r="F23" s="18">
        <v>1606.25</v>
      </c>
      <c r="I23" s="16"/>
      <c r="J23" s="17"/>
      <c r="K23" s="18"/>
      <c r="M23" s="18"/>
    </row>
    <row r="24" spans="1:13" x14ac:dyDescent="0.2">
      <c r="A24" s="8" t="s">
        <v>80</v>
      </c>
      <c r="E24" s="19">
        <f>SUM(E6:E23)</f>
        <v>1377513</v>
      </c>
      <c r="F24" s="20">
        <f>SUM(F6:F23)</f>
        <v>28916.38</v>
      </c>
      <c r="J24" s="24"/>
      <c r="K24" s="24"/>
      <c r="M24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4ECC-9B38-B645-8B8F-E29ED87D6FF6}">
  <dimension ref="A1:U1048576"/>
  <sheetViews>
    <sheetView topLeftCell="A23" workbookViewId="0">
      <selection activeCell="G10" sqref="G10"/>
    </sheetView>
  </sheetViews>
  <sheetFormatPr baseColWidth="10" defaultRowHeight="15" x14ac:dyDescent="0.2"/>
  <cols>
    <col min="1" max="1" width="16.83203125" customWidth="1"/>
    <col min="2" max="2" width="23.83203125" customWidth="1"/>
    <col min="3" max="3" width="16.83203125" customWidth="1"/>
    <col min="4" max="4" width="41.33203125" customWidth="1"/>
    <col min="5" max="5" width="54.6640625" customWidth="1"/>
    <col min="6" max="7" width="18" customWidth="1"/>
    <col min="8" max="8" width="22.5" customWidth="1"/>
  </cols>
  <sheetData>
    <row r="1" spans="1:21" ht="16" x14ac:dyDescent="0.2">
      <c r="A1" s="1" t="s">
        <v>208</v>
      </c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</row>
    <row r="2" spans="1:21" ht="16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10"/>
      <c r="U2" s="12"/>
    </row>
    <row r="3" spans="1:21" ht="16" x14ac:dyDescent="0.2">
      <c r="A3" s="1" t="s">
        <v>147</v>
      </c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</row>
    <row r="4" spans="1:21" ht="16" x14ac:dyDescent="0.2">
      <c r="A4" s="4" t="s">
        <v>2</v>
      </c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2"/>
    </row>
    <row r="5" spans="1:21" ht="16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5"/>
      <c r="H5" s="5"/>
      <c r="I5" s="5"/>
      <c r="J5" s="5"/>
      <c r="K5" s="5"/>
      <c r="L5" s="5"/>
      <c r="M5" s="5"/>
      <c r="N5" s="4"/>
      <c r="O5" s="5"/>
      <c r="P5" s="5"/>
      <c r="Q5" s="5"/>
      <c r="R5" s="5"/>
      <c r="S5" s="5"/>
    </row>
    <row r="6" spans="1:21" x14ac:dyDescent="0.2">
      <c r="A6" s="6" t="s">
        <v>160</v>
      </c>
      <c r="B6" s="7" t="s">
        <v>162</v>
      </c>
      <c r="C6" s="7" t="s">
        <v>160</v>
      </c>
      <c r="D6" s="7" t="s">
        <v>229</v>
      </c>
      <c r="E6" s="3" t="s">
        <v>9</v>
      </c>
      <c r="F6" s="3">
        <v>70671</v>
      </c>
      <c r="G6" s="3"/>
      <c r="H6" s="3"/>
      <c r="I6" s="3"/>
      <c r="J6" s="3"/>
      <c r="K6" s="3"/>
      <c r="L6" s="3"/>
      <c r="M6" s="3"/>
    </row>
    <row r="7" spans="1:21" x14ac:dyDescent="0.2">
      <c r="A7" s="21" t="s">
        <v>148</v>
      </c>
      <c r="B7" s="22" t="s">
        <v>161</v>
      </c>
      <c r="C7" s="22" t="s">
        <v>148</v>
      </c>
      <c r="D7" s="7" t="s">
        <v>228</v>
      </c>
      <c r="E7" s="3" t="s">
        <v>149</v>
      </c>
      <c r="F7" s="3">
        <v>64448</v>
      </c>
      <c r="G7" s="3"/>
      <c r="H7" s="3"/>
      <c r="I7" s="3"/>
      <c r="J7" s="3"/>
      <c r="K7" s="3"/>
      <c r="L7" s="3"/>
      <c r="M7" s="3"/>
    </row>
    <row r="8" spans="1:21" x14ac:dyDescent="0.2">
      <c r="A8" s="21" t="s">
        <v>148</v>
      </c>
      <c r="B8" s="22" t="s">
        <v>161</v>
      </c>
      <c r="C8" s="22" t="s">
        <v>148</v>
      </c>
      <c r="D8" s="7" t="s">
        <v>228</v>
      </c>
      <c r="E8" s="3" t="s">
        <v>150</v>
      </c>
      <c r="F8" s="3">
        <v>60897</v>
      </c>
      <c r="G8" s="3"/>
      <c r="H8" s="3"/>
      <c r="I8" s="3"/>
      <c r="J8" s="3"/>
      <c r="K8" s="3"/>
      <c r="L8" s="3"/>
      <c r="M8" s="3"/>
    </row>
    <row r="9" spans="1:21" x14ac:dyDescent="0.2">
      <c r="A9" s="6" t="s">
        <v>160</v>
      </c>
      <c r="B9" s="7" t="s">
        <v>162</v>
      </c>
      <c r="C9" s="7" t="s">
        <v>160</v>
      </c>
      <c r="D9" s="7" t="s">
        <v>229</v>
      </c>
      <c r="E9" s="3" t="s">
        <v>20</v>
      </c>
      <c r="F9" s="3">
        <v>55164</v>
      </c>
      <c r="G9" s="3"/>
      <c r="H9" s="3"/>
      <c r="I9" s="3"/>
      <c r="J9" s="3"/>
      <c r="K9" s="3"/>
      <c r="L9" s="3"/>
      <c r="M9" s="3"/>
    </row>
    <row r="10" spans="1:21" x14ac:dyDescent="0.2">
      <c r="A10" s="21" t="s">
        <v>148</v>
      </c>
      <c r="B10" s="22" t="s">
        <v>161</v>
      </c>
      <c r="C10" s="22" t="s">
        <v>148</v>
      </c>
      <c r="D10" s="7" t="s">
        <v>228</v>
      </c>
      <c r="E10" s="3" t="s">
        <v>151</v>
      </c>
      <c r="F10" s="3">
        <v>54399</v>
      </c>
      <c r="G10" s="3"/>
      <c r="H10" s="3"/>
      <c r="I10" s="3"/>
      <c r="J10" s="3"/>
      <c r="K10" s="3"/>
      <c r="L10" s="3"/>
      <c r="M10" s="3"/>
    </row>
    <row r="11" spans="1:21" x14ac:dyDescent="0.2">
      <c r="A11" s="6" t="s">
        <v>160</v>
      </c>
      <c r="B11" s="7" t="s">
        <v>162</v>
      </c>
      <c r="C11" s="7" t="s">
        <v>160</v>
      </c>
      <c r="D11" s="7" t="s">
        <v>229</v>
      </c>
      <c r="E11" s="3" t="s">
        <v>24</v>
      </c>
      <c r="F11" s="3">
        <v>48163</v>
      </c>
      <c r="G11" s="3"/>
      <c r="H11" s="3"/>
      <c r="I11" s="3"/>
      <c r="J11" s="3"/>
      <c r="K11" s="3"/>
      <c r="L11" s="3"/>
      <c r="M11" s="3"/>
    </row>
    <row r="12" spans="1:21" x14ac:dyDescent="0.2">
      <c r="A12" s="21" t="s">
        <v>148</v>
      </c>
      <c r="B12" s="22" t="s">
        <v>161</v>
      </c>
      <c r="C12" s="22" t="s">
        <v>148</v>
      </c>
      <c r="D12" s="7" t="s">
        <v>228</v>
      </c>
      <c r="E12" s="3" t="s">
        <v>117</v>
      </c>
      <c r="F12" s="3">
        <v>46953</v>
      </c>
      <c r="G12" s="3"/>
      <c r="H12" s="3"/>
      <c r="I12" s="3"/>
      <c r="J12" s="3"/>
      <c r="K12" s="3"/>
      <c r="L12" s="3"/>
      <c r="M12" s="3"/>
      <c r="O12" s="3"/>
    </row>
    <row r="13" spans="1:21" x14ac:dyDescent="0.2">
      <c r="A13" s="6" t="s">
        <v>160</v>
      </c>
      <c r="B13" s="7" t="s">
        <v>162</v>
      </c>
      <c r="C13" s="7" t="s">
        <v>160</v>
      </c>
      <c r="D13" s="7" t="s">
        <v>229</v>
      </c>
      <c r="E13" s="3" t="s">
        <v>31</v>
      </c>
      <c r="F13" s="3">
        <v>46872</v>
      </c>
      <c r="G13" s="3"/>
      <c r="H13" s="3"/>
      <c r="I13" s="3"/>
      <c r="J13" s="3"/>
      <c r="K13" s="3"/>
      <c r="L13" s="3"/>
      <c r="M13" s="3"/>
      <c r="N13" s="3"/>
    </row>
    <row r="14" spans="1:21" x14ac:dyDescent="0.2">
      <c r="A14" s="6" t="s">
        <v>160</v>
      </c>
      <c r="B14" s="7" t="s">
        <v>162</v>
      </c>
      <c r="C14" s="7" t="s">
        <v>160</v>
      </c>
      <c r="D14" s="7" t="s">
        <v>229</v>
      </c>
      <c r="E14" s="3" t="s">
        <v>15</v>
      </c>
      <c r="F14" s="3">
        <v>42842</v>
      </c>
      <c r="G14" s="7"/>
      <c r="H14" s="3"/>
      <c r="I14" s="3"/>
      <c r="J14" s="3"/>
      <c r="K14" s="3"/>
      <c r="L14" s="3"/>
      <c r="M14" s="3"/>
    </row>
    <row r="15" spans="1:21" x14ac:dyDescent="0.2">
      <c r="A15" s="21" t="s">
        <v>148</v>
      </c>
      <c r="B15" s="22" t="s">
        <v>161</v>
      </c>
      <c r="C15" s="22" t="s">
        <v>148</v>
      </c>
      <c r="D15" s="7" t="s">
        <v>228</v>
      </c>
      <c r="E15" s="3" t="s">
        <v>152</v>
      </c>
      <c r="F15" s="3">
        <v>39128</v>
      </c>
      <c r="G15" s="3"/>
      <c r="H15" s="3"/>
      <c r="I15" s="3"/>
      <c r="J15" s="3"/>
      <c r="K15" s="3"/>
      <c r="L15" s="3"/>
      <c r="M15" s="3"/>
    </row>
    <row r="16" spans="1:21" x14ac:dyDescent="0.2">
      <c r="A16" s="21" t="s">
        <v>148</v>
      </c>
      <c r="B16" s="22" t="s">
        <v>161</v>
      </c>
      <c r="C16" s="22" t="s">
        <v>148</v>
      </c>
      <c r="D16" s="7" t="s">
        <v>228</v>
      </c>
      <c r="E16" s="3" t="s">
        <v>119</v>
      </c>
      <c r="F16" s="3">
        <v>36148</v>
      </c>
      <c r="G16" s="3"/>
      <c r="H16" s="3"/>
      <c r="I16" s="3"/>
      <c r="J16" s="3"/>
      <c r="K16" s="3"/>
      <c r="L16" s="3"/>
      <c r="M16" s="3"/>
    </row>
    <row r="17" spans="1:17" x14ac:dyDescent="0.2">
      <c r="A17" s="6" t="s">
        <v>160</v>
      </c>
      <c r="B17" s="7" t="s">
        <v>162</v>
      </c>
      <c r="C17" s="7" t="s">
        <v>160</v>
      </c>
      <c r="D17" s="7" t="s">
        <v>229</v>
      </c>
      <c r="E17" s="3" t="s">
        <v>13</v>
      </c>
      <c r="F17" s="3">
        <v>34705</v>
      </c>
      <c r="G17" s="3"/>
      <c r="H17" s="3"/>
      <c r="I17" s="3"/>
      <c r="J17" s="3"/>
      <c r="K17" s="3"/>
      <c r="L17" s="3"/>
      <c r="M17" s="3"/>
    </row>
    <row r="18" spans="1:17" x14ac:dyDescent="0.2">
      <c r="A18" s="6" t="s">
        <v>160</v>
      </c>
      <c r="B18" s="7" t="s">
        <v>162</v>
      </c>
      <c r="C18" s="7" t="s">
        <v>160</v>
      </c>
      <c r="D18" s="7" t="s">
        <v>229</v>
      </c>
      <c r="E18" s="3" t="s">
        <v>27</v>
      </c>
      <c r="F18" s="3">
        <v>34046</v>
      </c>
      <c r="G18" s="3"/>
      <c r="H18" s="3"/>
      <c r="I18" s="3"/>
      <c r="J18" s="3"/>
      <c r="K18" s="3"/>
      <c r="L18" s="3"/>
      <c r="M18" s="3"/>
    </row>
    <row r="19" spans="1:17" x14ac:dyDescent="0.2">
      <c r="A19" s="6" t="s">
        <v>160</v>
      </c>
      <c r="B19" s="7" t="s">
        <v>162</v>
      </c>
      <c r="C19" s="7" t="s">
        <v>160</v>
      </c>
      <c r="D19" s="7" t="s">
        <v>229</v>
      </c>
      <c r="E19" s="3" t="s">
        <v>48</v>
      </c>
      <c r="F19" s="3">
        <v>32291</v>
      </c>
      <c r="G19" s="3"/>
      <c r="H19" s="3"/>
      <c r="I19" s="3"/>
      <c r="J19" s="3"/>
      <c r="K19" s="3"/>
      <c r="L19" s="3"/>
      <c r="M19" s="3"/>
    </row>
    <row r="20" spans="1:17" x14ac:dyDescent="0.2">
      <c r="A20" s="6" t="s">
        <v>160</v>
      </c>
      <c r="B20" s="7" t="s">
        <v>162</v>
      </c>
      <c r="C20" s="7" t="s">
        <v>160</v>
      </c>
      <c r="D20" s="7" t="s">
        <v>229</v>
      </c>
      <c r="E20" s="3" t="s">
        <v>11</v>
      </c>
      <c r="F20" s="3">
        <v>31640</v>
      </c>
      <c r="G20" s="3"/>
      <c r="H20" s="3"/>
      <c r="I20" s="3"/>
      <c r="J20" s="3"/>
      <c r="K20" s="3"/>
      <c r="L20" s="3"/>
      <c r="M20" s="3"/>
    </row>
    <row r="21" spans="1:17" x14ac:dyDescent="0.2">
      <c r="A21" s="6" t="s">
        <v>160</v>
      </c>
      <c r="B21" s="7" t="s">
        <v>162</v>
      </c>
      <c r="C21" s="7" t="s">
        <v>160</v>
      </c>
      <c r="D21" s="7" t="s">
        <v>229</v>
      </c>
      <c r="E21" s="3" t="s">
        <v>21</v>
      </c>
      <c r="F21" s="3">
        <v>31422</v>
      </c>
      <c r="G21" s="3"/>
      <c r="H21" s="3"/>
      <c r="I21" s="3"/>
      <c r="J21" s="3"/>
      <c r="K21" s="3"/>
      <c r="L21" s="3"/>
      <c r="M21" s="3"/>
    </row>
    <row r="22" spans="1:17" x14ac:dyDescent="0.2">
      <c r="A22" s="6" t="s">
        <v>160</v>
      </c>
      <c r="B22" s="7" t="s">
        <v>162</v>
      </c>
      <c r="C22" s="7" t="s">
        <v>160</v>
      </c>
      <c r="D22" s="7" t="s">
        <v>229</v>
      </c>
      <c r="E22" s="3" t="s">
        <v>19</v>
      </c>
      <c r="F22" s="3">
        <v>29622</v>
      </c>
      <c r="G22" s="3"/>
      <c r="H22" s="3"/>
      <c r="I22" s="3"/>
      <c r="J22" s="3"/>
      <c r="K22" s="3"/>
      <c r="L22" s="3"/>
      <c r="M22" s="3"/>
    </row>
    <row r="23" spans="1:17" x14ac:dyDescent="0.2">
      <c r="A23" s="6" t="s">
        <v>160</v>
      </c>
      <c r="B23" s="7" t="s">
        <v>162</v>
      </c>
      <c r="C23" s="7" t="s">
        <v>160</v>
      </c>
      <c r="D23" s="7" t="s">
        <v>229</v>
      </c>
      <c r="E23" s="3" t="s">
        <v>18</v>
      </c>
      <c r="F23" s="3">
        <v>28149</v>
      </c>
      <c r="G23" s="3"/>
      <c r="H23" s="3"/>
      <c r="I23" s="3"/>
      <c r="J23" s="3"/>
      <c r="K23" s="3"/>
      <c r="L23" s="3"/>
      <c r="M23" s="3"/>
    </row>
    <row r="24" spans="1:17" x14ac:dyDescent="0.2">
      <c r="A24" s="6" t="s">
        <v>160</v>
      </c>
      <c r="B24" s="7" t="s">
        <v>162</v>
      </c>
      <c r="C24" s="7" t="s">
        <v>160</v>
      </c>
      <c r="D24" s="7" t="s">
        <v>229</v>
      </c>
      <c r="E24" s="3" t="s">
        <v>47</v>
      </c>
      <c r="F24" s="3">
        <v>26730</v>
      </c>
      <c r="G24" s="3"/>
      <c r="H24" s="3"/>
      <c r="I24" s="3"/>
      <c r="J24" s="3"/>
      <c r="K24" s="3"/>
      <c r="L24" s="3"/>
      <c r="M24" s="3"/>
    </row>
    <row r="25" spans="1:17" x14ac:dyDescent="0.2">
      <c r="A25" s="21" t="s">
        <v>148</v>
      </c>
      <c r="B25" s="22" t="s">
        <v>161</v>
      </c>
      <c r="C25" s="22" t="s">
        <v>148</v>
      </c>
      <c r="D25" s="7" t="s">
        <v>228</v>
      </c>
      <c r="E25" s="7" t="s">
        <v>154</v>
      </c>
      <c r="F25" s="7">
        <v>25861</v>
      </c>
      <c r="G25" s="3"/>
      <c r="H25" s="3"/>
      <c r="I25" s="3"/>
      <c r="J25" s="3"/>
      <c r="K25" s="3"/>
      <c r="L25" s="3"/>
      <c r="M25" s="3"/>
    </row>
    <row r="26" spans="1:17" x14ac:dyDescent="0.2">
      <c r="A26" s="6" t="s">
        <v>160</v>
      </c>
      <c r="B26" s="7" t="s">
        <v>162</v>
      </c>
      <c r="C26" s="7" t="s">
        <v>160</v>
      </c>
      <c r="D26" s="7" t="s">
        <v>229</v>
      </c>
      <c r="E26" s="3" t="s">
        <v>26</v>
      </c>
      <c r="F26" s="3">
        <v>25289</v>
      </c>
      <c r="G26" s="3"/>
      <c r="H26" s="3"/>
      <c r="I26" s="3"/>
      <c r="J26" s="3"/>
      <c r="K26" s="3"/>
      <c r="L26" s="3"/>
      <c r="M26" s="3"/>
      <c r="P26" s="3"/>
      <c r="Q26" s="3"/>
    </row>
    <row r="27" spans="1:17" x14ac:dyDescent="0.2">
      <c r="A27" s="6" t="s">
        <v>160</v>
      </c>
      <c r="B27" s="7" t="s">
        <v>162</v>
      </c>
      <c r="C27" s="7" t="s">
        <v>160</v>
      </c>
      <c r="D27" s="7" t="s">
        <v>229</v>
      </c>
      <c r="E27" s="3" t="s">
        <v>59</v>
      </c>
      <c r="F27" s="3">
        <v>25214</v>
      </c>
      <c r="G27" s="3"/>
      <c r="H27" s="3"/>
      <c r="I27" s="3"/>
      <c r="J27" s="3"/>
      <c r="K27" s="3"/>
      <c r="L27" s="3"/>
      <c r="M27" s="3"/>
      <c r="P27" s="3"/>
      <c r="Q27" s="3"/>
    </row>
    <row r="28" spans="1:17" x14ac:dyDescent="0.2">
      <c r="A28" s="6" t="s">
        <v>160</v>
      </c>
      <c r="B28" s="7" t="s">
        <v>162</v>
      </c>
      <c r="C28" s="7" t="s">
        <v>160</v>
      </c>
      <c r="D28" s="7" t="s">
        <v>229</v>
      </c>
      <c r="E28" s="3" t="s">
        <v>14</v>
      </c>
      <c r="F28" s="3">
        <v>24991</v>
      </c>
      <c r="G28" s="3"/>
      <c r="H28" s="3"/>
      <c r="I28" s="7"/>
      <c r="J28" s="3"/>
      <c r="K28" s="3"/>
      <c r="L28" s="7"/>
      <c r="M28" s="7"/>
      <c r="P28" s="3"/>
      <c r="Q28" s="3"/>
    </row>
    <row r="29" spans="1:17" x14ac:dyDescent="0.2">
      <c r="A29" s="6" t="s">
        <v>160</v>
      </c>
      <c r="B29" s="7" t="s">
        <v>162</v>
      </c>
      <c r="C29" s="7" t="s">
        <v>160</v>
      </c>
      <c r="D29" s="7" t="s">
        <v>229</v>
      </c>
      <c r="E29" s="3" t="s">
        <v>42</v>
      </c>
      <c r="F29" s="3">
        <v>20903</v>
      </c>
      <c r="G29" s="3"/>
      <c r="H29" s="3"/>
      <c r="I29" s="7"/>
      <c r="J29" s="3"/>
      <c r="K29" s="3"/>
      <c r="L29" s="7"/>
      <c r="M29" s="7"/>
      <c r="N29" s="3"/>
      <c r="P29" s="3"/>
      <c r="Q29" s="3"/>
    </row>
    <row r="30" spans="1:17" x14ac:dyDescent="0.2">
      <c r="A30" s="6" t="s">
        <v>160</v>
      </c>
      <c r="B30" s="7" t="s">
        <v>162</v>
      </c>
      <c r="C30" s="7" t="s">
        <v>160</v>
      </c>
      <c r="D30" s="7" t="s">
        <v>229</v>
      </c>
      <c r="E30" s="3" t="s">
        <v>12</v>
      </c>
      <c r="F30" s="3">
        <v>19645</v>
      </c>
      <c r="G30" s="3"/>
      <c r="H30" s="3"/>
      <c r="I30" s="3"/>
      <c r="J30" s="3"/>
      <c r="K30" s="3"/>
      <c r="L30" s="3"/>
      <c r="M30" s="3"/>
      <c r="N30" s="3"/>
      <c r="P30" s="3"/>
      <c r="Q30" s="3"/>
    </row>
    <row r="31" spans="1:17" x14ac:dyDescent="0.2">
      <c r="A31" s="6" t="s">
        <v>160</v>
      </c>
      <c r="B31" s="7" t="s">
        <v>162</v>
      </c>
      <c r="C31" s="7" t="s">
        <v>160</v>
      </c>
      <c r="D31" s="7" t="s">
        <v>229</v>
      </c>
      <c r="E31" s="3" t="s">
        <v>25</v>
      </c>
      <c r="F31" s="3">
        <v>19360</v>
      </c>
      <c r="G31" s="3"/>
      <c r="H31" s="3"/>
      <c r="I31" s="7"/>
      <c r="J31" s="3"/>
      <c r="K31" s="3"/>
      <c r="L31" s="7"/>
      <c r="M31" s="7"/>
      <c r="N31" s="3"/>
      <c r="P31" s="3"/>
      <c r="Q31" s="3"/>
    </row>
    <row r="32" spans="1:17" x14ac:dyDescent="0.2">
      <c r="A32" s="21" t="s">
        <v>148</v>
      </c>
      <c r="B32" s="22" t="s">
        <v>161</v>
      </c>
      <c r="C32" s="22" t="s">
        <v>148</v>
      </c>
      <c r="D32" s="7" t="s">
        <v>228</v>
      </c>
      <c r="E32" s="3" t="s">
        <v>121</v>
      </c>
      <c r="F32" s="3">
        <v>18934</v>
      </c>
      <c r="G32" s="3"/>
      <c r="H32" s="3"/>
      <c r="I32" s="7"/>
      <c r="J32" s="3"/>
      <c r="K32" s="3"/>
      <c r="L32" s="7"/>
      <c r="M32" s="7"/>
      <c r="N32" s="3"/>
      <c r="P32" s="3"/>
      <c r="Q32" s="3"/>
    </row>
    <row r="33" spans="1:17" x14ac:dyDescent="0.2">
      <c r="A33" s="6" t="s">
        <v>160</v>
      </c>
      <c r="B33" s="7" t="s">
        <v>162</v>
      </c>
      <c r="C33" s="7" t="s">
        <v>160</v>
      </c>
      <c r="D33" s="7" t="s">
        <v>229</v>
      </c>
      <c r="E33" s="3" t="s">
        <v>75</v>
      </c>
      <c r="F33" s="3">
        <v>18905</v>
      </c>
      <c r="G33" s="3"/>
      <c r="H33" s="3"/>
      <c r="I33" s="3"/>
      <c r="J33" s="3"/>
      <c r="K33" s="3"/>
      <c r="L33" s="3"/>
      <c r="M33" s="3"/>
      <c r="N33" s="3"/>
      <c r="P33" s="3"/>
      <c r="Q33" s="3"/>
    </row>
    <row r="34" spans="1:17" x14ac:dyDescent="0.2">
      <c r="A34" s="6" t="s">
        <v>160</v>
      </c>
      <c r="B34" s="7" t="s">
        <v>162</v>
      </c>
      <c r="C34" s="7" t="s">
        <v>160</v>
      </c>
      <c r="D34" s="7" t="s">
        <v>229</v>
      </c>
      <c r="E34" s="3" t="s">
        <v>52</v>
      </c>
      <c r="F34" s="3">
        <v>18707</v>
      </c>
      <c r="G34" s="3"/>
      <c r="H34" s="3"/>
      <c r="I34" s="7"/>
      <c r="J34" s="3"/>
      <c r="K34" s="3"/>
      <c r="L34" s="7"/>
      <c r="M34" s="7"/>
      <c r="N34" s="3"/>
      <c r="P34" s="3"/>
      <c r="Q34" s="3"/>
    </row>
    <row r="35" spans="1:17" x14ac:dyDescent="0.2">
      <c r="A35" s="6" t="s">
        <v>160</v>
      </c>
      <c r="B35" s="7" t="s">
        <v>162</v>
      </c>
      <c r="C35" s="7" t="s">
        <v>160</v>
      </c>
      <c r="D35" s="7" t="s">
        <v>229</v>
      </c>
      <c r="E35" s="3" t="s">
        <v>36</v>
      </c>
      <c r="F35" s="3">
        <v>17911</v>
      </c>
      <c r="G35" s="3"/>
      <c r="H35" s="3"/>
      <c r="I35" s="7"/>
      <c r="J35" s="3"/>
      <c r="K35" s="3"/>
      <c r="L35" s="7"/>
      <c r="M35" s="7"/>
      <c r="N35" s="3"/>
      <c r="P35" s="3"/>
      <c r="Q35" s="3"/>
    </row>
    <row r="36" spans="1:17" x14ac:dyDescent="0.2">
      <c r="A36" s="6" t="s">
        <v>160</v>
      </c>
      <c r="B36" s="7" t="s">
        <v>162</v>
      </c>
      <c r="C36" s="7" t="s">
        <v>160</v>
      </c>
      <c r="D36" s="7" t="s">
        <v>229</v>
      </c>
      <c r="E36" s="3" t="s">
        <v>23</v>
      </c>
      <c r="F36" s="3">
        <v>17545</v>
      </c>
      <c r="G36" s="3"/>
      <c r="H36" s="3"/>
      <c r="I36" s="7"/>
      <c r="J36" s="3"/>
      <c r="K36" s="3"/>
      <c r="L36" s="7"/>
      <c r="M36" s="7"/>
      <c r="N36" s="3"/>
      <c r="P36" s="3"/>
      <c r="Q36" s="3"/>
    </row>
    <row r="37" spans="1:17" x14ac:dyDescent="0.2">
      <c r="A37" s="6" t="s">
        <v>160</v>
      </c>
      <c r="B37" s="7" t="s">
        <v>162</v>
      </c>
      <c r="C37" s="7" t="s">
        <v>160</v>
      </c>
      <c r="D37" s="7" t="s">
        <v>229</v>
      </c>
      <c r="E37" s="3" t="s">
        <v>28</v>
      </c>
      <c r="F37" s="3">
        <v>17340</v>
      </c>
      <c r="G37" s="3"/>
      <c r="H37" s="3"/>
      <c r="I37" s="7"/>
      <c r="J37" s="3"/>
      <c r="K37" s="3"/>
      <c r="L37" s="7"/>
      <c r="M37" s="7"/>
      <c r="N37" s="3"/>
      <c r="P37" s="3"/>
      <c r="Q37" s="3"/>
    </row>
    <row r="38" spans="1:17" x14ac:dyDescent="0.2">
      <c r="A38" s="21" t="s">
        <v>148</v>
      </c>
      <c r="B38" s="22" t="s">
        <v>161</v>
      </c>
      <c r="C38" s="22" t="s">
        <v>148</v>
      </c>
      <c r="D38" s="7" t="s">
        <v>228</v>
      </c>
      <c r="E38" s="3" t="s">
        <v>153</v>
      </c>
      <c r="F38" s="3">
        <v>17052</v>
      </c>
      <c r="G38" s="3"/>
      <c r="H38" s="3"/>
      <c r="I38" s="7"/>
      <c r="J38" s="3"/>
      <c r="K38" s="3"/>
      <c r="L38" s="7"/>
      <c r="M38" s="7"/>
      <c r="N38" s="3"/>
      <c r="P38" s="3"/>
      <c r="Q38" s="3"/>
    </row>
    <row r="39" spans="1:17" x14ac:dyDescent="0.2">
      <c r="A39" s="6" t="s">
        <v>160</v>
      </c>
      <c r="B39" s="7" t="s">
        <v>162</v>
      </c>
      <c r="C39" s="7" t="s">
        <v>160</v>
      </c>
      <c r="D39" s="7" t="s">
        <v>229</v>
      </c>
      <c r="E39" s="3" t="s">
        <v>16</v>
      </c>
      <c r="F39" s="3">
        <v>16944</v>
      </c>
      <c r="G39" s="3"/>
      <c r="H39" s="3"/>
      <c r="I39" s="7"/>
      <c r="J39" s="3"/>
      <c r="K39" s="3"/>
      <c r="L39" s="7"/>
      <c r="M39" s="7"/>
      <c r="N39" s="3"/>
      <c r="P39" s="3"/>
      <c r="Q39" s="3"/>
    </row>
    <row r="40" spans="1:17" x14ac:dyDescent="0.2">
      <c r="A40" s="6" t="s">
        <v>160</v>
      </c>
      <c r="B40" s="7" t="s">
        <v>162</v>
      </c>
      <c r="C40" s="7" t="s">
        <v>160</v>
      </c>
      <c r="D40" s="7" t="s">
        <v>229</v>
      </c>
      <c r="E40" s="3" t="s">
        <v>17</v>
      </c>
      <c r="F40" s="3">
        <v>16495</v>
      </c>
      <c r="G40" s="3"/>
      <c r="H40" s="3"/>
      <c r="I40" s="7"/>
      <c r="J40" s="3"/>
      <c r="K40" s="3"/>
      <c r="L40" s="7"/>
      <c r="M40" s="7"/>
      <c r="N40" s="3"/>
      <c r="P40" s="3"/>
      <c r="Q40" s="3"/>
    </row>
    <row r="41" spans="1:17" x14ac:dyDescent="0.2">
      <c r="A41" s="6" t="s">
        <v>160</v>
      </c>
      <c r="B41" s="7" t="s">
        <v>162</v>
      </c>
      <c r="C41" s="7" t="s">
        <v>160</v>
      </c>
      <c r="D41" s="7" t="s">
        <v>229</v>
      </c>
      <c r="E41" s="3" t="s">
        <v>29</v>
      </c>
      <c r="F41" s="3">
        <v>15821</v>
      </c>
      <c r="G41" s="3"/>
      <c r="H41" s="3"/>
      <c r="I41" s="7"/>
      <c r="J41" s="3"/>
      <c r="K41" s="3"/>
      <c r="L41" s="7"/>
      <c r="M41" s="7"/>
      <c r="N41" s="3"/>
      <c r="P41" s="3"/>
      <c r="Q41" s="3"/>
    </row>
    <row r="42" spans="1:17" x14ac:dyDescent="0.2">
      <c r="A42" s="6" t="s">
        <v>160</v>
      </c>
      <c r="B42" s="7" t="s">
        <v>162</v>
      </c>
      <c r="C42" s="7" t="s">
        <v>160</v>
      </c>
      <c r="D42" s="7" t="s">
        <v>229</v>
      </c>
      <c r="E42" s="3" t="s">
        <v>67</v>
      </c>
      <c r="F42" s="3">
        <v>14573</v>
      </c>
      <c r="G42" s="3"/>
      <c r="H42" s="3"/>
      <c r="I42" s="7"/>
      <c r="J42" s="3"/>
      <c r="K42" s="3"/>
      <c r="L42" s="7"/>
      <c r="M42" s="7"/>
      <c r="N42" s="3"/>
      <c r="P42" s="3"/>
      <c r="Q42" s="3"/>
    </row>
    <row r="43" spans="1:17" x14ac:dyDescent="0.2">
      <c r="A43" s="6" t="s">
        <v>160</v>
      </c>
      <c r="B43" s="7" t="s">
        <v>162</v>
      </c>
      <c r="C43" s="7" t="s">
        <v>160</v>
      </c>
      <c r="D43" s="7" t="s">
        <v>229</v>
      </c>
      <c r="E43" s="3" t="s">
        <v>22</v>
      </c>
      <c r="F43" s="3">
        <v>14520</v>
      </c>
      <c r="G43" s="3"/>
      <c r="H43" s="3"/>
      <c r="I43" s="7"/>
      <c r="J43" s="3"/>
      <c r="K43" s="3"/>
      <c r="L43" s="7"/>
      <c r="M43" s="7"/>
      <c r="N43" s="3"/>
      <c r="P43" s="3"/>
      <c r="Q43" s="3"/>
    </row>
    <row r="44" spans="1:17" x14ac:dyDescent="0.2">
      <c r="A44" s="21" t="s">
        <v>148</v>
      </c>
      <c r="B44" s="22" t="s">
        <v>161</v>
      </c>
      <c r="C44" s="22" t="s">
        <v>148</v>
      </c>
      <c r="D44" s="7" t="s">
        <v>228</v>
      </c>
      <c r="E44" s="3" t="s">
        <v>155</v>
      </c>
      <c r="F44" s="3">
        <v>12133</v>
      </c>
      <c r="G44" s="3"/>
      <c r="H44" s="3"/>
      <c r="I44" s="7"/>
      <c r="J44" s="3"/>
      <c r="K44" s="3"/>
      <c r="L44" s="7"/>
      <c r="M44" s="7"/>
      <c r="N44" s="3"/>
      <c r="P44" s="3"/>
      <c r="Q44" s="3"/>
    </row>
    <row r="45" spans="1:17" x14ac:dyDescent="0.2">
      <c r="A45" s="6" t="s">
        <v>160</v>
      </c>
      <c r="B45" s="7" t="s">
        <v>162</v>
      </c>
      <c r="C45" s="7" t="s">
        <v>160</v>
      </c>
      <c r="D45" s="7" t="s">
        <v>229</v>
      </c>
      <c r="E45" s="3" t="s">
        <v>60</v>
      </c>
      <c r="F45" s="3">
        <v>11394</v>
      </c>
      <c r="G45" s="3"/>
      <c r="H45" s="3"/>
      <c r="I45" s="7"/>
      <c r="J45" s="3"/>
      <c r="K45" s="3"/>
      <c r="L45" s="7"/>
      <c r="M45" s="7"/>
      <c r="N45" s="3"/>
      <c r="P45" s="3"/>
      <c r="Q45" s="3"/>
    </row>
    <row r="46" spans="1:17" x14ac:dyDescent="0.2">
      <c r="A46" s="6" t="s">
        <v>160</v>
      </c>
      <c r="B46" s="7" t="s">
        <v>162</v>
      </c>
      <c r="C46" s="7" t="s">
        <v>160</v>
      </c>
      <c r="D46" s="7" t="s">
        <v>229</v>
      </c>
      <c r="E46" s="3" t="s">
        <v>44</v>
      </c>
      <c r="F46" s="3">
        <v>10803</v>
      </c>
      <c r="G46" s="3"/>
      <c r="H46" s="3"/>
      <c r="I46" s="7"/>
      <c r="J46" s="3"/>
      <c r="K46" s="3"/>
      <c r="L46" s="7"/>
      <c r="M46" s="7"/>
      <c r="N46" s="3"/>
      <c r="P46" s="3"/>
      <c r="Q46" s="3"/>
    </row>
    <row r="47" spans="1:17" x14ac:dyDescent="0.2">
      <c r="A47" s="6" t="s">
        <v>160</v>
      </c>
      <c r="B47" s="7" t="s">
        <v>162</v>
      </c>
      <c r="C47" s="7" t="s">
        <v>160</v>
      </c>
      <c r="D47" s="7" t="s">
        <v>229</v>
      </c>
      <c r="E47" s="3" t="s">
        <v>63</v>
      </c>
      <c r="F47" s="3">
        <v>10782</v>
      </c>
      <c r="G47" s="3"/>
      <c r="H47" s="3"/>
      <c r="I47" s="7"/>
      <c r="J47" s="3"/>
      <c r="K47" s="3"/>
      <c r="L47" s="3"/>
      <c r="M47" s="7"/>
      <c r="N47" s="3"/>
      <c r="O47" s="3"/>
      <c r="P47" s="3"/>
      <c r="Q47" s="3"/>
    </row>
    <row r="48" spans="1:17" x14ac:dyDescent="0.2">
      <c r="A48" s="21" t="s">
        <v>148</v>
      </c>
      <c r="B48" s="22" t="s">
        <v>161</v>
      </c>
      <c r="C48" s="22" t="s">
        <v>148</v>
      </c>
      <c r="D48" s="7" t="s">
        <v>228</v>
      </c>
      <c r="E48" s="3" t="s">
        <v>126</v>
      </c>
      <c r="F48" s="3">
        <v>10366</v>
      </c>
      <c r="G48" s="3"/>
      <c r="H48" s="3"/>
      <c r="I48" s="7"/>
      <c r="J48" s="3"/>
      <c r="K48" s="3"/>
      <c r="L48" s="3"/>
      <c r="M48" s="7"/>
      <c r="N48" s="3"/>
      <c r="O48" s="3"/>
      <c r="P48" s="3"/>
      <c r="Q48" s="3"/>
    </row>
    <row r="49" spans="1:17" x14ac:dyDescent="0.2">
      <c r="A49" s="6" t="s">
        <v>160</v>
      </c>
      <c r="B49" s="7" t="s">
        <v>162</v>
      </c>
      <c r="C49" s="7" t="s">
        <v>160</v>
      </c>
      <c r="D49" s="7" t="s">
        <v>229</v>
      </c>
      <c r="E49" s="3" t="s">
        <v>33</v>
      </c>
      <c r="F49" s="3">
        <v>8941</v>
      </c>
      <c r="G49" s="3"/>
      <c r="H49" s="3"/>
      <c r="I49" s="7"/>
      <c r="J49" s="3"/>
      <c r="K49" s="3"/>
      <c r="L49" s="3"/>
      <c r="M49" s="7"/>
      <c r="N49" s="3"/>
      <c r="P49" s="3"/>
      <c r="Q49" s="3"/>
    </row>
    <row r="50" spans="1:17" x14ac:dyDescent="0.2">
      <c r="A50" s="21" t="s">
        <v>148</v>
      </c>
      <c r="B50" s="22" t="s">
        <v>161</v>
      </c>
      <c r="C50" s="22" t="s">
        <v>148</v>
      </c>
      <c r="D50" s="7" t="s">
        <v>228</v>
      </c>
      <c r="E50" s="3" t="s">
        <v>156</v>
      </c>
      <c r="F50" s="3">
        <v>8645</v>
      </c>
      <c r="G50" s="3"/>
      <c r="H50" s="3"/>
      <c r="I50" s="7"/>
      <c r="J50" s="3"/>
      <c r="K50" s="3"/>
      <c r="L50" s="3"/>
      <c r="M50" s="7"/>
      <c r="N50" s="3"/>
      <c r="P50" s="3"/>
      <c r="Q50" s="3"/>
    </row>
    <row r="51" spans="1:17" x14ac:dyDescent="0.2">
      <c r="A51" s="21" t="s">
        <v>148</v>
      </c>
      <c r="B51" s="22" t="s">
        <v>161</v>
      </c>
      <c r="C51" s="22" t="s">
        <v>148</v>
      </c>
      <c r="D51" s="7" t="s">
        <v>228</v>
      </c>
      <c r="E51" s="3" t="s">
        <v>157</v>
      </c>
      <c r="F51" s="3">
        <v>8295</v>
      </c>
      <c r="G51" s="3"/>
      <c r="H51" s="3"/>
      <c r="I51" s="7"/>
      <c r="J51" s="3"/>
      <c r="K51" s="3"/>
      <c r="L51" s="7"/>
      <c r="M51" s="7"/>
      <c r="N51" s="3"/>
      <c r="P51" s="3"/>
      <c r="Q51" s="3"/>
    </row>
    <row r="52" spans="1:17" x14ac:dyDescent="0.2">
      <c r="A52" s="6" t="s">
        <v>160</v>
      </c>
      <c r="B52" s="7" t="s">
        <v>162</v>
      </c>
      <c r="C52" s="7" t="s">
        <v>160</v>
      </c>
      <c r="D52" s="7" t="s">
        <v>229</v>
      </c>
      <c r="E52" s="3" t="s">
        <v>73</v>
      </c>
      <c r="F52" s="3">
        <v>8081</v>
      </c>
      <c r="G52" s="3"/>
      <c r="H52" s="3"/>
      <c r="I52" s="7"/>
      <c r="J52" s="3"/>
      <c r="K52" s="3"/>
      <c r="L52" s="7"/>
      <c r="M52" s="7"/>
      <c r="N52" s="3"/>
      <c r="P52" s="3"/>
      <c r="Q52" s="3"/>
    </row>
    <row r="53" spans="1:17" x14ac:dyDescent="0.2">
      <c r="A53" s="6" t="s">
        <v>160</v>
      </c>
      <c r="B53" s="7" t="s">
        <v>162</v>
      </c>
      <c r="C53" s="7" t="s">
        <v>160</v>
      </c>
      <c r="D53" s="7" t="s">
        <v>229</v>
      </c>
      <c r="E53" s="3" t="s">
        <v>38</v>
      </c>
      <c r="F53" s="3">
        <v>7242</v>
      </c>
      <c r="G53" s="3"/>
      <c r="H53" s="3"/>
      <c r="I53" s="7"/>
      <c r="J53" s="3"/>
      <c r="K53" s="3"/>
      <c r="L53" s="7"/>
      <c r="M53" s="7"/>
      <c r="N53" s="3"/>
      <c r="P53" s="3"/>
      <c r="Q53" s="3"/>
    </row>
    <row r="54" spans="1:17" x14ac:dyDescent="0.2">
      <c r="A54" s="6" t="s">
        <v>160</v>
      </c>
      <c r="B54" s="7" t="s">
        <v>162</v>
      </c>
      <c r="C54" s="7" t="s">
        <v>160</v>
      </c>
      <c r="D54" s="7" t="s">
        <v>229</v>
      </c>
      <c r="E54" s="3" t="s">
        <v>57</v>
      </c>
      <c r="F54" s="3">
        <v>6883</v>
      </c>
      <c r="G54" s="3"/>
      <c r="H54" s="3"/>
      <c r="I54" s="7"/>
      <c r="J54" s="3"/>
      <c r="K54" s="3"/>
      <c r="L54" s="7"/>
      <c r="M54" s="7"/>
      <c r="N54" s="3"/>
      <c r="P54" s="3"/>
      <c r="Q54" s="3"/>
    </row>
    <row r="55" spans="1:17" x14ac:dyDescent="0.2">
      <c r="A55" s="6" t="s">
        <v>160</v>
      </c>
      <c r="B55" s="7" t="s">
        <v>162</v>
      </c>
      <c r="C55" s="7" t="s">
        <v>160</v>
      </c>
      <c r="D55" s="7" t="s">
        <v>229</v>
      </c>
      <c r="E55" s="3" t="s">
        <v>34</v>
      </c>
      <c r="F55" s="3">
        <v>6037</v>
      </c>
      <c r="G55" s="3"/>
      <c r="H55" s="3"/>
      <c r="I55" s="7"/>
      <c r="J55" s="3"/>
      <c r="K55" s="3"/>
      <c r="L55" s="7"/>
      <c r="M55" s="7"/>
      <c r="N55" s="3"/>
      <c r="P55" s="3"/>
      <c r="Q55" s="3"/>
    </row>
    <row r="56" spans="1:17" x14ac:dyDescent="0.2">
      <c r="A56" s="6" t="s">
        <v>160</v>
      </c>
      <c r="B56" s="7" t="s">
        <v>162</v>
      </c>
      <c r="C56" s="7" t="s">
        <v>160</v>
      </c>
      <c r="D56" s="7" t="s">
        <v>229</v>
      </c>
      <c r="E56" s="3" t="s">
        <v>66</v>
      </c>
      <c r="F56" s="3">
        <v>5457</v>
      </c>
      <c r="G56" s="3"/>
      <c r="H56" s="3"/>
      <c r="I56" s="7"/>
      <c r="J56" s="3"/>
      <c r="K56" s="3"/>
      <c r="L56" s="7"/>
      <c r="M56" s="7"/>
      <c r="N56" s="3"/>
      <c r="P56" s="3"/>
      <c r="Q56" s="3"/>
    </row>
    <row r="57" spans="1:17" x14ac:dyDescent="0.2">
      <c r="A57" s="21" t="s">
        <v>148</v>
      </c>
      <c r="B57" s="22" t="s">
        <v>161</v>
      </c>
      <c r="C57" s="22" t="s">
        <v>148</v>
      </c>
      <c r="D57" s="7" t="s">
        <v>228</v>
      </c>
      <c r="E57" s="3" t="s">
        <v>129</v>
      </c>
      <c r="F57" s="3">
        <v>5135</v>
      </c>
      <c r="G57" s="3"/>
      <c r="H57" s="3"/>
      <c r="I57" s="7"/>
      <c r="J57" s="3"/>
      <c r="K57" s="3"/>
      <c r="L57" s="7"/>
      <c r="M57" s="7"/>
      <c r="N57" s="3"/>
      <c r="P57" s="3"/>
      <c r="Q57" s="3"/>
    </row>
    <row r="58" spans="1:17" x14ac:dyDescent="0.2">
      <c r="A58" s="6" t="s">
        <v>160</v>
      </c>
      <c r="B58" s="7" t="s">
        <v>162</v>
      </c>
      <c r="C58" s="7" t="s">
        <v>160</v>
      </c>
      <c r="D58" s="7" t="s">
        <v>229</v>
      </c>
      <c r="E58" s="3" t="s">
        <v>54</v>
      </c>
      <c r="F58" s="3">
        <v>4995</v>
      </c>
      <c r="G58" s="3"/>
      <c r="H58" s="3"/>
      <c r="I58" s="7"/>
      <c r="J58" s="3"/>
      <c r="K58" s="3"/>
      <c r="L58" s="7"/>
      <c r="M58" s="7"/>
      <c r="N58" s="3"/>
      <c r="P58" s="3"/>
      <c r="Q58" s="3"/>
    </row>
    <row r="59" spans="1:17" x14ac:dyDescent="0.2">
      <c r="A59" s="6" t="s">
        <v>160</v>
      </c>
      <c r="B59" s="7" t="s">
        <v>162</v>
      </c>
      <c r="C59" s="7" t="s">
        <v>160</v>
      </c>
      <c r="D59" s="7" t="s">
        <v>229</v>
      </c>
      <c r="E59" s="3" t="s">
        <v>68</v>
      </c>
      <c r="F59" s="3">
        <v>4762</v>
      </c>
      <c r="G59" s="3"/>
      <c r="H59" s="3"/>
      <c r="I59" s="7"/>
      <c r="J59" s="3"/>
      <c r="K59" s="3"/>
      <c r="L59" s="7"/>
      <c r="M59" s="7"/>
      <c r="N59" s="3"/>
      <c r="P59" s="3"/>
      <c r="Q59" s="3"/>
    </row>
    <row r="60" spans="1:17" x14ac:dyDescent="0.2">
      <c r="A60" s="6" t="s">
        <v>160</v>
      </c>
      <c r="B60" s="7" t="s">
        <v>162</v>
      </c>
      <c r="C60" s="7" t="s">
        <v>160</v>
      </c>
      <c r="D60" s="7" t="s">
        <v>229</v>
      </c>
      <c r="E60" s="3" t="s">
        <v>37</v>
      </c>
      <c r="F60" s="3">
        <v>4247</v>
      </c>
      <c r="G60" s="3"/>
      <c r="H60" s="3"/>
      <c r="I60" s="7"/>
      <c r="J60" s="3"/>
      <c r="K60" s="3"/>
      <c r="L60" s="7"/>
      <c r="M60" s="7"/>
      <c r="N60" s="3"/>
      <c r="P60" s="3"/>
      <c r="Q60" s="3"/>
    </row>
    <row r="61" spans="1:17" x14ac:dyDescent="0.2">
      <c r="A61" s="6" t="s">
        <v>160</v>
      </c>
      <c r="B61" s="7" t="s">
        <v>162</v>
      </c>
      <c r="C61" s="7" t="s">
        <v>160</v>
      </c>
      <c r="D61" s="7" t="s">
        <v>229</v>
      </c>
      <c r="E61" s="3" t="s">
        <v>39</v>
      </c>
      <c r="F61" s="3">
        <v>3833</v>
      </c>
      <c r="G61" s="3"/>
      <c r="H61" s="3"/>
      <c r="I61" s="7"/>
      <c r="J61" s="3"/>
      <c r="K61" s="3"/>
      <c r="L61" s="7"/>
      <c r="M61" s="7"/>
      <c r="N61" s="3"/>
      <c r="P61" s="3"/>
      <c r="Q61" s="3"/>
    </row>
    <row r="62" spans="1:17" x14ac:dyDescent="0.2">
      <c r="A62" s="21" t="s">
        <v>148</v>
      </c>
      <c r="B62" s="22" t="s">
        <v>161</v>
      </c>
      <c r="C62" s="22" t="s">
        <v>148</v>
      </c>
      <c r="D62" s="7" t="s">
        <v>228</v>
      </c>
      <c r="E62" s="3" t="s">
        <v>127</v>
      </c>
      <c r="F62" s="3">
        <v>3828</v>
      </c>
      <c r="G62" s="3"/>
      <c r="H62" s="3"/>
      <c r="I62" s="7"/>
      <c r="J62" s="3"/>
      <c r="K62" s="3"/>
      <c r="L62" s="7"/>
      <c r="M62" s="7"/>
      <c r="N62" s="3"/>
      <c r="P62" s="3"/>
      <c r="Q62" s="3"/>
    </row>
    <row r="63" spans="1:17" x14ac:dyDescent="0.2">
      <c r="A63" s="6" t="s">
        <v>160</v>
      </c>
      <c r="B63" s="7" t="s">
        <v>162</v>
      </c>
      <c r="C63" s="7" t="s">
        <v>160</v>
      </c>
      <c r="D63" s="7" t="s">
        <v>229</v>
      </c>
      <c r="E63" s="3" t="s">
        <v>32</v>
      </c>
      <c r="F63" s="3">
        <v>3670</v>
      </c>
      <c r="G63" s="3"/>
      <c r="H63" s="3"/>
      <c r="I63" s="7"/>
      <c r="J63" s="3"/>
      <c r="K63" s="3"/>
      <c r="L63" s="7"/>
      <c r="M63" s="7"/>
      <c r="N63" s="3"/>
      <c r="P63" s="3"/>
      <c r="Q63" s="3"/>
    </row>
    <row r="64" spans="1:17" x14ac:dyDescent="0.2">
      <c r="A64" s="6" t="s">
        <v>160</v>
      </c>
      <c r="B64" s="7" t="s">
        <v>162</v>
      </c>
      <c r="C64" s="7" t="s">
        <v>160</v>
      </c>
      <c r="D64" s="7" t="s">
        <v>229</v>
      </c>
      <c r="E64" s="3" t="s">
        <v>30</v>
      </c>
      <c r="F64" s="3">
        <v>3551</v>
      </c>
      <c r="G64" s="3"/>
      <c r="H64" s="3"/>
      <c r="I64" s="7"/>
      <c r="J64" s="3"/>
      <c r="K64" s="3"/>
      <c r="L64" s="7"/>
      <c r="M64" s="7"/>
      <c r="N64" s="3"/>
      <c r="P64" s="3"/>
      <c r="Q64" s="3"/>
    </row>
    <row r="65" spans="1:17" x14ac:dyDescent="0.2">
      <c r="A65" s="6" t="s">
        <v>160</v>
      </c>
      <c r="B65" s="7" t="s">
        <v>162</v>
      </c>
      <c r="C65" s="7" t="s">
        <v>160</v>
      </c>
      <c r="D65" s="7" t="s">
        <v>229</v>
      </c>
      <c r="E65" s="3" t="s">
        <v>71</v>
      </c>
      <c r="F65" s="3">
        <v>3309</v>
      </c>
      <c r="G65" s="3"/>
      <c r="H65" s="3"/>
      <c r="I65" s="7"/>
      <c r="J65" s="3"/>
      <c r="K65" s="3"/>
      <c r="L65" s="7"/>
      <c r="M65" s="7"/>
      <c r="N65" s="3"/>
      <c r="P65" s="3"/>
      <c r="Q65" s="3"/>
    </row>
    <row r="66" spans="1:17" x14ac:dyDescent="0.2">
      <c r="A66" s="6" t="s">
        <v>160</v>
      </c>
      <c r="B66" s="7" t="s">
        <v>162</v>
      </c>
      <c r="C66" s="7" t="s">
        <v>160</v>
      </c>
      <c r="D66" s="7" t="s">
        <v>229</v>
      </c>
      <c r="E66" s="3" t="s">
        <v>78</v>
      </c>
      <c r="F66" s="3">
        <v>2831</v>
      </c>
      <c r="G66" s="3"/>
      <c r="H66" s="3"/>
      <c r="I66" s="7"/>
      <c r="J66" s="3"/>
      <c r="K66" s="3"/>
      <c r="L66" s="7"/>
      <c r="M66" s="7"/>
      <c r="N66" s="3"/>
      <c r="P66" s="3"/>
      <c r="Q66" s="3"/>
    </row>
    <row r="67" spans="1:17" x14ac:dyDescent="0.2">
      <c r="A67" s="21" t="s">
        <v>148</v>
      </c>
      <c r="B67" s="22" t="s">
        <v>161</v>
      </c>
      <c r="C67" s="22" t="s">
        <v>148</v>
      </c>
      <c r="D67" s="7" t="s">
        <v>228</v>
      </c>
      <c r="E67" s="3" t="s">
        <v>128</v>
      </c>
      <c r="F67" s="3">
        <v>2695</v>
      </c>
      <c r="G67" s="3"/>
      <c r="H67" s="3"/>
      <c r="I67" s="7"/>
      <c r="J67" s="3"/>
      <c r="K67" s="3"/>
      <c r="L67" s="7"/>
      <c r="M67" s="7"/>
      <c r="N67" s="3"/>
      <c r="P67" s="3"/>
      <c r="Q67" s="3"/>
    </row>
    <row r="68" spans="1:17" x14ac:dyDescent="0.2">
      <c r="A68" s="6" t="s">
        <v>160</v>
      </c>
      <c r="B68" s="7" t="s">
        <v>162</v>
      </c>
      <c r="C68" s="7" t="s">
        <v>160</v>
      </c>
      <c r="D68" s="7" t="s">
        <v>229</v>
      </c>
      <c r="E68" s="3" t="s">
        <v>46</v>
      </c>
      <c r="F68" s="3">
        <v>2554</v>
      </c>
      <c r="G68" s="3"/>
      <c r="H68" s="3"/>
      <c r="I68" s="7"/>
      <c r="J68" s="3"/>
      <c r="K68" s="3"/>
      <c r="L68" s="7"/>
      <c r="M68" s="7"/>
      <c r="N68" s="3"/>
      <c r="P68" s="3"/>
      <c r="Q68" s="3"/>
    </row>
    <row r="69" spans="1:17" x14ac:dyDescent="0.2">
      <c r="A69" s="6" t="s">
        <v>160</v>
      </c>
      <c r="B69" s="7" t="s">
        <v>162</v>
      </c>
      <c r="C69" s="7" t="s">
        <v>160</v>
      </c>
      <c r="D69" s="7" t="s">
        <v>229</v>
      </c>
      <c r="E69" s="3" t="s">
        <v>51</v>
      </c>
      <c r="F69" s="3">
        <v>2425</v>
      </c>
      <c r="G69" s="3"/>
      <c r="H69" s="3"/>
      <c r="I69" s="7"/>
      <c r="J69" s="3"/>
      <c r="K69" s="3"/>
      <c r="L69" s="7"/>
      <c r="M69" s="7"/>
      <c r="N69" s="3"/>
      <c r="P69" s="3"/>
      <c r="Q69" s="3"/>
    </row>
    <row r="70" spans="1:17" x14ac:dyDescent="0.2">
      <c r="A70" s="6" t="s">
        <v>160</v>
      </c>
      <c r="B70" s="7" t="s">
        <v>162</v>
      </c>
      <c r="C70" s="7" t="s">
        <v>160</v>
      </c>
      <c r="D70" s="7" t="s">
        <v>229</v>
      </c>
      <c r="E70" s="3" t="s">
        <v>43</v>
      </c>
      <c r="F70" s="3">
        <v>2314</v>
      </c>
      <c r="G70" s="3"/>
      <c r="H70" s="3"/>
      <c r="I70" s="7"/>
      <c r="J70" s="3"/>
      <c r="K70" s="3"/>
      <c r="L70" s="7"/>
      <c r="M70" s="7"/>
      <c r="N70" s="3"/>
      <c r="P70" s="3"/>
      <c r="Q70" s="3"/>
    </row>
    <row r="71" spans="1:17" x14ac:dyDescent="0.2">
      <c r="A71" s="6" t="s">
        <v>160</v>
      </c>
      <c r="B71" s="7" t="s">
        <v>162</v>
      </c>
      <c r="C71" s="7" t="s">
        <v>160</v>
      </c>
      <c r="D71" s="7" t="s">
        <v>229</v>
      </c>
      <c r="E71" s="3" t="s">
        <v>35</v>
      </c>
      <c r="F71" s="3">
        <v>2204</v>
      </c>
      <c r="G71" s="3"/>
      <c r="H71" s="3"/>
      <c r="I71" s="7"/>
      <c r="J71" s="3"/>
      <c r="K71" s="3"/>
      <c r="L71" s="7"/>
      <c r="M71" s="7"/>
      <c r="N71" s="3"/>
      <c r="P71" s="3"/>
      <c r="Q71" s="3"/>
    </row>
    <row r="72" spans="1:17" x14ac:dyDescent="0.2">
      <c r="A72" s="6" t="s">
        <v>160</v>
      </c>
      <c r="B72" s="7" t="s">
        <v>162</v>
      </c>
      <c r="C72" s="7" t="s">
        <v>160</v>
      </c>
      <c r="D72" s="7" t="s">
        <v>229</v>
      </c>
      <c r="E72" s="3" t="s">
        <v>50</v>
      </c>
      <c r="F72" s="3">
        <v>2106</v>
      </c>
      <c r="G72" s="3"/>
      <c r="H72" s="3"/>
      <c r="I72" s="7"/>
      <c r="J72" s="3"/>
      <c r="K72" s="3"/>
      <c r="L72" s="7"/>
      <c r="M72" s="7"/>
      <c r="N72" s="3"/>
      <c r="O72" s="3"/>
      <c r="P72" s="3"/>
      <c r="Q72" s="3"/>
    </row>
    <row r="73" spans="1:17" x14ac:dyDescent="0.2">
      <c r="A73" s="6" t="s">
        <v>160</v>
      </c>
      <c r="B73" s="7" t="s">
        <v>162</v>
      </c>
      <c r="C73" s="7" t="s">
        <v>160</v>
      </c>
      <c r="D73" s="7" t="s">
        <v>229</v>
      </c>
      <c r="E73" s="3" t="s">
        <v>58</v>
      </c>
      <c r="F73" s="3">
        <v>1986</v>
      </c>
      <c r="G73" s="3"/>
      <c r="H73" s="3"/>
      <c r="I73" s="7"/>
      <c r="J73" s="3"/>
      <c r="K73" s="3"/>
      <c r="L73" s="7"/>
      <c r="M73" s="7"/>
      <c r="N73" s="3"/>
      <c r="O73" s="3"/>
      <c r="P73" s="3"/>
      <c r="Q73" s="3"/>
    </row>
    <row r="74" spans="1:17" x14ac:dyDescent="0.2">
      <c r="A74" s="21" t="s">
        <v>148</v>
      </c>
      <c r="B74" s="22" t="s">
        <v>161</v>
      </c>
      <c r="C74" s="22" t="s">
        <v>148</v>
      </c>
      <c r="D74" s="7" t="s">
        <v>228</v>
      </c>
      <c r="E74" s="3" t="s">
        <v>130</v>
      </c>
      <c r="F74" s="3">
        <v>1904</v>
      </c>
      <c r="G74" s="3"/>
      <c r="H74" s="3"/>
      <c r="I74" s="7"/>
      <c r="J74" s="7"/>
      <c r="K74" s="7"/>
      <c r="L74" s="7"/>
      <c r="M74" s="7"/>
      <c r="N74" s="3"/>
      <c r="O74" s="3"/>
      <c r="P74" s="7"/>
      <c r="Q74" s="3"/>
    </row>
    <row r="75" spans="1:17" x14ac:dyDescent="0.2">
      <c r="A75" s="6" t="s">
        <v>160</v>
      </c>
      <c r="B75" s="7" t="s">
        <v>162</v>
      </c>
      <c r="C75" s="7" t="s">
        <v>160</v>
      </c>
      <c r="D75" s="7" t="s">
        <v>229</v>
      </c>
      <c r="E75" s="3" t="s">
        <v>49</v>
      </c>
      <c r="F75" s="3">
        <v>1892</v>
      </c>
      <c r="G75" s="3"/>
      <c r="H75" s="3"/>
      <c r="I75" s="7"/>
      <c r="J75" s="3"/>
      <c r="K75" s="3"/>
      <c r="L75" s="7"/>
      <c r="M75" s="7"/>
      <c r="N75" s="3"/>
      <c r="O75" s="3"/>
      <c r="P75" s="3"/>
      <c r="Q75" s="3"/>
    </row>
    <row r="76" spans="1:17" x14ac:dyDescent="0.2">
      <c r="A76" s="6" t="s">
        <v>160</v>
      </c>
      <c r="B76" s="7" t="s">
        <v>162</v>
      </c>
      <c r="C76" s="7" t="s">
        <v>160</v>
      </c>
      <c r="D76" s="7" t="s">
        <v>229</v>
      </c>
      <c r="E76" s="3" t="s">
        <v>53</v>
      </c>
      <c r="F76" s="3">
        <v>1844</v>
      </c>
      <c r="G76" s="3"/>
      <c r="H76" s="3"/>
      <c r="I76" s="7"/>
      <c r="J76" s="3"/>
      <c r="K76" s="3"/>
      <c r="L76" s="7"/>
      <c r="M76" s="7"/>
      <c r="N76" s="3"/>
      <c r="P76" s="3"/>
      <c r="Q76" s="3"/>
    </row>
    <row r="77" spans="1:17" x14ac:dyDescent="0.2">
      <c r="A77" s="6" t="s">
        <v>160</v>
      </c>
      <c r="B77" s="7" t="s">
        <v>162</v>
      </c>
      <c r="C77" s="7" t="s">
        <v>160</v>
      </c>
      <c r="D77" s="7" t="s">
        <v>229</v>
      </c>
      <c r="E77" s="3" t="s">
        <v>76</v>
      </c>
      <c r="F77" s="3">
        <v>1823</v>
      </c>
      <c r="G77" s="3"/>
      <c r="H77" s="3"/>
      <c r="I77" s="7"/>
      <c r="J77" s="3"/>
      <c r="K77" s="3"/>
      <c r="L77" s="7"/>
      <c r="M77" s="7"/>
      <c r="N77" s="3"/>
      <c r="P77" s="3"/>
      <c r="Q77" s="3"/>
    </row>
    <row r="78" spans="1:17" x14ac:dyDescent="0.2">
      <c r="A78" s="6" t="s">
        <v>160</v>
      </c>
      <c r="B78" s="7" t="s">
        <v>162</v>
      </c>
      <c r="C78" s="7" t="s">
        <v>160</v>
      </c>
      <c r="D78" s="7" t="s">
        <v>229</v>
      </c>
      <c r="E78" s="3" t="s">
        <v>64</v>
      </c>
      <c r="F78" s="3">
        <v>1805</v>
      </c>
      <c r="G78" s="3"/>
      <c r="H78" s="3"/>
      <c r="I78" s="7"/>
      <c r="J78" s="3"/>
      <c r="K78" s="3"/>
      <c r="L78" s="7"/>
      <c r="M78" s="7"/>
      <c r="N78" s="3"/>
      <c r="P78" s="3"/>
      <c r="Q78" s="3"/>
    </row>
    <row r="79" spans="1:17" x14ac:dyDescent="0.2">
      <c r="A79" s="6" t="s">
        <v>160</v>
      </c>
      <c r="B79" s="7" t="s">
        <v>162</v>
      </c>
      <c r="C79" s="7" t="s">
        <v>160</v>
      </c>
      <c r="D79" s="7" t="s">
        <v>229</v>
      </c>
      <c r="E79" s="3" t="s">
        <v>77</v>
      </c>
      <c r="F79" s="3">
        <v>1785</v>
      </c>
      <c r="G79" s="3"/>
      <c r="H79" s="3"/>
      <c r="I79" s="7"/>
      <c r="J79" s="3"/>
      <c r="K79" s="3"/>
      <c r="L79" s="7"/>
      <c r="M79" s="7"/>
      <c r="N79" s="3"/>
      <c r="P79" s="3"/>
      <c r="Q79" s="3"/>
    </row>
    <row r="80" spans="1:17" x14ac:dyDescent="0.2">
      <c r="A80" s="21" t="s">
        <v>148</v>
      </c>
      <c r="B80" s="22" t="s">
        <v>161</v>
      </c>
      <c r="C80" s="22" t="s">
        <v>148</v>
      </c>
      <c r="D80" s="7" t="s">
        <v>228</v>
      </c>
      <c r="E80" s="3" t="s">
        <v>158</v>
      </c>
      <c r="F80" s="3">
        <v>1763</v>
      </c>
      <c r="G80" s="3"/>
      <c r="H80" s="3"/>
      <c r="I80" s="7"/>
      <c r="J80" s="7"/>
      <c r="K80" s="7"/>
      <c r="L80" s="7"/>
      <c r="M80" s="7"/>
      <c r="N80" s="3"/>
      <c r="P80" s="7"/>
      <c r="Q80" s="7"/>
    </row>
    <row r="81" spans="1:17" x14ac:dyDescent="0.2">
      <c r="A81" s="6" t="s">
        <v>160</v>
      </c>
      <c r="B81" s="7" t="s">
        <v>162</v>
      </c>
      <c r="C81" s="7" t="s">
        <v>160</v>
      </c>
      <c r="D81" s="7" t="s">
        <v>229</v>
      </c>
      <c r="E81" s="3" t="s">
        <v>40</v>
      </c>
      <c r="F81" s="3">
        <v>1660</v>
      </c>
      <c r="G81" s="3"/>
      <c r="H81" s="3"/>
      <c r="I81" s="7"/>
      <c r="J81" s="7"/>
      <c r="K81" s="7"/>
      <c r="L81" s="7"/>
      <c r="M81" s="7"/>
      <c r="N81" s="3"/>
      <c r="P81" s="7"/>
      <c r="Q81" s="7"/>
    </row>
    <row r="82" spans="1:17" x14ac:dyDescent="0.2">
      <c r="A82" s="6" t="s">
        <v>160</v>
      </c>
      <c r="B82" s="7" t="s">
        <v>162</v>
      </c>
      <c r="C82" s="7" t="s">
        <v>160</v>
      </c>
      <c r="D82" s="7" t="s">
        <v>229</v>
      </c>
      <c r="E82" s="3" t="s">
        <v>45</v>
      </c>
      <c r="F82" s="3">
        <v>1657</v>
      </c>
      <c r="G82" s="3"/>
      <c r="H82" s="3"/>
      <c r="I82" s="7"/>
      <c r="J82" s="3"/>
      <c r="K82" s="3"/>
      <c r="L82" s="7"/>
      <c r="M82" s="7"/>
      <c r="N82" s="3"/>
      <c r="P82" s="3"/>
      <c r="Q82" s="7"/>
    </row>
    <row r="83" spans="1:17" x14ac:dyDescent="0.2">
      <c r="A83" s="6" t="s">
        <v>160</v>
      </c>
      <c r="B83" s="7" t="s">
        <v>162</v>
      </c>
      <c r="C83" s="7" t="s">
        <v>160</v>
      </c>
      <c r="D83" s="7" t="s">
        <v>229</v>
      </c>
      <c r="E83" s="3" t="s">
        <v>55</v>
      </c>
      <c r="F83" s="3">
        <v>1500</v>
      </c>
      <c r="G83" s="3"/>
      <c r="H83" s="3"/>
      <c r="I83" s="7"/>
      <c r="J83" s="7"/>
      <c r="K83" s="7"/>
      <c r="L83" s="7"/>
      <c r="M83" s="7"/>
      <c r="N83" s="3"/>
      <c r="P83" s="7"/>
      <c r="Q83" s="7"/>
    </row>
    <row r="84" spans="1:17" x14ac:dyDescent="0.2">
      <c r="A84" s="21" t="s">
        <v>148</v>
      </c>
      <c r="B84" s="22" t="s">
        <v>161</v>
      </c>
      <c r="C84" s="22" t="s">
        <v>148</v>
      </c>
      <c r="D84" s="7" t="s">
        <v>228</v>
      </c>
      <c r="E84" s="3" t="s">
        <v>159</v>
      </c>
      <c r="F84" s="3">
        <v>1402</v>
      </c>
      <c r="G84" s="3"/>
      <c r="H84" s="3"/>
      <c r="I84" s="7"/>
      <c r="J84" s="3"/>
      <c r="K84" s="3"/>
      <c r="L84" s="3"/>
      <c r="M84" s="7"/>
      <c r="N84" s="3"/>
      <c r="P84" s="3"/>
      <c r="Q84" s="7"/>
    </row>
    <row r="85" spans="1:17" x14ac:dyDescent="0.2">
      <c r="A85" s="6" t="s">
        <v>160</v>
      </c>
      <c r="B85" s="7" t="s">
        <v>162</v>
      </c>
      <c r="C85" s="7" t="s">
        <v>160</v>
      </c>
      <c r="D85" s="7" t="s">
        <v>229</v>
      </c>
      <c r="E85" s="3" t="s">
        <v>56</v>
      </c>
      <c r="F85" s="3">
        <v>1275</v>
      </c>
      <c r="G85" s="3"/>
      <c r="H85" s="3"/>
      <c r="I85" s="7"/>
      <c r="J85" s="3"/>
      <c r="K85" s="3"/>
      <c r="L85" s="3"/>
      <c r="M85" s="7"/>
      <c r="N85" s="3"/>
      <c r="P85" s="3"/>
      <c r="Q85" s="7"/>
    </row>
    <row r="86" spans="1:17" x14ac:dyDescent="0.2">
      <c r="A86" s="6" t="s">
        <v>160</v>
      </c>
      <c r="B86" s="7" t="s">
        <v>162</v>
      </c>
      <c r="C86" s="7" t="s">
        <v>160</v>
      </c>
      <c r="D86" s="7" t="s">
        <v>229</v>
      </c>
      <c r="E86" s="3" t="s">
        <v>41</v>
      </c>
      <c r="F86" s="3">
        <v>1177</v>
      </c>
      <c r="G86" s="3"/>
      <c r="H86" s="3"/>
      <c r="I86" s="7"/>
      <c r="J86" s="7"/>
      <c r="K86" s="7"/>
      <c r="L86" s="3"/>
      <c r="M86" s="7"/>
      <c r="N86" s="3"/>
      <c r="P86" s="7"/>
      <c r="Q86" s="7"/>
    </row>
    <row r="87" spans="1:17" x14ac:dyDescent="0.2">
      <c r="A87" s="6" t="s">
        <v>160</v>
      </c>
      <c r="B87" s="7" t="s">
        <v>162</v>
      </c>
      <c r="C87" s="7" t="s">
        <v>160</v>
      </c>
      <c r="D87" s="7" t="s">
        <v>229</v>
      </c>
      <c r="E87" s="3" t="s">
        <v>69</v>
      </c>
      <c r="F87" s="3">
        <v>1079</v>
      </c>
      <c r="G87" s="3"/>
      <c r="H87" s="3"/>
      <c r="I87" s="7"/>
      <c r="J87" s="3"/>
      <c r="K87" s="3"/>
      <c r="L87" s="3"/>
      <c r="M87" s="7"/>
      <c r="N87" s="3"/>
      <c r="O87" s="3"/>
      <c r="P87" s="3"/>
      <c r="Q87" s="7"/>
    </row>
    <row r="88" spans="1:17" x14ac:dyDescent="0.2">
      <c r="A88" s="6" t="s">
        <v>160</v>
      </c>
      <c r="B88" s="7" t="s">
        <v>162</v>
      </c>
      <c r="C88" s="7" t="s">
        <v>160</v>
      </c>
      <c r="D88" s="7" t="s">
        <v>229</v>
      </c>
      <c r="E88" s="3" t="s">
        <v>72</v>
      </c>
      <c r="F88" s="3">
        <v>1007</v>
      </c>
      <c r="G88" s="3"/>
      <c r="H88" s="3"/>
      <c r="I88" s="7"/>
      <c r="J88" s="3"/>
      <c r="K88" s="3"/>
      <c r="L88" s="7"/>
      <c r="M88" s="7"/>
      <c r="N88" s="3"/>
      <c r="O88" s="3"/>
      <c r="P88" s="3"/>
      <c r="Q88" s="7"/>
    </row>
    <row r="89" spans="1:17" x14ac:dyDescent="0.2">
      <c r="A89" s="6" t="s">
        <v>160</v>
      </c>
      <c r="B89" s="7" t="s">
        <v>162</v>
      </c>
      <c r="C89" s="7" t="s">
        <v>160</v>
      </c>
      <c r="D89" s="7" t="s">
        <v>229</v>
      </c>
      <c r="E89" s="3" t="s">
        <v>65</v>
      </c>
      <c r="F89" s="3">
        <v>820</v>
      </c>
      <c r="G89" s="3"/>
      <c r="H89" s="3"/>
      <c r="I89" s="7"/>
      <c r="J89" s="3"/>
      <c r="K89" s="3"/>
      <c r="L89" s="7"/>
      <c r="M89" s="7"/>
      <c r="N89" s="3"/>
      <c r="O89" s="3"/>
      <c r="P89" s="3"/>
      <c r="Q89" s="7"/>
    </row>
    <row r="90" spans="1:17" x14ac:dyDescent="0.2">
      <c r="A90" s="6" t="s">
        <v>160</v>
      </c>
      <c r="B90" s="7" t="s">
        <v>162</v>
      </c>
      <c r="C90" s="7" t="s">
        <v>160</v>
      </c>
      <c r="D90" s="7" t="s">
        <v>229</v>
      </c>
      <c r="E90" s="3" t="s">
        <v>62</v>
      </c>
      <c r="F90" s="3">
        <v>715</v>
      </c>
      <c r="G90" s="3"/>
      <c r="H90" s="3"/>
      <c r="I90" s="7"/>
      <c r="J90" s="3"/>
      <c r="K90" s="3"/>
      <c r="L90" s="7"/>
      <c r="M90" s="7"/>
      <c r="N90" s="3"/>
      <c r="P90" s="3"/>
      <c r="Q90" s="7"/>
    </row>
    <row r="91" spans="1:17" x14ac:dyDescent="0.2">
      <c r="A91" s="6" t="s">
        <v>160</v>
      </c>
      <c r="B91" s="7" t="s">
        <v>162</v>
      </c>
      <c r="C91" s="7" t="s">
        <v>160</v>
      </c>
      <c r="D91" s="7" t="s">
        <v>229</v>
      </c>
      <c r="E91" s="3" t="s">
        <v>70</v>
      </c>
      <c r="F91" s="3">
        <v>582</v>
      </c>
      <c r="G91" s="3"/>
      <c r="H91" s="3"/>
      <c r="I91" s="7"/>
      <c r="J91" s="7"/>
      <c r="K91" s="7"/>
      <c r="L91" s="7"/>
      <c r="M91" s="7"/>
      <c r="N91" s="3"/>
      <c r="P91" s="7"/>
      <c r="Q91" s="7"/>
    </row>
    <row r="92" spans="1:17" x14ac:dyDescent="0.2">
      <c r="A92" s="6" t="s">
        <v>160</v>
      </c>
      <c r="B92" s="7" t="s">
        <v>162</v>
      </c>
      <c r="C92" s="7" t="s">
        <v>160</v>
      </c>
      <c r="D92" s="7" t="s">
        <v>229</v>
      </c>
      <c r="E92" s="3" t="s">
        <v>61</v>
      </c>
      <c r="F92" s="3">
        <v>397</v>
      </c>
      <c r="G92" s="3"/>
      <c r="H92" s="3"/>
      <c r="I92" s="7"/>
      <c r="J92" s="3"/>
      <c r="K92" s="3"/>
      <c r="L92" s="7"/>
      <c r="M92" s="7"/>
      <c r="N92" s="3"/>
      <c r="P92" s="3"/>
      <c r="Q92" s="7"/>
    </row>
    <row r="93" spans="1:17" x14ac:dyDescent="0.2">
      <c r="A93" s="6" t="s">
        <v>160</v>
      </c>
      <c r="B93" s="7" t="s">
        <v>162</v>
      </c>
      <c r="C93" s="7" t="s">
        <v>160</v>
      </c>
      <c r="D93" s="7" t="s">
        <v>229</v>
      </c>
      <c r="E93" s="3" t="s">
        <v>74</v>
      </c>
      <c r="F93" s="3">
        <v>379</v>
      </c>
      <c r="G93" s="3"/>
      <c r="H93" s="3"/>
      <c r="I93" s="7"/>
      <c r="J93" s="7"/>
      <c r="K93" s="7"/>
      <c r="L93" s="7"/>
      <c r="M93" s="7"/>
      <c r="N93" s="3"/>
      <c r="P93" s="7"/>
      <c r="Q93" s="7"/>
    </row>
    <row r="94" spans="1:17" x14ac:dyDescent="0.2">
      <c r="A94" s="21" t="s">
        <v>148</v>
      </c>
      <c r="B94" s="22" t="s">
        <v>161</v>
      </c>
      <c r="C94" s="22" t="s">
        <v>148</v>
      </c>
      <c r="D94" s="7" t="s">
        <v>228</v>
      </c>
      <c r="E94" s="3" t="s">
        <v>134</v>
      </c>
      <c r="F94" s="3">
        <v>3</v>
      </c>
      <c r="G94" s="3"/>
      <c r="H94" s="3"/>
      <c r="I94" s="7"/>
      <c r="J94" s="3"/>
      <c r="K94" s="3"/>
      <c r="L94" s="7"/>
      <c r="M94" s="7"/>
      <c r="N94" s="3"/>
      <c r="P94" s="3"/>
      <c r="Q94" s="7"/>
    </row>
    <row r="95" spans="1:17" ht="16" x14ac:dyDescent="0.2">
      <c r="F95">
        <f>SUM(F6:F94)</f>
        <v>1378273</v>
      </c>
      <c r="I95" s="7"/>
    </row>
    <row r="96" spans="1:17" ht="16" x14ac:dyDescent="0.2">
      <c r="I96" s="7"/>
    </row>
    <row r="97" spans="9:9" ht="16" x14ac:dyDescent="0.2">
      <c r="I97" s="7"/>
    </row>
    <row r="98" spans="9:9" ht="16" x14ac:dyDescent="0.2">
      <c r="I98" s="7"/>
    </row>
    <row r="99" spans="9:9" ht="16" x14ac:dyDescent="0.2">
      <c r="I99" s="7"/>
    </row>
    <row r="100" spans="9:9" ht="16" x14ac:dyDescent="0.2">
      <c r="I100" s="7"/>
    </row>
    <row r="101" spans="9:9" ht="16" x14ac:dyDescent="0.2">
      <c r="I101" s="7"/>
    </row>
    <row r="102" spans="9:9" ht="16" x14ac:dyDescent="0.2">
      <c r="I102" s="7"/>
    </row>
    <row r="103" spans="9:9" ht="16" x14ac:dyDescent="0.2">
      <c r="I103" s="7"/>
    </row>
    <row r="104" spans="9:9" x14ac:dyDescent="0.2">
      <c r="I104" s="7"/>
    </row>
    <row r="105" spans="9:9" x14ac:dyDescent="0.2">
      <c r="I105" s="7"/>
    </row>
    <row r="1048576" spans="6:6" x14ac:dyDescent="0.2">
      <c r="F1048576">
        <f>SUM(F95)</f>
        <v>1378273</v>
      </c>
    </row>
  </sheetData>
  <sortState xmlns:xlrd2="http://schemas.microsoft.com/office/spreadsheetml/2017/richdata2" ref="A26:F94">
    <sortCondition descending="1" ref="F26:F9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4EE6-32CD-9D49-975F-B6B3027738A8}">
  <dimension ref="A1:O21"/>
  <sheetViews>
    <sheetView workbookViewId="0">
      <selection activeCell="D1" sqref="D1"/>
    </sheetView>
  </sheetViews>
  <sheetFormatPr baseColWidth="10" defaultRowHeight="15" x14ac:dyDescent="0.2"/>
  <cols>
    <col min="1" max="1" width="25.83203125" customWidth="1"/>
    <col min="2" max="2" width="36" customWidth="1"/>
    <col min="3" max="3" width="53.5" customWidth="1"/>
    <col min="4" max="4" width="17.83203125" customWidth="1"/>
    <col min="5" max="5" width="17.33203125" customWidth="1"/>
    <col min="6" max="6" width="17.83203125" customWidth="1"/>
    <col min="7" max="7" width="17.5" customWidth="1"/>
  </cols>
  <sheetData>
    <row r="1" spans="1:15" x14ac:dyDescent="0.2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 t="s">
        <v>163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0"/>
    </row>
    <row r="4" spans="1:15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4" t="s">
        <v>3</v>
      </c>
      <c r="B5" s="4" t="s">
        <v>4</v>
      </c>
      <c r="C5" s="4" t="s">
        <v>6</v>
      </c>
      <c r="D5" s="4" t="s">
        <v>83</v>
      </c>
      <c r="E5" s="5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7" t="s">
        <v>164</v>
      </c>
      <c r="B6" s="7" t="s">
        <v>172</v>
      </c>
      <c r="C6" s="7" t="s">
        <v>230</v>
      </c>
      <c r="D6" s="3" t="s">
        <v>85</v>
      </c>
      <c r="E6" s="3">
        <v>210476</v>
      </c>
      <c r="F6" s="3"/>
      <c r="G6" s="3"/>
      <c r="H6" s="3"/>
      <c r="I6" s="3"/>
      <c r="J6" s="3"/>
      <c r="K6" s="3"/>
      <c r="L6" s="3"/>
    </row>
    <row r="7" spans="1:15" x14ac:dyDescent="0.2">
      <c r="A7" s="7" t="s">
        <v>164</v>
      </c>
      <c r="B7" s="7" t="s">
        <v>172</v>
      </c>
      <c r="C7" s="7" t="s">
        <v>230</v>
      </c>
      <c r="D7" s="3" t="s">
        <v>87</v>
      </c>
      <c r="E7" s="3">
        <v>193232</v>
      </c>
      <c r="F7" s="3"/>
      <c r="G7" s="3"/>
      <c r="H7" s="3"/>
      <c r="I7" s="3"/>
      <c r="J7" s="3"/>
      <c r="K7" s="3"/>
      <c r="L7" s="3"/>
    </row>
    <row r="8" spans="1:15" x14ac:dyDescent="0.2">
      <c r="A8" s="7" t="s">
        <v>164</v>
      </c>
      <c r="B8" s="7" t="s">
        <v>172</v>
      </c>
      <c r="C8" s="7" t="s">
        <v>230</v>
      </c>
      <c r="D8" s="7" t="s">
        <v>88</v>
      </c>
      <c r="E8" s="7">
        <v>172702</v>
      </c>
      <c r="F8" s="7"/>
      <c r="G8" s="3"/>
      <c r="H8" s="3"/>
      <c r="I8" s="3"/>
      <c r="J8" s="3"/>
      <c r="K8" s="7"/>
      <c r="L8" s="3"/>
    </row>
    <row r="9" spans="1:15" x14ac:dyDescent="0.2">
      <c r="A9" s="7" t="s">
        <v>164</v>
      </c>
      <c r="B9" s="7" t="s">
        <v>172</v>
      </c>
      <c r="C9" s="7" t="s">
        <v>230</v>
      </c>
      <c r="D9" s="7" t="s">
        <v>165</v>
      </c>
      <c r="E9" s="7">
        <v>158234</v>
      </c>
      <c r="F9" s="7"/>
      <c r="G9" s="3"/>
      <c r="H9" s="3"/>
      <c r="I9" s="3"/>
      <c r="J9" s="3"/>
      <c r="K9" s="7"/>
      <c r="L9" s="3"/>
    </row>
    <row r="10" spans="1:15" x14ac:dyDescent="0.2">
      <c r="A10" s="7" t="s">
        <v>164</v>
      </c>
      <c r="B10" s="7" t="s">
        <v>172</v>
      </c>
      <c r="C10" s="7" t="s">
        <v>230</v>
      </c>
      <c r="D10" s="7" t="s">
        <v>92</v>
      </c>
      <c r="E10" s="7">
        <v>147986</v>
      </c>
      <c r="F10" s="7"/>
      <c r="G10" s="3"/>
      <c r="H10" s="3"/>
      <c r="I10" s="3"/>
      <c r="J10" s="3"/>
      <c r="K10" s="7"/>
      <c r="L10" s="3"/>
    </row>
    <row r="11" spans="1:15" x14ac:dyDescent="0.2">
      <c r="A11" s="7" t="s">
        <v>164</v>
      </c>
      <c r="B11" s="7" t="s">
        <v>172</v>
      </c>
      <c r="C11" s="7" t="s">
        <v>230</v>
      </c>
      <c r="D11" s="7" t="s">
        <v>97</v>
      </c>
      <c r="E11" s="7">
        <v>119834</v>
      </c>
      <c r="F11" s="7"/>
      <c r="G11" s="3"/>
      <c r="H11" s="3"/>
      <c r="I11" s="3"/>
      <c r="J11" s="3"/>
      <c r="K11" s="7"/>
      <c r="L11" s="3"/>
    </row>
    <row r="12" spans="1:15" x14ac:dyDescent="0.2">
      <c r="A12" s="7" t="s">
        <v>164</v>
      </c>
      <c r="B12" s="7" t="s">
        <v>172</v>
      </c>
      <c r="C12" s="7" t="s">
        <v>230</v>
      </c>
      <c r="D12" s="7" t="s">
        <v>166</v>
      </c>
      <c r="E12" s="7">
        <v>103121</v>
      </c>
      <c r="F12" s="7"/>
      <c r="G12" s="3"/>
      <c r="H12" s="3"/>
      <c r="I12" s="3"/>
      <c r="J12" s="3"/>
      <c r="K12" s="7"/>
      <c r="L12" s="3"/>
    </row>
    <row r="13" spans="1:15" x14ac:dyDescent="0.2">
      <c r="A13" s="7" t="s">
        <v>164</v>
      </c>
      <c r="B13" s="7" t="s">
        <v>172</v>
      </c>
      <c r="C13" s="7" t="s">
        <v>230</v>
      </c>
      <c r="D13" s="7" t="s">
        <v>167</v>
      </c>
      <c r="E13" s="7">
        <v>95930</v>
      </c>
      <c r="F13" s="7"/>
      <c r="G13" s="3"/>
      <c r="H13" s="3"/>
      <c r="I13" s="3"/>
      <c r="J13" s="3"/>
      <c r="K13" s="7"/>
      <c r="L13" s="3"/>
    </row>
    <row r="14" spans="1:15" x14ac:dyDescent="0.2">
      <c r="A14" s="7" t="s">
        <v>164</v>
      </c>
      <c r="B14" s="7" t="s">
        <v>172</v>
      </c>
      <c r="C14" s="7" t="s">
        <v>230</v>
      </c>
      <c r="D14" s="7" t="s">
        <v>168</v>
      </c>
      <c r="E14" s="7">
        <v>73226</v>
      </c>
      <c r="F14" s="7"/>
      <c r="G14" s="3"/>
      <c r="H14" s="3"/>
      <c r="I14" s="3"/>
      <c r="J14" s="3"/>
      <c r="K14" s="7"/>
      <c r="L14" s="3"/>
    </row>
    <row r="15" spans="1:15" x14ac:dyDescent="0.2">
      <c r="A15" s="7" t="s">
        <v>164</v>
      </c>
      <c r="B15" s="7" t="s">
        <v>172</v>
      </c>
      <c r="C15" s="7" t="s">
        <v>230</v>
      </c>
      <c r="D15" s="3" t="s">
        <v>169</v>
      </c>
      <c r="E15" s="3">
        <v>48250</v>
      </c>
      <c r="F15" s="3"/>
      <c r="G15" s="3"/>
      <c r="H15" s="3"/>
      <c r="I15" s="3"/>
      <c r="J15" s="3"/>
      <c r="K15" s="3"/>
      <c r="L15" s="3"/>
    </row>
    <row r="16" spans="1:15" x14ac:dyDescent="0.2">
      <c r="A16" s="7" t="s">
        <v>164</v>
      </c>
      <c r="B16" s="7" t="s">
        <v>172</v>
      </c>
      <c r="C16" s="7" t="s">
        <v>230</v>
      </c>
      <c r="D16" s="3" t="s">
        <v>170</v>
      </c>
      <c r="E16" s="3">
        <v>38088</v>
      </c>
      <c r="F16" s="3"/>
      <c r="G16" s="3"/>
      <c r="H16" s="3"/>
      <c r="I16" s="3"/>
      <c r="J16" s="3"/>
      <c r="K16" s="3"/>
      <c r="L16" s="3"/>
    </row>
    <row r="17" spans="1:12" x14ac:dyDescent="0.2">
      <c r="A17" s="7" t="s">
        <v>164</v>
      </c>
      <c r="B17" s="7" t="s">
        <v>172</v>
      </c>
      <c r="C17" s="7" t="s">
        <v>230</v>
      </c>
      <c r="D17" s="3" t="s">
        <v>171</v>
      </c>
      <c r="E17" s="3">
        <v>12578</v>
      </c>
      <c r="F17" s="3"/>
      <c r="G17" s="3"/>
      <c r="H17" s="3"/>
      <c r="I17" s="3"/>
      <c r="J17" s="3"/>
      <c r="K17" s="3"/>
      <c r="L17" s="3"/>
    </row>
    <row r="18" spans="1:12" x14ac:dyDescent="0.2">
      <c r="A18" s="7" t="s">
        <v>164</v>
      </c>
      <c r="B18" s="7" t="s">
        <v>172</v>
      </c>
      <c r="C18" s="7" t="s">
        <v>230</v>
      </c>
      <c r="D18" s="3" t="s">
        <v>101</v>
      </c>
      <c r="E18" s="3">
        <v>4616</v>
      </c>
      <c r="F18" s="3"/>
      <c r="G18" s="3"/>
      <c r="H18" s="3"/>
      <c r="I18" s="3"/>
      <c r="J18" s="3"/>
      <c r="K18" s="3"/>
      <c r="L18" s="3"/>
    </row>
    <row r="19" spans="1:12" x14ac:dyDescent="0.2">
      <c r="A19" s="8" t="s">
        <v>80</v>
      </c>
      <c r="E19" s="8">
        <f>SUM(E6:E18)</f>
        <v>1378273</v>
      </c>
      <c r="F19" s="11"/>
      <c r="G19" s="23"/>
      <c r="H19" s="3"/>
      <c r="I19" s="3"/>
      <c r="J19" s="3"/>
      <c r="K19" s="23"/>
      <c r="L19" s="3"/>
    </row>
    <row r="20" spans="1:12" x14ac:dyDescent="0.2">
      <c r="G20" s="3"/>
    </row>
    <row r="21" spans="1:12" x14ac:dyDescent="0.2">
      <c r="G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67A2-2744-2B4E-918C-3192E36B477C}">
  <dimension ref="A1:L25"/>
  <sheetViews>
    <sheetView workbookViewId="0">
      <selection activeCell="K17" sqref="K17:K24"/>
    </sheetView>
  </sheetViews>
  <sheetFormatPr baseColWidth="10" defaultRowHeight="15" x14ac:dyDescent="0.2"/>
  <cols>
    <col min="1" max="1" width="20.1640625" customWidth="1"/>
    <col min="2" max="2" width="32.83203125" customWidth="1"/>
    <col min="3" max="3" width="45.83203125" customWidth="1"/>
    <col min="4" max="4" width="8.83203125" customWidth="1"/>
    <col min="5" max="5" width="18.1640625" customWidth="1"/>
    <col min="11" max="11" width="11.6640625" customWidth="1"/>
  </cols>
  <sheetData>
    <row r="1" spans="1:12" x14ac:dyDescent="0.2">
      <c r="A1" s="1" t="s">
        <v>208</v>
      </c>
      <c r="B1" s="1"/>
      <c r="C1" s="1"/>
      <c r="D1" s="1"/>
      <c r="E1" s="1"/>
    </row>
    <row r="2" spans="1:12" x14ac:dyDescent="0.2">
      <c r="A2" s="1" t="s">
        <v>0</v>
      </c>
      <c r="B2" s="1"/>
      <c r="C2" s="1"/>
      <c r="D2" s="1"/>
      <c r="F2" s="12"/>
    </row>
    <row r="3" spans="1:12" x14ac:dyDescent="0.2">
      <c r="A3" s="1" t="s">
        <v>173</v>
      </c>
      <c r="B3" s="1"/>
      <c r="C3" s="1"/>
      <c r="D3" s="1"/>
      <c r="E3" s="1"/>
      <c r="F3" s="12"/>
    </row>
    <row r="4" spans="1:12" x14ac:dyDescent="0.2">
      <c r="A4" s="1" t="s">
        <v>103</v>
      </c>
      <c r="B4" s="1"/>
      <c r="C4" s="1"/>
      <c r="D4" s="1"/>
      <c r="E4" s="1"/>
    </row>
    <row r="5" spans="1:12" x14ac:dyDescent="0.2">
      <c r="A5" s="4" t="s">
        <v>3</v>
      </c>
      <c r="B5" s="4" t="s">
        <v>4</v>
      </c>
      <c r="C5" s="4" t="s">
        <v>6</v>
      </c>
      <c r="D5" s="13" t="s">
        <v>104</v>
      </c>
      <c r="E5" s="14" t="s">
        <v>8</v>
      </c>
      <c r="F5" s="15" t="s">
        <v>105</v>
      </c>
    </row>
    <row r="6" spans="1:12" x14ac:dyDescent="0.2">
      <c r="A6" s="7" t="s">
        <v>174</v>
      </c>
      <c r="B6" s="7" t="s">
        <v>175</v>
      </c>
      <c r="C6" s="7" t="s">
        <v>176</v>
      </c>
      <c r="D6" s="16">
        <v>46023</v>
      </c>
      <c r="E6" s="17">
        <v>76633</v>
      </c>
      <c r="F6" s="18">
        <v>1608.18</v>
      </c>
    </row>
    <row r="7" spans="1:12" x14ac:dyDescent="0.2">
      <c r="A7" s="7" t="s">
        <v>174</v>
      </c>
      <c r="B7" s="7" t="s">
        <v>175</v>
      </c>
      <c r="C7" s="7" t="s">
        <v>177</v>
      </c>
      <c r="D7" s="16">
        <v>46024</v>
      </c>
      <c r="E7" s="17">
        <v>76624</v>
      </c>
      <c r="F7" s="18">
        <v>1607.99</v>
      </c>
    </row>
    <row r="8" spans="1:12" x14ac:dyDescent="0.2">
      <c r="A8" s="7" t="s">
        <v>174</v>
      </c>
      <c r="B8" s="7" t="s">
        <v>175</v>
      </c>
      <c r="C8" s="7" t="s">
        <v>178</v>
      </c>
      <c r="D8" s="16">
        <v>46025</v>
      </c>
      <c r="E8" s="17">
        <v>76630</v>
      </c>
      <c r="F8" s="18">
        <v>1608.13</v>
      </c>
    </row>
    <row r="9" spans="1:12" x14ac:dyDescent="0.2">
      <c r="A9" s="7" t="s">
        <v>174</v>
      </c>
      <c r="B9" s="7" t="s">
        <v>175</v>
      </c>
      <c r="C9" s="7" t="s">
        <v>179</v>
      </c>
      <c r="D9" s="16">
        <v>46026</v>
      </c>
      <c r="E9" s="17">
        <v>76625</v>
      </c>
      <c r="F9" s="18">
        <v>1608.02</v>
      </c>
    </row>
    <row r="10" spans="1:12" x14ac:dyDescent="0.2">
      <c r="A10" s="7" t="s">
        <v>174</v>
      </c>
      <c r="B10" s="7" t="s">
        <v>175</v>
      </c>
      <c r="C10" s="7" t="s">
        <v>201</v>
      </c>
      <c r="D10" s="16">
        <v>46027</v>
      </c>
      <c r="E10" s="17">
        <v>76563</v>
      </c>
      <c r="F10" s="18">
        <v>1607.66</v>
      </c>
      <c r="J10" s="17"/>
      <c r="K10" s="18"/>
      <c r="L10" s="17"/>
    </row>
    <row r="11" spans="1:12" x14ac:dyDescent="0.2">
      <c r="A11" s="7" t="s">
        <v>174</v>
      </c>
      <c r="B11" s="7" t="s">
        <v>175</v>
      </c>
      <c r="C11" s="7" t="s">
        <v>202</v>
      </c>
      <c r="D11" s="16">
        <v>46028</v>
      </c>
      <c r="E11" s="17">
        <v>76554</v>
      </c>
      <c r="F11" s="18">
        <v>1607.47</v>
      </c>
      <c r="J11" s="17"/>
      <c r="K11" s="18"/>
      <c r="L11" s="17"/>
    </row>
    <row r="12" spans="1:12" x14ac:dyDescent="0.2">
      <c r="A12" s="7" t="s">
        <v>174</v>
      </c>
      <c r="B12" s="7" t="s">
        <v>175</v>
      </c>
      <c r="C12" s="7" t="s">
        <v>203</v>
      </c>
      <c r="D12" s="16">
        <v>46029</v>
      </c>
      <c r="E12" s="17">
        <v>76556</v>
      </c>
      <c r="F12" s="18">
        <v>1607.52</v>
      </c>
      <c r="J12" s="17"/>
      <c r="K12" s="18"/>
      <c r="L12" s="17"/>
    </row>
    <row r="13" spans="1:12" x14ac:dyDescent="0.2">
      <c r="A13" s="7" t="s">
        <v>174</v>
      </c>
      <c r="B13" s="7" t="s">
        <v>175</v>
      </c>
      <c r="C13" s="7" t="s">
        <v>204</v>
      </c>
      <c r="D13" s="16">
        <v>46030</v>
      </c>
      <c r="E13" s="17">
        <v>76559</v>
      </c>
      <c r="F13" s="18">
        <v>1607.58</v>
      </c>
      <c r="J13" s="17"/>
      <c r="K13" s="18"/>
      <c r="L13" s="17"/>
    </row>
    <row r="14" spans="1:12" x14ac:dyDescent="0.2">
      <c r="A14" s="7" t="s">
        <v>174</v>
      </c>
      <c r="B14" s="7" t="s">
        <v>175</v>
      </c>
      <c r="C14" s="7" t="s">
        <v>205</v>
      </c>
      <c r="D14" s="16">
        <v>46031</v>
      </c>
      <c r="E14" s="17">
        <v>76553</v>
      </c>
      <c r="F14" s="18">
        <v>1607.45</v>
      </c>
      <c r="J14" s="17"/>
      <c r="K14" s="18"/>
    </row>
    <row r="15" spans="1:12" x14ac:dyDescent="0.2">
      <c r="A15" s="7" t="s">
        <v>174</v>
      </c>
      <c r="B15" s="7" t="s">
        <v>175</v>
      </c>
      <c r="C15" s="7" t="s">
        <v>206</v>
      </c>
      <c r="D15" s="16">
        <v>46032</v>
      </c>
      <c r="E15" s="17">
        <v>76561</v>
      </c>
      <c r="F15" s="18">
        <v>1607.62</v>
      </c>
      <c r="J15" s="17"/>
      <c r="K15" s="18"/>
    </row>
    <row r="16" spans="1:12" x14ac:dyDescent="0.2">
      <c r="A16" s="7" t="s">
        <v>174</v>
      </c>
      <c r="B16" s="7" t="s">
        <v>175</v>
      </c>
      <c r="C16" s="7" t="s">
        <v>207</v>
      </c>
      <c r="D16" s="16">
        <v>46033</v>
      </c>
      <c r="E16" s="17">
        <v>76559</v>
      </c>
      <c r="F16" s="18">
        <v>1607.58</v>
      </c>
      <c r="J16" s="17"/>
      <c r="K16" s="18"/>
    </row>
    <row r="17" spans="1:11" x14ac:dyDescent="0.2">
      <c r="A17" s="7" t="s">
        <v>174</v>
      </c>
      <c r="B17" s="7" t="s">
        <v>175</v>
      </c>
      <c r="C17" s="7" t="s">
        <v>231</v>
      </c>
      <c r="D17" s="16">
        <v>46034</v>
      </c>
      <c r="E17" s="17">
        <v>51267</v>
      </c>
      <c r="F17" s="18">
        <v>1076.06</v>
      </c>
      <c r="J17" s="17"/>
      <c r="K17" s="18"/>
    </row>
    <row r="18" spans="1:11" x14ac:dyDescent="0.2">
      <c r="A18" s="7" t="s">
        <v>174</v>
      </c>
      <c r="B18" s="7" t="s">
        <v>175</v>
      </c>
      <c r="C18" s="7" t="s">
        <v>232</v>
      </c>
      <c r="D18" s="16">
        <v>46035</v>
      </c>
      <c r="E18" s="17">
        <v>51259</v>
      </c>
      <c r="F18" s="18">
        <v>1075.8800000000001</v>
      </c>
      <c r="J18" s="17"/>
      <c r="K18" s="18"/>
    </row>
    <row r="19" spans="1:11" x14ac:dyDescent="0.2">
      <c r="A19" s="7" t="s">
        <v>174</v>
      </c>
      <c r="B19" s="7" t="s">
        <v>175</v>
      </c>
      <c r="C19" s="7" t="s">
        <v>233</v>
      </c>
      <c r="D19" s="16">
        <v>46036</v>
      </c>
      <c r="E19" s="17">
        <v>51264</v>
      </c>
      <c r="F19" s="18">
        <v>1075.99</v>
      </c>
      <c r="J19" s="17"/>
      <c r="K19" s="18"/>
    </row>
    <row r="20" spans="1:11" x14ac:dyDescent="0.2">
      <c r="A20" s="7" t="s">
        <v>174</v>
      </c>
      <c r="B20" s="7" t="s">
        <v>175</v>
      </c>
      <c r="C20" s="7" t="s">
        <v>234</v>
      </c>
      <c r="D20" s="16">
        <v>46037</v>
      </c>
      <c r="E20" s="17">
        <v>95518</v>
      </c>
      <c r="F20" s="18">
        <v>2004.84</v>
      </c>
      <c r="J20" s="17"/>
      <c r="K20" s="18"/>
    </row>
    <row r="21" spans="1:11" x14ac:dyDescent="0.2">
      <c r="A21" s="7" t="s">
        <v>174</v>
      </c>
      <c r="B21" s="7" t="s">
        <v>175</v>
      </c>
      <c r="C21" s="7" t="s">
        <v>235</v>
      </c>
      <c r="D21" s="16">
        <v>46038</v>
      </c>
      <c r="E21" s="17">
        <v>95523</v>
      </c>
      <c r="F21" s="18">
        <v>2004.95</v>
      </c>
      <c r="J21" s="17"/>
      <c r="K21" s="18"/>
    </row>
    <row r="22" spans="1:11" x14ac:dyDescent="0.2">
      <c r="A22" s="7" t="s">
        <v>174</v>
      </c>
      <c r="B22" s="7" t="s">
        <v>175</v>
      </c>
      <c r="C22" s="7" t="s">
        <v>236</v>
      </c>
      <c r="D22" s="16">
        <v>46039</v>
      </c>
      <c r="E22" s="17">
        <v>95521</v>
      </c>
      <c r="F22" s="18">
        <v>2004.9</v>
      </c>
      <c r="J22" s="17"/>
      <c r="K22" s="18"/>
    </row>
    <row r="23" spans="1:11" x14ac:dyDescent="0.2">
      <c r="A23" s="7" t="s">
        <v>174</v>
      </c>
      <c r="B23" s="7" t="s">
        <v>175</v>
      </c>
      <c r="C23" s="7" t="s">
        <v>237</v>
      </c>
      <c r="D23" s="16">
        <v>46040</v>
      </c>
      <c r="E23" s="17">
        <v>95504</v>
      </c>
      <c r="F23" s="18">
        <v>2004.54</v>
      </c>
      <c r="J23" s="17"/>
      <c r="K23" s="18"/>
    </row>
    <row r="24" spans="1:11" x14ac:dyDescent="0.2">
      <c r="A24" s="8" t="s">
        <v>80</v>
      </c>
      <c r="E24" s="19">
        <f>SUM(E6:E23)</f>
        <v>1378273</v>
      </c>
      <c r="F24" s="20">
        <f>SUM(F6:F23)</f>
        <v>28932.360000000004</v>
      </c>
      <c r="J24" s="17"/>
      <c r="K24" s="18"/>
    </row>
    <row r="25" spans="1:11" x14ac:dyDescent="0.2">
      <c r="K25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C62F-610B-414F-BA65-862D3BEBBF1D}">
  <dimension ref="A1:K84"/>
  <sheetViews>
    <sheetView topLeftCell="A22" workbookViewId="0">
      <selection activeCell="F3" sqref="F3"/>
    </sheetView>
  </sheetViews>
  <sheetFormatPr baseColWidth="10" defaultRowHeight="15" x14ac:dyDescent="0.2"/>
  <cols>
    <col min="2" max="2" width="19.83203125" customWidth="1"/>
    <col min="3" max="3" width="13.83203125" customWidth="1"/>
    <col min="4" max="4" width="34" customWidth="1"/>
    <col min="5" max="5" width="53.1640625" customWidth="1"/>
    <col min="6" max="6" width="16" customWidth="1"/>
    <col min="7" max="7" width="16.83203125" customWidth="1"/>
    <col min="8" max="8" width="23.5" customWidth="1"/>
  </cols>
  <sheetData>
    <row r="1" spans="1:11" ht="16" x14ac:dyDescent="0.2">
      <c r="A1" s="1" t="s">
        <v>208</v>
      </c>
      <c r="B1" s="1"/>
      <c r="C1" s="1"/>
      <c r="D1" s="1"/>
      <c r="E1" s="2"/>
      <c r="F1" s="2"/>
      <c r="G1" s="2"/>
      <c r="H1" s="2"/>
    </row>
    <row r="2" spans="1:11" ht="16" x14ac:dyDescent="0.2">
      <c r="A2" s="1" t="s">
        <v>0</v>
      </c>
      <c r="B2" s="1"/>
      <c r="C2" s="1"/>
      <c r="D2" s="1"/>
      <c r="E2" s="2"/>
      <c r="F2" s="2"/>
      <c r="G2" s="2"/>
      <c r="H2" s="2"/>
    </row>
    <row r="3" spans="1:11" ht="16" x14ac:dyDescent="0.2">
      <c r="A3" s="1" t="s">
        <v>1</v>
      </c>
      <c r="B3" s="1"/>
      <c r="C3" s="1"/>
      <c r="D3" s="1"/>
      <c r="E3" s="3"/>
      <c r="F3" s="3"/>
      <c r="G3" s="3"/>
      <c r="H3" s="3"/>
    </row>
    <row r="4" spans="1:11" ht="16" x14ac:dyDescent="0.2">
      <c r="A4" s="4" t="s">
        <v>2</v>
      </c>
      <c r="B4" s="4"/>
      <c r="C4" s="4"/>
      <c r="D4" s="4"/>
      <c r="E4" s="3"/>
      <c r="F4" s="3"/>
      <c r="G4" s="3"/>
      <c r="H4" s="3"/>
    </row>
    <row r="5" spans="1:11" ht="16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5"/>
      <c r="H5" s="5"/>
    </row>
    <row r="6" spans="1:11" ht="16" x14ac:dyDescent="0.2">
      <c r="A6" s="6">
        <v>7207</v>
      </c>
      <c r="B6" s="7" t="s">
        <v>79</v>
      </c>
      <c r="C6" s="7">
        <v>7207</v>
      </c>
      <c r="D6" s="7" t="s">
        <v>209</v>
      </c>
      <c r="E6" s="3" t="s">
        <v>9</v>
      </c>
      <c r="F6" s="3">
        <v>35024</v>
      </c>
      <c r="G6" s="3"/>
      <c r="H6" s="3"/>
      <c r="I6" s="3"/>
    </row>
    <row r="7" spans="1:11" ht="16" x14ac:dyDescent="0.2">
      <c r="A7" s="6">
        <v>7207</v>
      </c>
      <c r="B7" s="7" t="s">
        <v>79</v>
      </c>
      <c r="C7" s="7">
        <v>7207</v>
      </c>
      <c r="D7" s="7" t="s">
        <v>209</v>
      </c>
      <c r="E7" s="3" t="s">
        <v>10</v>
      </c>
      <c r="F7" s="3">
        <v>31461</v>
      </c>
      <c r="G7" s="3"/>
      <c r="H7" s="3"/>
      <c r="I7" s="3"/>
    </row>
    <row r="8" spans="1:11" ht="16" x14ac:dyDescent="0.2">
      <c r="A8" s="6">
        <v>7207</v>
      </c>
      <c r="B8" s="7" t="s">
        <v>79</v>
      </c>
      <c r="C8" s="7">
        <v>7207</v>
      </c>
      <c r="D8" s="7" t="s">
        <v>209</v>
      </c>
      <c r="E8" s="3" t="s">
        <v>17</v>
      </c>
      <c r="F8" s="3">
        <v>30704</v>
      </c>
      <c r="G8" s="3"/>
      <c r="H8" s="3"/>
      <c r="I8" s="3"/>
    </row>
    <row r="9" spans="1:11" ht="16" x14ac:dyDescent="0.2">
      <c r="A9" s="6">
        <v>7207</v>
      </c>
      <c r="B9" s="7" t="s">
        <v>79</v>
      </c>
      <c r="C9" s="7">
        <v>7207</v>
      </c>
      <c r="D9" s="7" t="s">
        <v>209</v>
      </c>
      <c r="E9" s="3" t="s">
        <v>18</v>
      </c>
      <c r="F9" s="3">
        <v>28730</v>
      </c>
      <c r="G9" s="3"/>
      <c r="H9" s="3"/>
      <c r="I9" s="3"/>
    </row>
    <row r="10" spans="1:11" ht="16" x14ac:dyDescent="0.2">
      <c r="A10" s="6">
        <v>7207</v>
      </c>
      <c r="B10" s="7" t="s">
        <v>79</v>
      </c>
      <c r="C10" s="7">
        <v>7207</v>
      </c>
      <c r="D10" s="7" t="s">
        <v>209</v>
      </c>
      <c r="E10" s="3" t="s">
        <v>19</v>
      </c>
      <c r="F10" s="3">
        <v>27490</v>
      </c>
      <c r="G10" s="3"/>
      <c r="H10" s="3"/>
      <c r="I10" s="3"/>
    </row>
    <row r="11" spans="1:11" ht="16" x14ac:dyDescent="0.2">
      <c r="A11" s="6">
        <v>7207</v>
      </c>
      <c r="B11" s="7" t="s">
        <v>79</v>
      </c>
      <c r="C11" s="7">
        <v>7207</v>
      </c>
      <c r="D11" s="7" t="s">
        <v>209</v>
      </c>
      <c r="E11" s="3" t="s">
        <v>20</v>
      </c>
      <c r="F11" s="3">
        <v>26952</v>
      </c>
      <c r="G11" s="3"/>
      <c r="H11" s="3"/>
      <c r="I11" s="3"/>
    </row>
    <row r="12" spans="1:11" ht="16" x14ac:dyDescent="0.2">
      <c r="A12" s="6">
        <v>7207</v>
      </c>
      <c r="B12" s="7" t="s">
        <v>79</v>
      </c>
      <c r="C12" s="7">
        <v>7207</v>
      </c>
      <c r="D12" s="7" t="s">
        <v>209</v>
      </c>
      <c r="E12" s="3" t="s">
        <v>15</v>
      </c>
      <c r="F12" s="3">
        <v>23838</v>
      </c>
      <c r="G12" s="3"/>
      <c r="H12" s="3"/>
      <c r="I12" s="3"/>
    </row>
    <row r="13" spans="1:11" ht="16" x14ac:dyDescent="0.2">
      <c r="A13" s="6">
        <v>7207</v>
      </c>
      <c r="B13" s="7" t="s">
        <v>79</v>
      </c>
      <c r="C13" s="7">
        <v>7207</v>
      </c>
      <c r="D13" s="7" t="s">
        <v>209</v>
      </c>
      <c r="E13" s="3" t="s">
        <v>16</v>
      </c>
      <c r="F13" s="3">
        <v>22687</v>
      </c>
      <c r="G13" s="3"/>
      <c r="H13" s="3"/>
      <c r="I13" s="3"/>
    </row>
    <row r="14" spans="1:11" ht="16" x14ac:dyDescent="0.2">
      <c r="A14" s="6">
        <v>7207</v>
      </c>
      <c r="B14" s="7" t="s">
        <v>79</v>
      </c>
      <c r="C14" s="7">
        <v>7207</v>
      </c>
      <c r="D14" s="7" t="s">
        <v>209</v>
      </c>
      <c r="E14" s="3" t="s">
        <v>11</v>
      </c>
      <c r="F14" s="3">
        <v>21056</v>
      </c>
      <c r="G14" s="3"/>
      <c r="H14" s="3"/>
      <c r="I14" s="3"/>
      <c r="K14" s="3"/>
    </row>
    <row r="15" spans="1:11" ht="16" x14ac:dyDescent="0.2">
      <c r="A15" s="6">
        <v>7207</v>
      </c>
      <c r="B15" s="7" t="s">
        <v>79</v>
      </c>
      <c r="C15" s="7">
        <v>7207</v>
      </c>
      <c r="D15" s="7" t="s">
        <v>209</v>
      </c>
      <c r="E15" s="3" t="s">
        <v>12</v>
      </c>
      <c r="F15" s="3">
        <v>20416</v>
      </c>
      <c r="G15" s="3"/>
      <c r="H15" s="3"/>
      <c r="I15" s="3"/>
      <c r="K15" s="3"/>
    </row>
    <row r="16" spans="1:11" ht="16" x14ac:dyDescent="0.2">
      <c r="A16" s="6">
        <v>7207</v>
      </c>
      <c r="B16" s="7" t="s">
        <v>79</v>
      </c>
      <c r="C16" s="7">
        <v>7207</v>
      </c>
      <c r="D16" s="7" t="s">
        <v>209</v>
      </c>
      <c r="E16" s="3" t="s">
        <v>13</v>
      </c>
      <c r="F16" s="3">
        <v>18867</v>
      </c>
      <c r="G16" s="3"/>
      <c r="H16" s="3"/>
      <c r="I16" s="3"/>
      <c r="K16" s="3"/>
    </row>
    <row r="17" spans="1:11" ht="16" x14ac:dyDescent="0.2">
      <c r="A17" s="6">
        <v>7207</v>
      </c>
      <c r="B17" s="7" t="s">
        <v>79</v>
      </c>
      <c r="C17" s="7">
        <v>7207</v>
      </c>
      <c r="D17" s="7" t="s">
        <v>209</v>
      </c>
      <c r="E17" s="3" t="s">
        <v>14</v>
      </c>
      <c r="F17" s="3">
        <v>16462</v>
      </c>
      <c r="G17" s="3"/>
      <c r="H17" s="3"/>
      <c r="I17" s="3"/>
      <c r="K17" s="3"/>
    </row>
    <row r="18" spans="1:11" ht="16" x14ac:dyDescent="0.2">
      <c r="A18" s="6">
        <v>7207</v>
      </c>
      <c r="B18" s="7" t="s">
        <v>79</v>
      </c>
      <c r="C18" s="7">
        <v>7207</v>
      </c>
      <c r="D18" s="7" t="s">
        <v>209</v>
      </c>
      <c r="E18" s="3" t="s">
        <v>21</v>
      </c>
      <c r="F18" s="3">
        <v>15845</v>
      </c>
      <c r="G18" s="3"/>
      <c r="H18" s="3"/>
      <c r="I18" s="3"/>
    </row>
    <row r="19" spans="1:11" ht="16" x14ac:dyDescent="0.2">
      <c r="A19" s="6">
        <v>7207</v>
      </c>
      <c r="B19" s="7" t="s">
        <v>79</v>
      </c>
      <c r="C19" s="7">
        <v>7207</v>
      </c>
      <c r="D19" s="7" t="s">
        <v>209</v>
      </c>
      <c r="E19" s="3" t="s">
        <v>29</v>
      </c>
      <c r="F19" s="3">
        <v>12350</v>
      </c>
      <c r="G19" s="3"/>
      <c r="H19" s="3"/>
      <c r="I19" s="3"/>
      <c r="K19" s="3"/>
    </row>
    <row r="20" spans="1:11" ht="16" x14ac:dyDescent="0.2">
      <c r="A20" s="6">
        <v>7207</v>
      </c>
      <c r="B20" s="7" t="s">
        <v>79</v>
      </c>
      <c r="C20" s="7">
        <v>7207</v>
      </c>
      <c r="D20" s="7" t="s">
        <v>209</v>
      </c>
      <c r="E20" s="3" t="s">
        <v>30</v>
      </c>
      <c r="F20" s="3">
        <v>10259</v>
      </c>
      <c r="G20" s="3"/>
      <c r="H20" s="3"/>
      <c r="I20" s="3"/>
      <c r="K20" s="3"/>
    </row>
    <row r="21" spans="1:11" ht="16" x14ac:dyDescent="0.2">
      <c r="A21" s="6">
        <v>7207</v>
      </c>
      <c r="B21" s="7" t="s">
        <v>79</v>
      </c>
      <c r="C21" s="7">
        <v>7207</v>
      </c>
      <c r="D21" s="7" t="s">
        <v>209</v>
      </c>
      <c r="E21" s="3" t="s">
        <v>31</v>
      </c>
      <c r="F21" s="3">
        <v>7994</v>
      </c>
      <c r="G21" s="3"/>
      <c r="H21" s="3"/>
      <c r="I21" s="3"/>
      <c r="K21" s="3"/>
    </row>
    <row r="22" spans="1:11" ht="16" x14ac:dyDescent="0.2">
      <c r="A22" s="6">
        <v>7207</v>
      </c>
      <c r="B22" s="7" t="s">
        <v>79</v>
      </c>
      <c r="C22" s="7">
        <v>7207</v>
      </c>
      <c r="D22" s="7" t="s">
        <v>209</v>
      </c>
      <c r="E22" s="3" t="s">
        <v>32</v>
      </c>
      <c r="F22" s="3">
        <v>7278</v>
      </c>
      <c r="G22" s="3"/>
      <c r="H22" s="3"/>
      <c r="I22" s="3"/>
      <c r="K22" s="3"/>
    </row>
    <row r="23" spans="1:11" ht="16" x14ac:dyDescent="0.2">
      <c r="A23" s="6">
        <v>7207</v>
      </c>
      <c r="B23" s="7" t="s">
        <v>79</v>
      </c>
      <c r="C23" s="7">
        <v>7207</v>
      </c>
      <c r="D23" s="7" t="s">
        <v>209</v>
      </c>
      <c r="E23" s="3" t="s">
        <v>26</v>
      </c>
      <c r="F23" s="3">
        <v>6775</v>
      </c>
      <c r="G23" s="3"/>
      <c r="H23" s="3"/>
      <c r="I23" s="3"/>
    </row>
    <row r="24" spans="1:11" ht="16" x14ac:dyDescent="0.2">
      <c r="A24" s="6">
        <v>7207</v>
      </c>
      <c r="B24" s="7" t="s">
        <v>79</v>
      </c>
      <c r="C24" s="7">
        <v>7207</v>
      </c>
      <c r="D24" s="7" t="s">
        <v>209</v>
      </c>
      <c r="E24" s="3" t="s">
        <v>27</v>
      </c>
      <c r="F24" s="3">
        <v>6593</v>
      </c>
      <c r="G24" s="3"/>
      <c r="H24" s="3"/>
      <c r="I24" s="3"/>
    </row>
    <row r="25" spans="1:11" ht="16" x14ac:dyDescent="0.2">
      <c r="A25" s="6">
        <v>7207</v>
      </c>
      <c r="B25" s="7" t="s">
        <v>79</v>
      </c>
      <c r="C25" s="7">
        <v>7207</v>
      </c>
      <c r="D25" s="7" t="s">
        <v>209</v>
      </c>
      <c r="E25" s="3" t="s">
        <v>28</v>
      </c>
      <c r="F25" s="3">
        <v>5861</v>
      </c>
      <c r="G25" s="3"/>
      <c r="H25" s="3"/>
      <c r="I25" s="3"/>
    </row>
    <row r="26" spans="1:11" ht="16" x14ac:dyDescent="0.2">
      <c r="A26" s="6">
        <v>7207</v>
      </c>
      <c r="B26" s="7" t="s">
        <v>79</v>
      </c>
      <c r="C26" s="7">
        <v>7207</v>
      </c>
      <c r="D26" s="7" t="s">
        <v>209</v>
      </c>
      <c r="E26" s="3" t="s">
        <v>22</v>
      </c>
      <c r="F26" s="3">
        <v>5478</v>
      </c>
      <c r="G26" s="3"/>
      <c r="H26" s="3"/>
      <c r="I26" s="3"/>
      <c r="K26" s="3"/>
    </row>
    <row r="27" spans="1:11" ht="16" x14ac:dyDescent="0.2">
      <c r="A27" s="6">
        <v>7207</v>
      </c>
      <c r="B27" s="7" t="s">
        <v>79</v>
      </c>
      <c r="C27" s="7">
        <v>7207</v>
      </c>
      <c r="D27" s="7" t="s">
        <v>209</v>
      </c>
      <c r="E27" s="3" t="s">
        <v>23</v>
      </c>
      <c r="F27" s="3">
        <v>5162</v>
      </c>
      <c r="G27" s="3"/>
      <c r="H27" s="3"/>
      <c r="I27" s="3"/>
      <c r="K27" s="3"/>
    </row>
    <row r="28" spans="1:11" ht="16" x14ac:dyDescent="0.2">
      <c r="A28" s="6">
        <v>7207</v>
      </c>
      <c r="B28" s="7" t="s">
        <v>79</v>
      </c>
      <c r="C28" s="7">
        <v>7207</v>
      </c>
      <c r="D28" s="7" t="s">
        <v>209</v>
      </c>
      <c r="E28" s="3" t="s">
        <v>24</v>
      </c>
      <c r="F28" s="3">
        <v>4861</v>
      </c>
      <c r="G28" s="3"/>
      <c r="H28" s="3"/>
      <c r="I28" s="3"/>
      <c r="K28" s="3"/>
    </row>
    <row r="29" spans="1:11" ht="16" x14ac:dyDescent="0.2">
      <c r="A29" s="6">
        <v>7207</v>
      </c>
      <c r="B29" s="7" t="s">
        <v>79</v>
      </c>
      <c r="C29" s="7">
        <v>7207</v>
      </c>
      <c r="D29" s="7" t="s">
        <v>209</v>
      </c>
      <c r="E29" s="3" t="s">
        <v>25</v>
      </c>
      <c r="F29" s="3">
        <v>4412</v>
      </c>
      <c r="G29" s="3"/>
      <c r="H29" s="3"/>
      <c r="I29" s="3"/>
      <c r="K29" s="3"/>
    </row>
    <row r="30" spans="1:11" ht="16" x14ac:dyDescent="0.2">
      <c r="A30" s="6">
        <v>7207</v>
      </c>
      <c r="B30" s="7" t="s">
        <v>79</v>
      </c>
      <c r="C30" s="7">
        <v>7207</v>
      </c>
      <c r="D30" s="7" t="s">
        <v>209</v>
      </c>
      <c r="E30" s="3" t="s">
        <v>33</v>
      </c>
      <c r="F30" s="3">
        <v>3763</v>
      </c>
      <c r="G30" s="3"/>
      <c r="H30" s="3"/>
      <c r="I30" s="3"/>
    </row>
    <row r="31" spans="1:11" ht="16" x14ac:dyDescent="0.2">
      <c r="A31" s="6">
        <v>7207</v>
      </c>
      <c r="B31" s="7" t="s">
        <v>79</v>
      </c>
      <c r="C31" s="7">
        <v>7207</v>
      </c>
      <c r="D31" s="7" t="s">
        <v>209</v>
      </c>
      <c r="E31" s="3" t="s">
        <v>34</v>
      </c>
      <c r="F31" s="3">
        <v>3592</v>
      </c>
      <c r="G31" s="3"/>
      <c r="H31" s="3"/>
      <c r="I31" s="3"/>
    </row>
    <row r="32" spans="1:11" ht="16" x14ac:dyDescent="0.2">
      <c r="A32" s="6">
        <v>7207</v>
      </c>
      <c r="B32" s="7" t="s">
        <v>79</v>
      </c>
      <c r="C32" s="7">
        <v>7207</v>
      </c>
      <c r="D32" s="7" t="s">
        <v>209</v>
      </c>
      <c r="E32" s="3" t="s">
        <v>60</v>
      </c>
      <c r="F32" s="3">
        <v>2828</v>
      </c>
      <c r="G32" s="3"/>
      <c r="H32" s="3"/>
      <c r="I32" s="3"/>
    </row>
    <row r="33" spans="1:11" ht="16" x14ac:dyDescent="0.2">
      <c r="A33" s="6">
        <v>7207</v>
      </c>
      <c r="B33" s="7" t="s">
        <v>79</v>
      </c>
      <c r="C33" s="7">
        <v>7207</v>
      </c>
      <c r="D33" s="7" t="s">
        <v>209</v>
      </c>
      <c r="E33" s="3" t="s">
        <v>35</v>
      </c>
      <c r="F33" s="3">
        <v>2418</v>
      </c>
      <c r="G33" s="3"/>
      <c r="H33" s="3"/>
      <c r="I33" s="3"/>
    </row>
    <row r="34" spans="1:11" ht="16" x14ac:dyDescent="0.2">
      <c r="A34" s="6">
        <v>7207</v>
      </c>
      <c r="B34" s="7" t="s">
        <v>79</v>
      </c>
      <c r="C34" s="7">
        <v>7207</v>
      </c>
      <c r="D34" s="7" t="s">
        <v>209</v>
      </c>
      <c r="E34" s="3" t="s">
        <v>55</v>
      </c>
      <c r="F34" s="3">
        <v>2375</v>
      </c>
      <c r="G34" s="3"/>
      <c r="H34" s="3"/>
      <c r="I34" s="3"/>
    </row>
    <row r="35" spans="1:11" ht="16" x14ac:dyDescent="0.2">
      <c r="A35" s="6">
        <v>7207</v>
      </c>
      <c r="B35" s="7" t="s">
        <v>79</v>
      </c>
      <c r="C35" s="7">
        <v>7207</v>
      </c>
      <c r="D35" s="7" t="s">
        <v>209</v>
      </c>
      <c r="E35" s="3" t="s">
        <v>36</v>
      </c>
      <c r="F35" s="3">
        <v>2289</v>
      </c>
      <c r="G35" s="3"/>
      <c r="H35" s="3"/>
      <c r="I35" s="3"/>
    </row>
    <row r="36" spans="1:11" ht="16" x14ac:dyDescent="0.2">
      <c r="A36" s="6">
        <v>7207</v>
      </c>
      <c r="B36" s="7" t="s">
        <v>79</v>
      </c>
      <c r="C36" s="7">
        <v>7207</v>
      </c>
      <c r="D36" s="7" t="s">
        <v>209</v>
      </c>
      <c r="E36" s="3" t="s">
        <v>56</v>
      </c>
      <c r="F36" s="3">
        <v>2240</v>
      </c>
      <c r="G36" s="3"/>
      <c r="H36" s="3"/>
      <c r="I36" s="3"/>
    </row>
    <row r="37" spans="1:11" ht="16" x14ac:dyDescent="0.2">
      <c r="A37" s="6">
        <v>7207</v>
      </c>
      <c r="B37" s="7" t="s">
        <v>79</v>
      </c>
      <c r="C37" s="7">
        <v>7207</v>
      </c>
      <c r="D37" s="7" t="s">
        <v>209</v>
      </c>
      <c r="E37" s="3" t="s">
        <v>37</v>
      </c>
      <c r="F37" s="3">
        <v>2121</v>
      </c>
      <c r="G37" s="3"/>
      <c r="H37" s="3"/>
      <c r="I37" s="3"/>
    </row>
    <row r="38" spans="1:11" ht="16" x14ac:dyDescent="0.2">
      <c r="A38" s="6">
        <v>7207</v>
      </c>
      <c r="B38" s="7" t="s">
        <v>79</v>
      </c>
      <c r="C38" s="7">
        <v>7207</v>
      </c>
      <c r="D38" s="7" t="s">
        <v>209</v>
      </c>
      <c r="E38" s="3" t="s">
        <v>38</v>
      </c>
      <c r="F38" s="3">
        <v>2067</v>
      </c>
      <c r="G38" s="3"/>
      <c r="H38" s="3"/>
      <c r="I38" s="3"/>
    </row>
    <row r="39" spans="1:11" ht="16" x14ac:dyDescent="0.2">
      <c r="A39" s="6">
        <v>7207</v>
      </c>
      <c r="B39" s="7" t="s">
        <v>79</v>
      </c>
      <c r="C39" s="7">
        <v>7207</v>
      </c>
      <c r="D39" s="7" t="s">
        <v>209</v>
      </c>
      <c r="E39" s="3" t="s">
        <v>51</v>
      </c>
      <c r="F39" s="3">
        <v>2029</v>
      </c>
      <c r="G39" s="3"/>
      <c r="H39" s="3"/>
      <c r="I39" s="3"/>
    </row>
    <row r="40" spans="1:11" ht="16" x14ac:dyDescent="0.2">
      <c r="A40" s="6">
        <v>7207</v>
      </c>
      <c r="B40" s="7" t="s">
        <v>79</v>
      </c>
      <c r="C40" s="7">
        <v>7207</v>
      </c>
      <c r="D40" s="7" t="s">
        <v>209</v>
      </c>
      <c r="E40" s="3" t="s">
        <v>45</v>
      </c>
      <c r="F40" s="3">
        <v>1945</v>
      </c>
      <c r="G40" s="3"/>
      <c r="H40" s="3"/>
      <c r="I40" s="3"/>
    </row>
    <row r="41" spans="1:11" ht="16" x14ac:dyDescent="0.2">
      <c r="A41" s="6">
        <v>7207</v>
      </c>
      <c r="B41" s="7" t="s">
        <v>79</v>
      </c>
      <c r="C41" s="7">
        <v>7207</v>
      </c>
      <c r="D41" s="7" t="s">
        <v>209</v>
      </c>
      <c r="E41" s="3" t="s">
        <v>52</v>
      </c>
      <c r="F41" s="3">
        <v>1874</v>
      </c>
      <c r="G41" s="3"/>
      <c r="H41" s="3"/>
      <c r="I41" s="3"/>
    </row>
    <row r="42" spans="1:11" ht="16" x14ac:dyDescent="0.2">
      <c r="A42" s="6">
        <v>7207</v>
      </c>
      <c r="B42" s="7" t="s">
        <v>79</v>
      </c>
      <c r="C42" s="7">
        <v>7207</v>
      </c>
      <c r="D42" s="7" t="s">
        <v>209</v>
      </c>
      <c r="E42" s="3" t="s">
        <v>46</v>
      </c>
      <c r="F42" s="3">
        <v>1841</v>
      </c>
      <c r="G42" s="3"/>
      <c r="H42" s="3"/>
      <c r="I42" s="3"/>
    </row>
    <row r="43" spans="1:11" ht="16" x14ac:dyDescent="0.2">
      <c r="A43" s="6">
        <v>7207</v>
      </c>
      <c r="B43" s="7" t="s">
        <v>79</v>
      </c>
      <c r="C43" s="7">
        <v>7207</v>
      </c>
      <c r="D43" s="7" t="s">
        <v>209</v>
      </c>
      <c r="E43" s="3" t="s">
        <v>39</v>
      </c>
      <c r="F43" s="3">
        <v>1830</v>
      </c>
      <c r="G43" s="3"/>
      <c r="H43" s="3"/>
      <c r="I43" s="3"/>
    </row>
    <row r="44" spans="1:11" ht="16" x14ac:dyDescent="0.2">
      <c r="A44" s="6">
        <v>7207</v>
      </c>
      <c r="B44" s="7" t="s">
        <v>79</v>
      </c>
      <c r="C44" s="7">
        <v>7207</v>
      </c>
      <c r="D44" s="7" t="s">
        <v>209</v>
      </c>
      <c r="E44" s="3" t="s">
        <v>53</v>
      </c>
      <c r="F44" s="3">
        <v>1792</v>
      </c>
      <c r="G44" s="3"/>
      <c r="H44" s="3"/>
      <c r="I44" s="3"/>
    </row>
    <row r="45" spans="1:11" ht="16" x14ac:dyDescent="0.2">
      <c r="A45" s="6">
        <v>7207</v>
      </c>
      <c r="B45" s="7" t="s">
        <v>79</v>
      </c>
      <c r="C45" s="7">
        <v>7207</v>
      </c>
      <c r="D45" s="7" t="s">
        <v>209</v>
      </c>
      <c r="E45" s="3" t="s">
        <v>40</v>
      </c>
      <c r="F45" s="3">
        <v>1771</v>
      </c>
      <c r="G45" s="3"/>
      <c r="H45" s="3"/>
      <c r="I45" s="3"/>
    </row>
    <row r="46" spans="1:11" ht="16" x14ac:dyDescent="0.2">
      <c r="A46" s="6">
        <v>7207</v>
      </c>
      <c r="B46" s="7" t="s">
        <v>79</v>
      </c>
      <c r="C46" s="7">
        <v>7207</v>
      </c>
      <c r="D46" s="7" t="s">
        <v>209</v>
      </c>
      <c r="E46" s="3" t="s">
        <v>47</v>
      </c>
      <c r="F46" s="3">
        <v>1743</v>
      </c>
      <c r="G46" s="3"/>
      <c r="H46" s="3"/>
      <c r="I46" s="3"/>
    </row>
    <row r="47" spans="1:11" ht="16" x14ac:dyDescent="0.2">
      <c r="A47" s="6">
        <v>7207</v>
      </c>
      <c r="B47" s="7" t="s">
        <v>79</v>
      </c>
      <c r="C47" s="7">
        <v>7207</v>
      </c>
      <c r="D47" s="7" t="s">
        <v>209</v>
      </c>
      <c r="E47" s="3" t="s">
        <v>41</v>
      </c>
      <c r="F47" s="3">
        <v>1739</v>
      </c>
      <c r="G47" s="3"/>
      <c r="H47" s="3"/>
      <c r="I47" s="3"/>
    </row>
    <row r="48" spans="1:11" ht="16" x14ac:dyDescent="0.2">
      <c r="A48" s="6">
        <v>7207</v>
      </c>
      <c r="B48" s="7" t="s">
        <v>79</v>
      </c>
      <c r="C48" s="7">
        <v>7207</v>
      </c>
      <c r="D48" s="7" t="s">
        <v>209</v>
      </c>
      <c r="E48" s="3" t="s">
        <v>42</v>
      </c>
      <c r="F48" s="3">
        <v>1650</v>
      </c>
      <c r="G48" s="3"/>
      <c r="H48" s="3"/>
      <c r="I48" s="3"/>
      <c r="K48" s="3"/>
    </row>
    <row r="49" spans="1:11" ht="16" x14ac:dyDescent="0.2">
      <c r="A49" s="6">
        <v>7207</v>
      </c>
      <c r="B49" s="7" t="s">
        <v>79</v>
      </c>
      <c r="C49" s="7">
        <v>7207</v>
      </c>
      <c r="D49" s="7" t="s">
        <v>209</v>
      </c>
      <c r="E49" s="3" t="s">
        <v>48</v>
      </c>
      <c r="F49" s="3">
        <v>1602</v>
      </c>
      <c r="G49" s="3"/>
      <c r="H49" s="3"/>
      <c r="I49" s="3"/>
      <c r="K49" s="3"/>
    </row>
    <row r="50" spans="1:11" ht="16" x14ac:dyDescent="0.2">
      <c r="A50" s="6">
        <v>7207</v>
      </c>
      <c r="B50" s="7" t="s">
        <v>79</v>
      </c>
      <c r="C50" s="7">
        <v>7207</v>
      </c>
      <c r="D50" s="7" t="s">
        <v>209</v>
      </c>
      <c r="E50" s="3" t="s">
        <v>43</v>
      </c>
      <c r="F50" s="3">
        <v>1597</v>
      </c>
      <c r="G50" s="3"/>
      <c r="H50" s="3"/>
      <c r="I50" s="3"/>
      <c r="K50" s="3"/>
    </row>
    <row r="51" spans="1:11" ht="16" x14ac:dyDescent="0.2">
      <c r="A51" s="6">
        <v>7207</v>
      </c>
      <c r="B51" s="7" t="s">
        <v>79</v>
      </c>
      <c r="C51" s="7">
        <v>7207</v>
      </c>
      <c r="D51" s="7" t="s">
        <v>209</v>
      </c>
      <c r="E51" s="3" t="s">
        <v>44</v>
      </c>
      <c r="F51" s="3">
        <v>1537</v>
      </c>
      <c r="G51" s="3"/>
      <c r="H51" s="3"/>
      <c r="I51" s="3"/>
      <c r="K51" s="3"/>
    </row>
    <row r="52" spans="1:11" ht="16" x14ac:dyDescent="0.2">
      <c r="A52" s="6">
        <v>7207</v>
      </c>
      <c r="B52" s="7" t="s">
        <v>79</v>
      </c>
      <c r="C52" s="7">
        <v>7207</v>
      </c>
      <c r="D52" s="7" t="s">
        <v>209</v>
      </c>
      <c r="E52" s="3" t="s">
        <v>54</v>
      </c>
      <c r="F52" s="3">
        <v>1526</v>
      </c>
      <c r="G52" s="3"/>
      <c r="H52" s="3"/>
      <c r="I52" s="3"/>
    </row>
    <row r="53" spans="1:11" ht="16" x14ac:dyDescent="0.2">
      <c r="A53" s="6">
        <v>7207</v>
      </c>
      <c r="B53" s="7" t="s">
        <v>79</v>
      </c>
      <c r="C53" s="7">
        <v>7207</v>
      </c>
      <c r="D53" s="7" t="s">
        <v>209</v>
      </c>
      <c r="E53" s="3" t="s">
        <v>49</v>
      </c>
      <c r="F53" s="3">
        <v>1505</v>
      </c>
      <c r="G53" s="3"/>
      <c r="H53" s="3"/>
      <c r="I53" s="3"/>
    </row>
    <row r="54" spans="1:11" ht="16" x14ac:dyDescent="0.2">
      <c r="A54" s="6">
        <v>7207</v>
      </c>
      <c r="B54" s="7" t="s">
        <v>79</v>
      </c>
      <c r="C54" s="7">
        <v>7207</v>
      </c>
      <c r="D54" s="7" t="s">
        <v>209</v>
      </c>
      <c r="E54" s="3" t="s">
        <v>61</v>
      </c>
      <c r="F54" s="3">
        <v>1421</v>
      </c>
      <c r="G54" s="3"/>
      <c r="H54" s="3"/>
      <c r="I54" s="3"/>
    </row>
    <row r="55" spans="1:11" ht="16" x14ac:dyDescent="0.2">
      <c r="A55" s="6">
        <v>7207</v>
      </c>
      <c r="B55" s="7" t="s">
        <v>79</v>
      </c>
      <c r="C55" s="7">
        <v>7207</v>
      </c>
      <c r="D55" s="7" t="s">
        <v>209</v>
      </c>
      <c r="E55" s="3" t="s">
        <v>50</v>
      </c>
      <c r="F55" s="3">
        <v>1378</v>
      </c>
      <c r="G55" s="3"/>
      <c r="H55" s="3"/>
      <c r="I55" s="3"/>
    </row>
    <row r="56" spans="1:11" ht="16" x14ac:dyDescent="0.2">
      <c r="A56" s="6">
        <v>7207</v>
      </c>
      <c r="B56" s="7" t="s">
        <v>79</v>
      </c>
      <c r="C56" s="7">
        <v>7207</v>
      </c>
      <c r="D56" s="7" t="s">
        <v>209</v>
      </c>
      <c r="E56" s="3" t="s">
        <v>62</v>
      </c>
      <c r="F56" s="3">
        <v>1269</v>
      </c>
      <c r="G56" s="3"/>
      <c r="H56" s="3"/>
      <c r="I56" s="3"/>
    </row>
    <row r="57" spans="1:11" ht="16" x14ac:dyDescent="0.2">
      <c r="A57" s="6">
        <v>7207</v>
      </c>
      <c r="B57" s="7" t="s">
        <v>79</v>
      </c>
      <c r="C57" s="7">
        <v>7207</v>
      </c>
      <c r="D57" s="7" t="s">
        <v>209</v>
      </c>
      <c r="E57" s="3" t="s">
        <v>57</v>
      </c>
      <c r="F57" s="3">
        <v>1249</v>
      </c>
      <c r="G57" s="3"/>
      <c r="H57" s="3"/>
      <c r="I57" s="3"/>
    </row>
    <row r="58" spans="1:11" ht="16" x14ac:dyDescent="0.2">
      <c r="A58" s="6">
        <v>7207</v>
      </c>
      <c r="B58" s="7" t="s">
        <v>79</v>
      </c>
      <c r="C58" s="7">
        <v>7207</v>
      </c>
      <c r="D58" s="7" t="s">
        <v>209</v>
      </c>
      <c r="E58" s="3" t="s">
        <v>58</v>
      </c>
      <c r="F58" s="3">
        <v>1180</v>
      </c>
      <c r="G58" s="3"/>
      <c r="H58" s="3"/>
      <c r="I58" s="3"/>
    </row>
    <row r="59" spans="1:11" ht="16" x14ac:dyDescent="0.2">
      <c r="A59" s="6">
        <v>7207</v>
      </c>
      <c r="B59" s="7" t="s">
        <v>79</v>
      </c>
      <c r="C59" s="7">
        <v>7207</v>
      </c>
      <c r="D59" s="7" t="s">
        <v>209</v>
      </c>
      <c r="E59" s="3" t="s">
        <v>63</v>
      </c>
      <c r="F59" s="3">
        <v>1133</v>
      </c>
      <c r="G59" s="3"/>
      <c r="H59" s="3"/>
      <c r="I59" s="3"/>
    </row>
    <row r="60" spans="1:11" ht="16" x14ac:dyDescent="0.2">
      <c r="A60" s="6">
        <v>7207</v>
      </c>
      <c r="B60" s="7" t="s">
        <v>79</v>
      </c>
      <c r="C60" s="7">
        <v>7207</v>
      </c>
      <c r="D60" s="7" t="s">
        <v>209</v>
      </c>
      <c r="E60" s="3" t="s">
        <v>59</v>
      </c>
      <c r="F60" s="3">
        <v>1127</v>
      </c>
      <c r="G60" s="3"/>
      <c r="H60" s="3"/>
      <c r="I60" s="7"/>
    </row>
    <row r="61" spans="1:11" ht="16" x14ac:dyDescent="0.2">
      <c r="A61" s="6">
        <v>7207</v>
      </c>
      <c r="B61" s="7" t="s">
        <v>79</v>
      </c>
      <c r="C61" s="7">
        <v>7207</v>
      </c>
      <c r="D61" s="7" t="s">
        <v>209</v>
      </c>
      <c r="E61" s="3" t="s">
        <v>64</v>
      </c>
      <c r="F61" s="3">
        <v>697</v>
      </c>
      <c r="G61" s="3"/>
      <c r="H61" s="7"/>
      <c r="I61" s="7"/>
    </row>
    <row r="62" spans="1:11" ht="16" x14ac:dyDescent="0.2">
      <c r="A62" s="6">
        <v>7207</v>
      </c>
      <c r="B62" s="7" t="s">
        <v>79</v>
      </c>
      <c r="C62" s="7">
        <v>7207</v>
      </c>
      <c r="D62" s="7" t="s">
        <v>209</v>
      </c>
      <c r="E62" s="3" t="s">
        <v>65</v>
      </c>
      <c r="F62" s="3">
        <v>588</v>
      </c>
      <c r="G62" s="3"/>
      <c r="H62" s="7"/>
      <c r="I62" s="7"/>
    </row>
    <row r="63" spans="1:11" ht="16" x14ac:dyDescent="0.2">
      <c r="A63" s="6">
        <v>7207</v>
      </c>
      <c r="B63" s="7" t="s">
        <v>79</v>
      </c>
      <c r="C63" s="7">
        <v>7207</v>
      </c>
      <c r="D63" s="7" t="s">
        <v>209</v>
      </c>
      <c r="E63" s="3" t="s">
        <v>66</v>
      </c>
      <c r="F63" s="3">
        <v>547</v>
      </c>
      <c r="G63" s="3"/>
      <c r="H63" s="7"/>
      <c r="I63" s="7"/>
    </row>
    <row r="64" spans="1:11" ht="16" x14ac:dyDescent="0.2">
      <c r="A64" s="6">
        <v>7207</v>
      </c>
      <c r="B64" s="7" t="s">
        <v>79</v>
      </c>
      <c r="C64" s="7">
        <v>7207</v>
      </c>
      <c r="D64" s="7" t="s">
        <v>209</v>
      </c>
      <c r="E64" s="3" t="s">
        <v>67</v>
      </c>
      <c r="F64" s="3">
        <v>476</v>
      </c>
      <c r="G64" s="3"/>
      <c r="H64" s="7"/>
      <c r="I64" s="7"/>
    </row>
    <row r="65" spans="1:11" ht="16" x14ac:dyDescent="0.2">
      <c r="A65" s="6">
        <v>7207</v>
      </c>
      <c r="B65" s="7" t="s">
        <v>79</v>
      </c>
      <c r="C65" s="7">
        <v>7207</v>
      </c>
      <c r="D65" s="7" t="s">
        <v>209</v>
      </c>
      <c r="E65" s="3" t="s">
        <v>75</v>
      </c>
      <c r="F65" s="3">
        <v>439</v>
      </c>
      <c r="G65" s="3"/>
      <c r="H65" s="7"/>
      <c r="I65" s="7"/>
    </row>
    <row r="66" spans="1:11" ht="16" x14ac:dyDescent="0.2">
      <c r="A66" s="6">
        <v>7207</v>
      </c>
      <c r="B66" s="7" t="s">
        <v>79</v>
      </c>
      <c r="C66" s="7">
        <v>7207</v>
      </c>
      <c r="D66" s="7" t="s">
        <v>209</v>
      </c>
      <c r="E66" s="3" t="s">
        <v>76</v>
      </c>
      <c r="F66" s="3">
        <v>359</v>
      </c>
      <c r="G66" s="3"/>
      <c r="H66" s="7"/>
      <c r="I66" s="7"/>
    </row>
    <row r="67" spans="1:11" ht="16" x14ac:dyDescent="0.2">
      <c r="A67" s="6">
        <v>7207</v>
      </c>
      <c r="B67" s="7" t="s">
        <v>79</v>
      </c>
      <c r="C67" s="7">
        <v>7207</v>
      </c>
      <c r="D67" s="7" t="s">
        <v>209</v>
      </c>
      <c r="E67" s="3" t="s">
        <v>77</v>
      </c>
      <c r="F67" s="3">
        <v>302</v>
      </c>
      <c r="G67" s="3"/>
      <c r="H67" s="7"/>
      <c r="I67" s="7"/>
    </row>
    <row r="68" spans="1:11" ht="16" x14ac:dyDescent="0.2">
      <c r="A68" s="6">
        <v>7207</v>
      </c>
      <c r="B68" s="7" t="s">
        <v>79</v>
      </c>
      <c r="C68" s="7">
        <v>7207</v>
      </c>
      <c r="D68" s="7" t="s">
        <v>209</v>
      </c>
      <c r="E68" s="3" t="s">
        <v>78</v>
      </c>
      <c r="F68" s="3">
        <v>277</v>
      </c>
      <c r="G68" s="3"/>
      <c r="H68" s="7"/>
      <c r="I68" s="7"/>
    </row>
    <row r="69" spans="1:11" ht="16" x14ac:dyDescent="0.2">
      <c r="A69" s="6">
        <v>7207</v>
      </c>
      <c r="B69" s="7" t="s">
        <v>79</v>
      </c>
      <c r="C69" s="7">
        <v>7207</v>
      </c>
      <c r="D69" s="7" t="s">
        <v>209</v>
      </c>
      <c r="E69" s="3" t="s">
        <v>72</v>
      </c>
      <c r="F69" s="3">
        <v>249</v>
      </c>
      <c r="G69" s="3"/>
      <c r="H69" s="7"/>
      <c r="I69" s="7"/>
    </row>
    <row r="70" spans="1:11" ht="16" x14ac:dyDescent="0.2">
      <c r="A70" s="6">
        <v>7207</v>
      </c>
      <c r="B70" s="7" t="s">
        <v>79</v>
      </c>
      <c r="C70" s="7">
        <v>7207</v>
      </c>
      <c r="D70" s="7" t="s">
        <v>209</v>
      </c>
      <c r="E70" s="3" t="s">
        <v>73</v>
      </c>
      <c r="F70" s="3">
        <v>199</v>
      </c>
      <c r="G70" s="3"/>
      <c r="H70" s="7"/>
      <c r="I70" s="7"/>
    </row>
    <row r="71" spans="1:11" ht="16" x14ac:dyDescent="0.2">
      <c r="A71" s="6">
        <v>7207</v>
      </c>
      <c r="B71" s="7" t="s">
        <v>79</v>
      </c>
      <c r="C71" s="7">
        <v>7207</v>
      </c>
      <c r="D71" s="7" t="s">
        <v>209</v>
      </c>
      <c r="E71" s="3" t="s">
        <v>74</v>
      </c>
      <c r="F71" s="3">
        <v>174</v>
      </c>
      <c r="G71" s="3"/>
      <c r="H71" s="7"/>
      <c r="I71" s="7"/>
    </row>
    <row r="72" spans="1:11" ht="16" x14ac:dyDescent="0.2">
      <c r="A72" s="6">
        <v>7207</v>
      </c>
      <c r="B72" s="7" t="s">
        <v>79</v>
      </c>
      <c r="C72" s="7">
        <v>7207</v>
      </c>
      <c r="D72" s="7" t="s">
        <v>209</v>
      </c>
      <c r="E72" s="3" t="s">
        <v>68</v>
      </c>
      <c r="F72" s="3">
        <v>143</v>
      </c>
      <c r="G72" s="3"/>
      <c r="H72" s="7"/>
      <c r="I72" s="7"/>
      <c r="K72" s="3"/>
    </row>
    <row r="73" spans="1:11" ht="16" x14ac:dyDescent="0.2">
      <c r="A73" s="6">
        <v>7207</v>
      </c>
      <c r="B73" s="7" t="s">
        <v>79</v>
      </c>
      <c r="C73" s="7">
        <v>7207</v>
      </c>
      <c r="D73" s="7" t="s">
        <v>209</v>
      </c>
      <c r="E73" s="3" t="s">
        <v>69</v>
      </c>
      <c r="F73" s="3">
        <v>125</v>
      </c>
      <c r="G73" s="3"/>
      <c r="H73" s="3"/>
      <c r="I73" s="7"/>
      <c r="K73" s="3"/>
    </row>
    <row r="74" spans="1:11" ht="16" x14ac:dyDescent="0.2">
      <c r="A74" s="6">
        <v>7207</v>
      </c>
      <c r="B74" s="7" t="s">
        <v>79</v>
      </c>
      <c r="C74" s="7">
        <v>7207</v>
      </c>
      <c r="D74" s="7" t="s">
        <v>209</v>
      </c>
      <c r="E74" s="3" t="s">
        <v>70</v>
      </c>
      <c r="F74" s="3">
        <v>104</v>
      </c>
      <c r="G74" s="3"/>
      <c r="H74" s="3"/>
      <c r="I74" s="7"/>
      <c r="K74" s="3"/>
    </row>
    <row r="75" spans="1:11" ht="16" x14ac:dyDescent="0.2">
      <c r="A75" s="6">
        <v>7207</v>
      </c>
      <c r="B75" s="7" t="s">
        <v>79</v>
      </c>
      <c r="C75" s="7">
        <v>7207</v>
      </c>
      <c r="D75" s="7" t="s">
        <v>209</v>
      </c>
      <c r="E75" s="3" t="s">
        <v>71</v>
      </c>
      <c r="F75" s="3">
        <v>103</v>
      </c>
      <c r="G75" s="3"/>
      <c r="H75" s="3"/>
      <c r="I75" s="7"/>
      <c r="K75" s="3"/>
    </row>
    <row r="76" spans="1:11" ht="16" x14ac:dyDescent="0.2">
      <c r="A76" s="8" t="s">
        <v>80</v>
      </c>
      <c r="F76" s="8">
        <f>SUM(F6:F75)</f>
        <v>459768</v>
      </c>
      <c r="G76" s="26"/>
      <c r="H76" s="11"/>
      <c r="I76" s="7"/>
    </row>
    <row r="77" spans="1:11" ht="16" x14ac:dyDescent="0.2">
      <c r="I77" s="7"/>
    </row>
    <row r="78" spans="1:11" ht="16" x14ac:dyDescent="0.2">
      <c r="I78" s="7"/>
    </row>
    <row r="79" spans="1:11" ht="16" x14ac:dyDescent="0.2">
      <c r="I79" s="7"/>
    </row>
    <row r="80" spans="1:11" ht="16" x14ac:dyDescent="0.2">
      <c r="I80" s="7"/>
    </row>
    <row r="81" spans="9:9" ht="16" x14ac:dyDescent="0.2">
      <c r="I81" s="7"/>
    </row>
    <row r="82" spans="9:9" ht="16" x14ac:dyDescent="0.2">
      <c r="I82" s="7"/>
    </row>
    <row r="83" spans="9:9" ht="16" x14ac:dyDescent="0.2">
      <c r="I83" s="7"/>
    </row>
    <row r="84" spans="9:9" ht="16" x14ac:dyDescent="0.2">
      <c r="I84" s="25"/>
    </row>
  </sheetData>
  <sortState xmlns:xlrd2="http://schemas.microsoft.com/office/spreadsheetml/2017/richdata2" ref="A6:F75">
    <sortCondition descending="1" ref="F6:F7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489C-7DFE-8A4B-B4D2-877E9ED4FA39}">
  <dimension ref="A1:Q27"/>
  <sheetViews>
    <sheetView workbookViewId="0">
      <selection activeCell="E2" sqref="E2"/>
    </sheetView>
  </sheetViews>
  <sheetFormatPr baseColWidth="10" defaultRowHeight="15" x14ac:dyDescent="0.2"/>
  <cols>
    <col min="2" max="2" width="20.5" customWidth="1"/>
    <col min="3" max="3" width="35.5" customWidth="1"/>
    <col min="4" max="4" width="23.6640625" customWidth="1"/>
    <col min="5" max="5" width="16.33203125" customWidth="1"/>
    <col min="6" max="6" width="16.1640625" customWidth="1"/>
    <col min="7" max="7" width="21.6640625" customWidth="1"/>
  </cols>
  <sheetData>
    <row r="1" spans="1:17" x14ac:dyDescent="0.2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 s="1" t="s">
        <v>0</v>
      </c>
      <c r="B2" s="1"/>
      <c r="C2" s="1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x14ac:dyDescent="0.2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0"/>
    </row>
    <row r="4" spans="1:17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4" t="s">
        <v>3</v>
      </c>
      <c r="B5" s="4" t="s">
        <v>4</v>
      </c>
      <c r="C5" s="4" t="s">
        <v>6</v>
      </c>
      <c r="D5" s="4" t="s">
        <v>83</v>
      </c>
      <c r="E5" s="5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2">
      <c r="A6" s="7" t="s">
        <v>84</v>
      </c>
      <c r="B6" s="7" t="s">
        <v>102</v>
      </c>
      <c r="C6" s="7" t="s">
        <v>210</v>
      </c>
      <c r="D6" s="7" t="s">
        <v>85</v>
      </c>
      <c r="E6" s="7">
        <v>59863</v>
      </c>
      <c r="F6" s="7"/>
      <c r="G6" s="3"/>
      <c r="H6" s="3"/>
      <c r="I6" s="3"/>
      <c r="J6" s="3"/>
      <c r="K6" s="3"/>
      <c r="L6" s="3"/>
    </row>
    <row r="7" spans="1:17" x14ac:dyDescent="0.2">
      <c r="A7" s="7" t="s">
        <v>84</v>
      </c>
      <c r="B7" s="7" t="s">
        <v>102</v>
      </c>
      <c r="C7" s="7" t="s">
        <v>210</v>
      </c>
      <c r="D7" s="7" t="s">
        <v>86</v>
      </c>
      <c r="E7" s="7">
        <v>54326</v>
      </c>
      <c r="F7" s="7"/>
      <c r="G7" s="3"/>
      <c r="H7" s="3"/>
      <c r="I7" s="3"/>
      <c r="J7" s="3"/>
      <c r="K7" s="3"/>
      <c r="L7" s="3"/>
      <c r="N7" s="7"/>
    </row>
    <row r="8" spans="1:17" x14ac:dyDescent="0.2">
      <c r="A8" s="7" t="s">
        <v>84</v>
      </c>
      <c r="B8" s="7" t="s">
        <v>102</v>
      </c>
      <c r="C8" s="7" t="s">
        <v>210</v>
      </c>
      <c r="D8" s="7" t="s">
        <v>87</v>
      </c>
      <c r="E8" s="7">
        <v>50020</v>
      </c>
      <c r="F8" s="7"/>
      <c r="G8" s="3"/>
      <c r="H8" s="3"/>
      <c r="I8" s="3"/>
      <c r="J8" s="3"/>
      <c r="K8" s="3"/>
      <c r="L8" s="3"/>
    </row>
    <row r="9" spans="1:17" x14ac:dyDescent="0.2">
      <c r="A9" s="7" t="s">
        <v>84</v>
      </c>
      <c r="B9" s="7" t="s">
        <v>102</v>
      </c>
      <c r="C9" s="7" t="s">
        <v>210</v>
      </c>
      <c r="D9" s="7" t="s">
        <v>88</v>
      </c>
      <c r="E9" s="7">
        <v>44676</v>
      </c>
      <c r="F9" s="7"/>
      <c r="G9" s="3"/>
      <c r="H9" s="3"/>
      <c r="I9" s="3"/>
      <c r="J9" s="3"/>
      <c r="K9" s="3"/>
      <c r="L9" s="3"/>
    </row>
    <row r="10" spans="1:17" x14ac:dyDescent="0.2">
      <c r="A10" s="7" t="s">
        <v>84</v>
      </c>
      <c r="B10" s="7" t="s">
        <v>102</v>
      </c>
      <c r="C10" s="7" t="s">
        <v>210</v>
      </c>
      <c r="D10" s="7" t="s">
        <v>89</v>
      </c>
      <c r="E10" s="7">
        <v>39621</v>
      </c>
      <c r="F10" s="7"/>
      <c r="G10" s="3"/>
      <c r="H10" s="3"/>
      <c r="I10" s="3"/>
      <c r="J10" s="3"/>
      <c r="K10" s="3"/>
      <c r="L10" s="3"/>
    </row>
    <row r="11" spans="1:17" x14ac:dyDescent="0.2">
      <c r="A11" s="7" t="s">
        <v>84</v>
      </c>
      <c r="B11" s="7" t="s">
        <v>102</v>
      </c>
      <c r="C11" s="7" t="s">
        <v>210</v>
      </c>
      <c r="D11" s="7" t="s">
        <v>90</v>
      </c>
      <c r="E11" s="7">
        <v>37677</v>
      </c>
      <c r="F11" s="7"/>
      <c r="G11" s="3"/>
      <c r="H11" s="3"/>
      <c r="I11" s="3"/>
      <c r="J11" s="3"/>
      <c r="K11" s="3"/>
      <c r="L11" s="3"/>
      <c r="N11" s="7"/>
    </row>
    <row r="12" spans="1:17" x14ac:dyDescent="0.2">
      <c r="A12" s="7" t="s">
        <v>84</v>
      </c>
      <c r="B12" s="7" t="s">
        <v>102</v>
      </c>
      <c r="C12" s="7" t="s">
        <v>210</v>
      </c>
      <c r="D12" s="7" t="s">
        <v>91</v>
      </c>
      <c r="E12" s="7">
        <v>31248</v>
      </c>
      <c r="F12" s="7"/>
      <c r="G12" s="3"/>
      <c r="H12" s="3"/>
      <c r="I12" s="3"/>
      <c r="J12" s="3"/>
      <c r="K12" s="3"/>
      <c r="L12" s="3"/>
    </row>
    <row r="13" spans="1:17" x14ac:dyDescent="0.2">
      <c r="A13" s="7" t="s">
        <v>84</v>
      </c>
      <c r="B13" s="7" t="s">
        <v>102</v>
      </c>
      <c r="C13" s="7" t="s">
        <v>210</v>
      </c>
      <c r="D13" s="7" t="s">
        <v>92</v>
      </c>
      <c r="E13" s="7">
        <v>26173</v>
      </c>
      <c r="F13" s="7"/>
      <c r="G13" s="3"/>
      <c r="H13" s="3"/>
      <c r="I13" s="3"/>
      <c r="J13" s="3"/>
      <c r="K13" s="3"/>
      <c r="L13" s="3"/>
    </row>
    <row r="14" spans="1:17" x14ac:dyDescent="0.2">
      <c r="A14" s="7" t="s">
        <v>84</v>
      </c>
      <c r="B14" s="7" t="s">
        <v>102</v>
      </c>
      <c r="C14" s="7" t="s">
        <v>210</v>
      </c>
      <c r="D14" s="3" t="s">
        <v>93</v>
      </c>
      <c r="E14" s="3">
        <v>22731</v>
      </c>
      <c r="F14" s="3"/>
      <c r="G14" s="3"/>
      <c r="H14" s="3"/>
      <c r="I14" s="3"/>
      <c r="J14" s="3"/>
      <c r="K14" s="3"/>
      <c r="L14" s="3"/>
    </row>
    <row r="15" spans="1:17" x14ac:dyDescent="0.2">
      <c r="A15" s="7" t="s">
        <v>84</v>
      </c>
      <c r="B15" s="7" t="s">
        <v>102</v>
      </c>
      <c r="C15" s="7" t="s">
        <v>210</v>
      </c>
      <c r="D15" s="3" t="s">
        <v>94</v>
      </c>
      <c r="E15" s="3">
        <v>18312</v>
      </c>
      <c r="F15" s="3"/>
      <c r="G15" s="3"/>
      <c r="H15" s="3"/>
      <c r="I15" s="3"/>
      <c r="J15" s="3"/>
      <c r="K15" s="3"/>
      <c r="L15" s="3"/>
    </row>
    <row r="16" spans="1:17" x14ac:dyDescent="0.2">
      <c r="A16" s="7" t="s">
        <v>84</v>
      </c>
      <c r="B16" s="7" t="s">
        <v>102</v>
      </c>
      <c r="C16" s="7" t="s">
        <v>210</v>
      </c>
      <c r="D16" s="3" t="s">
        <v>95</v>
      </c>
      <c r="E16" s="3">
        <v>16460</v>
      </c>
      <c r="F16" s="3"/>
      <c r="G16" s="3"/>
      <c r="H16" s="3"/>
      <c r="I16" s="3"/>
      <c r="J16" s="3"/>
      <c r="K16" s="3"/>
      <c r="L16" s="3"/>
    </row>
    <row r="17" spans="1:14" x14ac:dyDescent="0.2">
      <c r="A17" s="7" t="s">
        <v>84</v>
      </c>
      <c r="B17" s="7" t="s">
        <v>102</v>
      </c>
      <c r="C17" s="7" t="s">
        <v>210</v>
      </c>
      <c r="D17" s="3" t="s">
        <v>96</v>
      </c>
      <c r="E17" s="3">
        <v>15463</v>
      </c>
      <c r="F17" s="3"/>
      <c r="G17" s="3"/>
      <c r="H17" s="3"/>
      <c r="I17" s="3"/>
      <c r="J17" s="3"/>
      <c r="K17" s="3"/>
      <c r="L17" s="3"/>
      <c r="N17" s="3"/>
    </row>
    <row r="18" spans="1:14" x14ac:dyDescent="0.2">
      <c r="A18" s="7" t="s">
        <v>84</v>
      </c>
      <c r="B18" s="7" t="s">
        <v>102</v>
      </c>
      <c r="C18" s="7" t="s">
        <v>210</v>
      </c>
      <c r="D18" s="3" t="s">
        <v>97</v>
      </c>
      <c r="E18" s="3">
        <v>13751</v>
      </c>
      <c r="F18" s="3"/>
      <c r="G18" s="3"/>
      <c r="H18" s="3"/>
      <c r="I18" s="3"/>
      <c r="J18" s="3"/>
      <c r="K18" s="3"/>
      <c r="L18" s="3"/>
    </row>
    <row r="19" spans="1:14" x14ac:dyDescent="0.2">
      <c r="A19" s="7" t="s">
        <v>84</v>
      </c>
      <c r="B19" s="7" t="s">
        <v>102</v>
      </c>
      <c r="C19" s="7" t="s">
        <v>210</v>
      </c>
      <c r="D19" s="3" t="s">
        <v>98</v>
      </c>
      <c r="E19" s="3">
        <v>11733</v>
      </c>
      <c r="F19" s="3"/>
      <c r="G19" s="3"/>
      <c r="H19" s="3"/>
      <c r="I19" s="3"/>
      <c r="J19" s="3"/>
      <c r="K19" s="3"/>
      <c r="L19" s="3"/>
    </row>
    <row r="20" spans="1:14" x14ac:dyDescent="0.2">
      <c r="A20" s="7" t="s">
        <v>84</v>
      </c>
      <c r="B20" s="7" t="s">
        <v>102</v>
      </c>
      <c r="C20" s="7" t="s">
        <v>210</v>
      </c>
      <c r="D20" s="3" t="s">
        <v>99</v>
      </c>
      <c r="E20" s="3">
        <v>8289</v>
      </c>
      <c r="F20" s="3"/>
      <c r="G20" s="3"/>
      <c r="H20" s="3"/>
      <c r="I20" s="3"/>
      <c r="J20" s="3"/>
      <c r="K20" s="3"/>
      <c r="L20" s="3"/>
    </row>
    <row r="21" spans="1:14" x14ac:dyDescent="0.2">
      <c r="A21" s="7" t="s">
        <v>84</v>
      </c>
      <c r="B21" s="7" t="s">
        <v>102</v>
      </c>
      <c r="C21" s="7" t="s">
        <v>210</v>
      </c>
      <c r="D21" s="3" t="s">
        <v>100</v>
      </c>
      <c r="E21" s="3">
        <v>6759</v>
      </c>
      <c r="F21" s="3"/>
      <c r="G21" s="3"/>
      <c r="H21" s="3"/>
      <c r="I21" s="3"/>
      <c r="J21" s="3"/>
      <c r="K21" s="3"/>
      <c r="L21" s="3"/>
    </row>
    <row r="22" spans="1:14" x14ac:dyDescent="0.2">
      <c r="A22" s="7" t="s">
        <v>84</v>
      </c>
      <c r="B22" s="7" t="s">
        <v>102</v>
      </c>
      <c r="C22" s="7" t="s">
        <v>210</v>
      </c>
      <c r="D22" s="3" t="s">
        <v>101</v>
      </c>
      <c r="E22" s="3">
        <v>2666</v>
      </c>
      <c r="F22" s="3"/>
      <c r="G22" s="3"/>
      <c r="H22" s="3"/>
      <c r="I22" s="3"/>
      <c r="J22" s="3"/>
      <c r="K22" s="7"/>
      <c r="L22" s="3"/>
    </row>
    <row r="23" spans="1:14" x14ac:dyDescent="0.2">
      <c r="A23" s="8" t="s">
        <v>80</v>
      </c>
      <c r="E23" s="8">
        <f>SUM(E6:E22)</f>
        <v>459768</v>
      </c>
      <c r="F23" s="27"/>
      <c r="G23" s="3"/>
      <c r="H23" s="11"/>
      <c r="I23" s="11"/>
      <c r="J23" s="11"/>
      <c r="K23" s="11"/>
    </row>
    <row r="24" spans="1:14" x14ac:dyDescent="0.2">
      <c r="G24" s="3"/>
    </row>
    <row r="25" spans="1:14" x14ac:dyDescent="0.2">
      <c r="G25" s="3"/>
    </row>
    <row r="26" spans="1:14" x14ac:dyDescent="0.2">
      <c r="G26" s="3"/>
    </row>
    <row r="27" spans="1:14" x14ac:dyDescent="0.2">
      <c r="G2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7319-3B5E-514F-B7BE-00E10C06146C}">
  <dimension ref="A1:O24"/>
  <sheetViews>
    <sheetView workbookViewId="0">
      <selection activeCell="M17" sqref="M17:M24"/>
    </sheetView>
  </sheetViews>
  <sheetFormatPr baseColWidth="10" defaultRowHeight="15" x14ac:dyDescent="0.2"/>
  <cols>
    <col min="2" max="2" width="19.83203125" customWidth="1"/>
    <col min="3" max="3" width="33" customWidth="1"/>
    <col min="4" max="4" width="8.5" customWidth="1"/>
    <col min="5" max="5" width="17.83203125" customWidth="1"/>
    <col min="12" max="12" width="11.6640625" customWidth="1"/>
  </cols>
  <sheetData>
    <row r="1" spans="1:12" x14ac:dyDescent="0.2">
      <c r="A1" s="1" t="s">
        <v>208</v>
      </c>
      <c r="B1" s="1"/>
      <c r="C1" s="1"/>
      <c r="D1" s="1"/>
      <c r="E1" s="1"/>
    </row>
    <row r="2" spans="1:12" x14ac:dyDescent="0.2">
      <c r="A2" s="1" t="s">
        <v>0</v>
      </c>
      <c r="B2" s="1"/>
      <c r="C2" s="1"/>
      <c r="D2" s="1"/>
      <c r="G2" s="12"/>
    </row>
    <row r="3" spans="1:12" x14ac:dyDescent="0.2">
      <c r="A3" s="1" t="s">
        <v>81</v>
      </c>
      <c r="B3" s="1"/>
      <c r="C3" s="1"/>
      <c r="D3" s="1"/>
      <c r="E3" s="1"/>
      <c r="F3" s="12"/>
    </row>
    <row r="4" spans="1:12" x14ac:dyDescent="0.2">
      <c r="A4" s="1" t="s">
        <v>103</v>
      </c>
      <c r="B4" s="1"/>
      <c r="C4" s="1"/>
      <c r="D4" s="1"/>
      <c r="E4" s="1"/>
    </row>
    <row r="5" spans="1:12" x14ac:dyDescent="0.2">
      <c r="A5" s="4" t="s">
        <v>3</v>
      </c>
      <c r="B5" s="4" t="s">
        <v>4</v>
      </c>
      <c r="C5" s="4" t="s">
        <v>6</v>
      </c>
      <c r="D5" s="13" t="s">
        <v>104</v>
      </c>
      <c r="E5" s="14" t="s">
        <v>8</v>
      </c>
      <c r="F5" s="15" t="s">
        <v>105</v>
      </c>
    </row>
    <row r="6" spans="1:12" x14ac:dyDescent="0.2">
      <c r="A6" s="7" t="s">
        <v>84</v>
      </c>
      <c r="B6" s="7" t="s">
        <v>102</v>
      </c>
      <c r="C6" s="7" t="s">
        <v>106</v>
      </c>
      <c r="D6" s="16">
        <v>46023</v>
      </c>
      <c r="E6" s="17">
        <v>25543</v>
      </c>
      <c r="F6" s="18">
        <v>536.03</v>
      </c>
    </row>
    <row r="7" spans="1:12" x14ac:dyDescent="0.2">
      <c r="A7" s="7" t="s">
        <v>84</v>
      </c>
      <c r="B7" s="7" t="s">
        <v>102</v>
      </c>
      <c r="C7" s="7" t="s">
        <v>107</v>
      </c>
      <c r="D7" s="16">
        <v>46024</v>
      </c>
      <c r="E7" s="17">
        <v>25530</v>
      </c>
      <c r="F7" s="18">
        <v>535.76</v>
      </c>
    </row>
    <row r="8" spans="1:12" x14ac:dyDescent="0.2">
      <c r="A8" s="7" t="s">
        <v>84</v>
      </c>
      <c r="B8" s="7" t="s">
        <v>102</v>
      </c>
      <c r="C8" s="7" t="s">
        <v>108</v>
      </c>
      <c r="D8" s="16">
        <v>46025</v>
      </c>
      <c r="E8" s="17">
        <v>25537</v>
      </c>
      <c r="F8" s="18">
        <v>535.91</v>
      </c>
    </row>
    <row r="9" spans="1:12" x14ac:dyDescent="0.2">
      <c r="A9" s="7" t="s">
        <v>84</v>
      </c>
      <c r="B9" s="7" t="s">
        <v>102</v>
      </c>
      <c r="C9" s="7" t="s">
        <v>109</v>
      </c>
      <c r="D9" s="16">
        <v>46026</v>
      </c>
      <c r="E9" s="17">
        <v>25541</v>
      </c>
      <c r="F9" s="18">
        <v>535.99</v>
      </c>
      <c r="K9" s="17"/>
    </row>
    <row r="10" spans="1:12" x14ac:dyDescent="0.2">
      <c r="A10" s="7" t="s">
        <v>84</v>
      </c>
      <c r="B10" s="7" t="s">
        <v>102</v>
      </c>
      <c r="C10" s="7" t="s">
        <v>187</v>
      </c>
      <c r="D10" s="16">
        <v>46027</v>
      </c>
      <c r="E10" s="17">
        <v>25519</v>
      </c>
      <c r="F10" s="18">
        <v>535.85</v>
      </c>
      <c r="J10" s="18"/>
      <c r="K10" s="17"/>
      <c r="L10" s="18"/>
    </row>
    <row r="11" spans="1:12" x14ac:dyDescent="0.2">
      <c r="A11" s="7" t="s">
        <v>84</v>
      </c>
      <c r="B11" s="7" t="s">
        <v>102</v>
      </c>
      <c r="C11" s="7" t="s">
        <v>188</v>
      </c>
      <c r="D11" s="16">
        <v>46028</v>
      </c>
      <c r="E11" s="17">
        <v>25514</v>
      </c>
      <c r="F11" s="18">
        <v>535.74</v>
      </c>
      <c r="J11" s="18"/>
      <c r="K11" s="17"/>
      <c r="L11" s="18"/>
    </row>
    <row r="12" spans="1:12" x14ac:dyDescent="0.2">
      <c r="A12" s="7" t="s">
        <v>84</v>
      </c>
      <c r="B12" s="7" t="s">
        <v>102</v>
      </c>
      <c r="C12" s="7" t="s">
        <v>189</v>
      </c>
      <c r="D12" s="16">
        <v>46029</v>
      </c>
      <c r="E12" s="17">
        <v>25512</v>
      </c>
      <c r="F12" s="18">
        <v>535.70000000000005</v>
      </c>
      <c r="J12" s="18"/>
      <c r="K12" s="17"/>
      <c r="L12" s="18"/>
    </row>
    <row r="13" spans="1:12" x14ac:dyDescent="0.2">
      <c r="A13" s="7" t="s">
        <v>84</v>
      </c>
      <c r="B13" s="7" t="s">
        <v>102</v>
      </c>
      <c r="C13" s="7" t="s">
        <v>190</v>
      </c>
      <c r="D13" s="16">
        <v>46030</v>
      </c>
      <c r="E13" s="17">
        <v>25520</v>
      </c>
      <c r="F13" s="18">
        <v>535.87</v>
      </c>
      <c r="J13" s="18"/>
      <c r="K13" s="17"/>
      <c r="L13" s="18"/>
    </row>
    <row r="14" spans="1:12" x14ac:dyDescent="0.2">
      <c r="A14" s="7" t="s">
        <v>84</v>
      </c>
      <c r="B14" s="7" t="s">
        <v>102</v>
      </c>
      <c r="C14" s="7" t="s">
        <v>191</v>
      </c>
      <c r="D14" s="16">
        <v>46031</v>
      </c>
      <c r="E14" s="17">
        <v>25505</v>
      </c>
      <c r="F14" s="18">
        <v>535.54999999999995</v>
      </c>
      <c r="J14" s="18"/>
      <c r="K14" s="17"/>
      <c r="L14" s="18"/>
    </row>
    <row r="15" spans="1:12" x14ac:dyDescent="0.2">
      <c r="A15" s="7" t="s">
        <v>84</v>
      </c>
      <c r="B15" s="7" t="s">
        <v>102</v>
      </c>
      <c r="C15" s="7" t="s">
        <v>192</v>
      </c>
      <c r="D15" s="16">
        <v>46032</v>
      </c>
      <c r="E15" s="17">
        <v>25509</v>
      </c>
      <c r="F15" s="18">
        <v>535.64</v>
      </c>
      <c r="J15" s="18"/>
      <c r="K15" s="17"/>
      <c r="L15" s="18"/>
    </row>
    <row r="16" spans="1:12" x14ac:dyDescent="0.2">
      <c r="A16" s="7" t="s">
        <v>84</v>
      </c>
      <c r="B16" s="7" t="s">
        <v>102</v>
      </c>
      <c r="C16" s="7" t="s">
        <v>193</v>
      </c>
      <c r="D16" s="16">
        <v>46033</v>
      </c>
      <c r="E16" s="17">
        <v>25517</v>
      </c>
      <c r="F16" s="18">
        <v>535.79999999999995</v>
      </c>
      <c r="J16" s="18"/>
      <c r="K16" s="17"/>
      <c r="L16" s="17"/>
    </row>
    <row r="17" spans="1:15" x14ac:dyDescent="0.2">
      <c r="A17" s="7" t="s">
        <v>84</v>
      </c>
      <c r="B17" s="7" t="s">
        <v>102</v>
      </c>
      <c r="C17" s="7" t="s">
        <v>211</v>
      </c>
      <c r="D17" s="16">
        <v>46034</v>
      </c>
      <c r="E17" s="17">
        <v>25569</v>
      </c>
      <c r="F17" s="18">
        <v>536.66999999999996</v>
      </c>
      <c r="J17" s="18"/>
      <c r="K17" s="17"/>
      <c r="L17" s="17"/>
      <c r="M17" s="18"/>
      <c r="N17" s="18"/>
      <c r="O17" s="18"/>
    </row>
    <row r="18" spans="1:15" x14ac:dyDescent="0.2">
      <c r="A18" s="7" t="s">
        <v>84</v>
      </c>
      <c r="B18" s="7" t="s">
        <v>102</v>
      </c>
      <c r="C18" s="7" t="s">
        <v>212</v>
      </c>
      <c r="D18" s="16">
        <v>46035</v>
      </c>
      <c r="E18" s="17">
        <v>25572</v>
      </c>
      <c r="F18" s="18">
        <v>536.73</v>
      </c>
      <c r="J18" s="18"/>
      <c r="K18" s="17"/>
      <c r="L18" s="17"/>
      <c r="M18" s="18"/>
      <c r="N18" s="18"/>
      <c r="O18" s="18"/>
    </row>
    <row r="19" spans="1:15" x14ac:dyDescent="0.2">
      <c r="A19" s="7" t="s">
        <v>84</v>
      </c>
      <c r="B19" s="7" t="s">
        <v>102</v>
      </c>
      <c r="C19" s="7" t="s">
        <v>213</v>
      </c>
      <c r="D19" s="16">
        <v>46036</v>
      </c>
      <c r="E19" s="17">
        <v>25574</v>
      </c>
      <c r="F19" s="18">
        <v>536.76</v>
      </c>
      <c r="J19" s="18"/>
      <c r="K19" s="17"/>
      <c r="L19" s="17"/>
      <c r="M19" s="18"/>
      <c r="N19" s="18"/>
      <c r="O19" s="18"/>
    </row>
    <row r="20" spans="1:15" x14ac:dyDescent="0.2">
      <c r="A20" s="7" t="s">
        <v>84</v>
      </c>
      <c r="B20" s="7" t="s">
        <v>102</v>
      </c>
      <c r="C20" s="7" t="s">
        <v>214</v>
      </c>
      <c r="D20" s="16">
        <v>46037</v>
      </c>
      <c r="E20" s="17">
        <v>25582</v>
      </c>
      <c r="F20" s="18">
        <v>536.94000000000005</v>
      </c>
      <c r="J20" s="18"/>
      <c r="K20" s="17"/>
      <c r="L20" s="17"/>
      <c r="M20" s="18"/>
      <c r="N20" s="18"/>
      <c r="O20" s="18"/>
    </row>
    <row r="21" spans="1:15" x14ac:dyDescent="0.2">
      <c r="A21" s="7" t="s">
        <v>84</v>
      </c>
      <c r="B21" s="7" t="s">
        <v>102</v>
      </c>
      <c r="C21" s="7" t="s">
        <v>215</v>
      </c>
      <c r="D21" s="16">
        <v>46038</v>
      </c>
      <c r="E21" s="17">
        <v>25575</v>
      </c>
      <c r="F21" s="18">
        <v>536.79</v>
      </c>
      <c r="J21" s="18"/>
      <c r="K21" s="17"/>
      <c r="L21" s="17"/>
      <c r="M21" s="18"/>
      <c r="N21" s="18"/>
      <c r="O21" s="18"/>
    </row>
    <row r="22" spans="1:15" x14ac:dyDescent="0.2">
      <c r="A22" s="7" t="s">
        <v>84</v>
      </c>
      <c r="B22" s="7" t="s">
        <v>102</v>
      </c>
      <c r="C22" s="7" t="s">
        <v>216</v>
      </c>
      <c r="D22" s="16">
        <v>46039</v>
      </c>
      <c r="E22" s="17">
        <v>25573</v>
      </c>
      <c r="F22" s="18">
        <v>536.76</v>
      </c>
      <c r="J22" s="18"/>
      <c r="K22" s="17"/>
      <c r="L22" s="17"/>
      <c r="M22" s="18"/>
      <c r="N22" s="18"/>
      <c r="O22" s="18"/>
    </row>
    <row r="23" spans="1:15" x14ac:dyDescent="0.2">
      <c r="A23" s="7" t="s">
        <v>84</v>
      </c>
      <c r="B23" s="7" t="s">
        <v>102</v>
      </c>
      <c r="C23" s="7" t="s">
        <v>217</v>
      </c>
      <c r="D23" s="16">
        <v>46040</v>
      </c>
      <c r="E23" s="17">
        <v>25576</v>
      </c>
      <c r="F23" s="18">
        <v>536.83000000000004</v>
      </c>
      <c r="J23" s="18"/>
      <c r="K23" s="17"/>
      <c r="L23" s="17"/>
      <c r="M23" s="18"/>
      <c r="N23" s="18"/>
      <c r="O23" s="18"/>
    </row>
    <row r="24" spans="1:15" x14ac:dyDescent="0.2">
      <c r="A24" s="8" t="s">
        <v>80</v>
      </c>
      <c r="E24" s="19">
        <f>SUM(E6:E23)</f>
        <v>459768</v>
      </c>
      <c r="F24" s="20">
        <f>SUM(F6:F23)</f>
        <v>9651.32</v>
      </c>
      <c r="J24" s="24"/>
      <c r="L24" s="24"/>
      <c r="M24" s="24"/>
      <c r="N24" s="24"/>
      <c r="O2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Week 1-3 Control 1.1-1.18</vt:lpstr>
      <vt:lpstr>Week 1-3 Control GEO 1.1-1.18</vt:lpstr>
      <vt:lpstr>Week 1-3 Control DLY 1.1-1.18</vt:lpstr>
      <vt:lpstr>Week 1-3 Treat. 1.1-1.18</vt:lpstr>
      <vt:lpstr>Week 1-3 Treat GEO 1.1-1.18</vt:lpstr>
      <vt:lpstr>Week 1-2 Treat. DLY 11-1.11</vt:lpstr>
      <vt:lpstr>WC Week 1-3 1.1-1.18</vt:lpstr>
      <vt:lpstr>WC Week 1-3 GEO 1.1-1.18</vt:lpstr>
      <vt:lpstr>WC Week 1-3 DLY 1.1-1.18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2026-01-03T20:59:06Z</dcterms:created>
  <dcterms:modified xsi:type="dcterms:W3CDTF">2026-01-22T01:56:50Z</dcterms:modified>
</cp:coreProperties>
</file>