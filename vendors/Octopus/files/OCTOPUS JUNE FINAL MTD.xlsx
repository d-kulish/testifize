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ers170/Downloads/"/>
    </mc:Choice>
  </mc:AlternateContent>
  <xr:revisionPtr revIDLastSave="0" documentId="8_{A4A56502-CDA0-BF41-8ABF-D828EEFBAC77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Daily Spend" sheetId="3" r:id="rId1"/>
    <sheet name="Creative by Day" sheetId="1" r:id="rId2"/>
    <sheet name="DM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7" i="1"/>
  <c r="A8" i="1" s="1"/>
  <c r="A9" i="1" s="1"/>
  <c r="A10" i="1" s="1"/>
  <c r="A12" i="1"/>
  <c r="A13" i="1" s="1"/>
  <c r="A15" i="1"/>
  <c r="A16" i="1"/>
  <c r="A17" i="1" s="1"/>
  <c r="A18" i="1" s="1"/>
  <c r="A20" i="1"/>
  <c r="A21" i="1" s="1"/>
  <c r="A22" i="1" s="1"/>
  <c r="A23" i="1" s="1"/>
  <c r="A25" i="1"/>
  <c r="A26" i="1"/>
  <c r="A27" i="1"/>
  <c r="A28" i="1" s="1"/>
  <c r="A30" i="1"/>
  <c r="A31" i="1" s="1"/>
  <c r="A32" i="1" s="1"/>
  <c r="A33" i="1" s="1"/>
  <c r="A35" i="1"/>
  <c r="A36" i="1"/>
  <c r="A37" i="1"/>
  <c r="A38" i="1" s="1"/>
  <c r="A40" i="1"/>
  <c r="A41" i="1" s="1"/>
  <c r="A42" i="1" s="1"/>
  <c r="A43" i="1" s="1"/>
  <c r="A45" i="1"/>
  <c r="A46" i="1"/>
  <c r="A47" i="1"/>
  <c r="A49" i="1"/>
  <c r="A50" i="1" s="1"/>
  <c r="A51" i="1" s="1"/>
  <c r="A53" i="1"/>
  <c r="A54" i="1" s="1"/>
  <c r="A55" i="1" s="1"/>
  <c r="A57" i="1"/>
  <c r="A58" i="1"/>
  <c r="A59" i="1"/>
  <c r="A61" i="1"/>
  <c r="A62" i="1" s="1"/>
  <c r="A63" i="1" s="1"/>
  <c r="A65" i="1"/>
  <c r="A66" i="1"/>
  <c r="A67" i="1"/>
  <c r="A69" i="1"/>
  <c r="A70" i="1"/>
  <c r="A71" i="1"/>
  <c r="A73" i="1"/>
  <c r="A74" i="1" s="1"/>
  <c r="A75" i="1" s="1"/>
  <c r="A77" i="1"/>
  <c r="A78" i="1"/>
  <c r="A79" i="1"/>
  <c r="A81" i="1"/>
  <c r="A82" i="1"/>
  <c r="A83" i="1"/>
  <c r="A85" i="1"/>
  <c r="A86" i="1" s="1"/>
  <c r="A87" i="1" s="1"/>
  <c r="A89" i="1"/>
  <c r="A90" i="1"/>
  <c r="A91" i="1"/>
  <c r="A93" i="1"/>
  <c r="A94" i="1"/>
  <c r="A95" i="1" s="1"/>
  <c r="A97" i="1"/>
  <c r="A98" i="1"/>
  <c r="A99" i="1"/>
  <c r="A101" i="1"/>
  <c r="A103" i="1"/>
  <c r="A105" i="1"/>
  <c r="A106" i="1"/>
  <c r="A107" i="1" s="1"/>
  <c r="A109" i="1"/>
  <c r="A111" i="1"/>
  <c r="A113" i="1"/>
  <c r="A115" i="1"/>
</calcChain>
</file>

<file path=xl/sharedStrings.xml><?xml version="1.0" encoding="utf-8"?>
<sst xmlns="http://schemas.openxmlformats.org/spreadsheetml/2006/main" count="257" uniqueCount="252">
  <si>
    <t>BetOnline_BasesLoaded2025</t>
  </si>
  <si>
    <t>BetOnline_MLB2025.mp4</t>
  </si>
  <si>
    <t>BetOnline_NBAPlayoffs_ConferenceChampionships</t>
  </si>
  <si>
    <t>Betonline_SuperShot_2025</t>
  </si>
  <si>
    <t>BetOnline_BasesLoaded2025</t>
  </si>
  <si>
    <t>BetOnline_MLB2025.mp4</t>
  </si>
  <si>
    <t>BetOnline_NBAPlayoffs_ConferenceChampionships</t>
  </si>
  <si>
    <t>Betonline_SuperShot_2025</t>
  </si>
  <si>
    <t>BetOnline_Tennis2025</t>
  </si>
  <si>
    <t>BetOnline_BasesLoaded2025</t>
  </si>
  <si>
    <t>BetOnline_MLB2025.mp4</t>
  </si>
  <si>
    <t>BetOnline_Tennis2025</t>
  </si>
  <si>
    <t>BetOnline_BasesLoaded2025</t>
  </si>
  <si>
    <t>BetOnline_MLB2025.mp4</t>
  </si>
  <si>
    <t>Betonline_SuperShot_2025_NBA-Finals</t>
  </si>
  <si>
    <t>BetOnline_Tennis2025</t>
  </si>
  <si>
    <t>BetOnline-NBAFinals</t>
  </si>
  <si>
    <t>BetOnline_BasesLoaded2025</t>
  </si>
  <si>
    <t>BetOnline_MLB2025.mp4</t>
  </si>
  <si>
    <t>Betonline_SuperShot_2025_NBA-Finals</t>
  </si>
  <si>
    <t>BetOnline_Tennis2025</t>
  </si>
  <si>
    <t>BetOnline-NBAFinals</t>
  </si>
  <si>
    <t>BetOnline_BasesLoaded2025</t>
  </si>
  <si>
    <t>BetOnline_MLB2025.mp4</t>
  </si>
  <si>
    <t>Betonline_SuperShot_2025_NBA-Finals</t>
  </si>
  <si>
    <t>BetOnline_Tennis2025</t>
  </si>
  <si>
    <t>BetOnline-NBAFinals</t>
  </si>
  <si>
    <t>BetOnline_BasesLoaded2025</t>
  </si>
  <si>
    <t>BetOnline_MLB2025.mp4</t>
  </si>
  <si>
    <t>Betonline_SuperShot_2025_NBA-Finals</t>
  </si>
  <si>
    <t>BetOnline_Tennis2025</t>
  </si>
  <si>
    <t>BetOnline-NBAFinals</t>
  </si>
  <si>
    <t>BetOnline_BasesLoaded2025</t>
  </si>
  <si>
    <t>BetOnline_MLB2025.mp4</t>
  </si>
  <si>
    <t>Betonline_SuperShot_2025_NBA-Finals</t>
  </si>
  <si>
    <t>BetOnline_Tennis2025</t>
  </si>
  <si>
    <t>BetOnline-NBAFinals</t>
  </si>
  <si>
    <t>BetOnline_BasesLoaded2025</t>
  </si>
  <si>
    <t>BetOnline_MLB2025.mp4</t>
  </si>
  <si>
    <t>Betonline_SuperShot_2025_NBA-Finals</t>
  </si>
  <si>
    <t>BetOnline_Tennis2025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</si>
  <si>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</si>
  <si>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</si>
  <si>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</si>
  <si>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</si>
  <si>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</si>
  <si>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</si>
  <si>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</si>
  <si>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</si>
  <si>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</si>
  <si>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</si>
  <si>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</si>
  <si>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</si>
  <si>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</si>
  <si>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</si>
  <si>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</si>
  <si>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</si>
  <si>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</si>
  <si>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</si>
  <si>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</si>
  <si>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</si>
  <si>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</si>
  <si>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</si>
  <si>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</si>
  <si>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</si>
  <si>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</si>
  <si>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</si>
  <si>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</si>
  <si>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</si>
  <si>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</si>
  <si>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</si>
  <si>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</si>
  <si>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</si>
  <si>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</si>
  <si>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</si>
  <si>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</si>
  <si>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</si>
  <si>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</si>
  <si>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</si>
  <si>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</si>
  <si>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</si>
  <si>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</si>
  <si>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</si>
  <si>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</si>
  <si>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</si>
  <si>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</si>
  <si>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</si>
  <si>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</si>
  <si>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</si>
  <si>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</si>
  <si>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</si>
  <si>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</si>
  <si>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</si>
  <si>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</si>
  <si>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</si>
  <si>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</si>
  <si>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Betonline_SuperShot_2025_NBA-Finals</t>
  </si>
  <si>
    <t>BetOnline-NBAFinals</t>
  </si>
  <si>
    <t>BetOnline_BasesLoaded2025</t>
  </si>
  <si>
    <t>BetOnline_MLB2025.mp4</t>
  </si>
  <si>
    <t>BetOnline_BasesLoaded2025</t>
  </si>
  <si>
    <t>BetOnline_MLB2025.mp4</t>
  </si>
  <si>
    <t>BetOnine_BasesLoaded_June2025</t>
  </si>
  <si>
    <t>BetOnline_BasesLoaded2025</t>
  </si>
  <si>
    <t>BetOnline_MLB2025.mp4</t>
  </si>
  <si>
    <t>BetOnline_MLB_June2025</t>
  </si>
  <si>
    <t>BetOnine_BasesLoaded_June2025</t>
  </si>
  <si>
    <t>BetOnline_MLB_June2025</t>
  </si>
  <si>
    <t>BetOnine_BasesLoaded_June2025</t>
  </si>
  <si>
    <t>BetOnline_MLB_June2025</t>
  </si>
  <si>
    <t>BetOnine_BasesLoaded_June2025</t>
  </si>
  <si>
    <t>BetOnline_MLB_June2025</t>
  </si>
  <si>
    <t>BetOnine_BasesLoaded_June2025</t>
  </si>
  <si>
    <t>BetOnline_MLB_June2025</t>
  </si>
  <si>
    <t>Impressions</t>
  </si>
  <si>
    <t>Spend</t>
  </si>
  <si>
    <t>Clicks</t>
  </si>
  <si>
    <t>Game Enagagement</t>
  </si>
  <si>
    <t>Game Engagement Rate</t>
  </si>
  <si>
    <t>Day of Date</t>
  </si>
  <si>
    <t>Creative</t>
  </si>
  <si>
    <t>Engagement Rate</t>
  </si>
  <si>
    <t>Date</t>
  </si>
  <si>
    <t>DMA</t>
  </si>
  <si>
    <t>Miami-Fort Lauderdale, FL</t>
  </si>
  <si>
    <t>Atlanta, GA</t>
  </si>
  <si>
    <t>Los Angeles, CA</t>
  </si>
  <si>
    <t>Orlando-Daytona Beach-Melbourne, FL</t>
  </si>
  <si>
    <t>Houston, TX</t>
  </si>
  <si>
    <t>Seattle-Tacoma, WA</t>
  </si>
  <si>
    <t>Dallas-Ft. Worth, TX</t>
  </si>
  <si>
    <t>San Francisco-Oakland-San Jose, CA</t>
  </si>
  <si>
    <t>Washington, DC (Hagerstown, MD)</t>
  </si>
  <si>
    <t>Tampa-St. Petersburg (Sarasota), FL</t>
  </si>
  <si>
    <t>Salt Lake City, UT</t>
  </si>
  <si>
    <t>Minneapolis-St. Paul, MN</t>
  </si>
  <si>
    <t>St. Louis, MO</t>
  </si>
  <si>
    <t>Austin, TX</t>
  </si>
  <si>
    <t>San Diego, CA</t>
  </si>
  <si>
    <t>Milwaukee, WI</t>
  </si>
  <si>
    <t>Charleston, SC</t>
  </si>
  <si>
    <t>San Antonio, TX</t>
  </si>
  <si>
    <t>Oklahoma City, OK</t>
  </si>
  <si>
    <t>Kansas City, MO</t>
  </si>
  <si>
    <t>West Palm Beach-Ft. Pierce, FL</t>
  </si>
  <si>
    <t>Philadelphia, PA</t>
  </si>
  <si>
    <t>Greenville-Spartanburg, SC-Asheville, NC-Anderson,SC</t>
  </si>
  <si>
    <t>Jacksonville, FL</t>
  </si>
  <si>
    <t>Tulsa, OK</t>
  </si>
  <si>
    <t>Ft. Myers-Naples, FL</t>
  </si>
  <si>
    <t>Sacramento-Stockton-Modesto, CA</t>
  </si>
  <si>
    <t>Albuquerque-Santa Fe, NM</t>
  </si>
  <si>
    <t>Myrtle Beach-Florence, SC</t>
  </si>
  <si>
    <t>Columbia, SC</t>
  </si>
  <si>
    <t>Mobile, AL-Pensacola (Ft. Walton Beach), FL</t>
  </si>
  <si>
    <t>Other</t>
  </si>
  <si>
    <t>Savannah, GA</t>
  </si>
  <si>
    <t>Honolulu, HI</t>
  </si>
  <si>
    <t>Spokane, WA</t>
  </si>
  <si>
    <t>Birmingham (Anniston and Tuscaloosa), AL</t>
  </si>
  <si>
    <t>Madison, WI</t>
  </si>
  <si>
    <t>Springfield, MO</t>
  </si>
  <si>
    <t>Boise, ID</t>
  </si>
  <si>
    <t>Portland, OR</t>
  </si>
  <si>
    <t>Huntsville-Decatur (Florence), AL</t>
  </si>
  <si>
    <t>Biloxi-Gulfport, MS</t>
  </si>
  <si>
    <t>Charlotte, NC</t>
  </si>
  <si>
    <t>Salisbury, MD</t>
  </si>
  <si>
    <t>Panama City, FL</t>
  </si>
  <si>
    <t>Green Bay-Appleton, WI</t>
  </si>
  <si>
    <t>Waco-Temple-Bryan, TX</t>
  </si>
  <si>
    <t>Fargo-Valley City, ND</t>
  </si>
  <si>
    <t>Tallahassee, FL-Thomasville, GA</t>
  </si>
  <si>
    <t>Memphis, TN</t>
  </si>
  <si>
    <t>Columbus, GA</t>
  </si>
  <si>
    <t>El Paso, TX</t>
  </si>
  <si>
    <t>Rochester, NY</t>
  </si>
  <si>
    <t>Jackson, MS</t>
  </si>
  <si>
    <t>Harlingen-Weslaco-Brownsville-McAllen, TX</t>
  </si>
  <si>
    <t>Monterey-Salinas, CA</t>
  </si>
  <si>
    <t>Montgomery-Selma, AL</t>
  </si>
  <si>
    <t>Fresno-Visalia, CA</t>
  </si>
  <si>
    <t>Columbia-Jefferson City, MO</t>
  </si>
  <si>
    <t>Santa Barbara-Santa Maria-San Luis Obispo, CA</t>
  </si>
  <si>
    <t>Sioux Falls (Mitchell), SD</t>
  </si>
  <si>
    <t>Gainesville, FL</t>
  </si>
  <si>
    <t>Odessa-Midland, TX</t>
  </si>
  <si>
    <t>Lubbock, TX</t>
  </si>
  <si>
    <t>Palm Springs, CA</t>
  </si>
  <si>
    <t>Corpus Christi, TX</t>
  </si>
  <si>
    <t>Macon, GA</t>
  </si>
  <si>
    <t>Paducah, KY-Cape Girardeau, MO-Harrisburg, IL</t>
  </si>
  <si>
    <t>Missoula, MT</t>
  </si>
  <si>
    <t>Augusta, GA</t>
  </si>
  <si>
    <t>Bakersfield, CA</t>
  </si>
  <si>
    <t>Butte-Bozeman, MT</t>
  </si>
  <si>
    <t>La Crosse-Eau Claire, WI</t>
  </si>
  <si>
    <t>Wichita Falls, TX-Lawton, OK</t>
  </si>
  <si>
    <t>Dothan, AL</t>
  </si>
  <si>
    <t>Duluth, MN-Superior, WI</t>
  </si>
  <si>
    <t>Minot-Bismarck-Dickinson(Williston), ND</t>
  </si>
  <si>
    <t>Albany, GA</t>
  </si>
  <si>
    <t>Sherman, TX-Ada, OK</t>
  </si>
  <si>
    <t>Amarillo, TX</t>
  </si>
  <si>
    <t>Idaho Falls-Pocatello, ID</t>
  </si>
  <si>
    <t>Rapid City, SD</t>
  </si>
  <si>
    <t>Yakima-Pasco-Richland-Kennewick, WA</t>
  </si>
  <si>
    <t>Chattanooga, TN</t>
  </si>
  <si>
    <t>Tyler-Longview(Lufkin &amp; Nacogdoches), TX</t>
  </si>
  <si>
    <t>Chico-Redding, CA</t>
  </si>
  <si>
    <t>Billings, MT</t>
  </si>
  <si>
    <t>Laredo, TX</t>
  </si>
  <si>
    <t>Beaumont-Port Arthur, TX</t>
  </si>
  <si>
    <t>Hattiesburg-Laurel, MS</t>
  </si>
  <si>
    <t>St. Joseph, MO</t>
  </si>
  <si>
    <t>Great Falls, MT</t>
  </si>
  <si>
    <t>Joplin, MO-Pittsburg, KS</t>
  </si>
  <si>
    <t>Mankato, MN</t>
  </si>
  <si>
    <t>Yuma, AZ-El Centro, CA</t>
  </si>
  <si>
    <t>New Orleans, LA</t>
  </si>
  <si>
    <t>Abilene-Sweetwater, TX</t>
  </si>
  <si>
    <t>Wausau-Rhinelander, WI</t>
  </si>
  <si>
    <t>Reno, NV</t>
  </si>
  <si>
    <t>Shreveport, LA</t>
  </si>
  <si>
    <t>Columbus-Tupelo-West Point, MS</t>
  </si>
  <si>
    <t>Meridian, MS</t>
  </si>
  <si>
    <t>San Angelo, TX</t>
  </si>
  <si>
    <t>Twin Falls, ID</t>
  </si>
  <si>
    <t>Ft. Smith-Fayetteville-Springdale-Rogers, AR</t>
  </si>
  <si>
    <t>Baltimore, MD</t>
  </si>
  <si>
    <t>Chicago, IL</t>
  </si>
  <si>
    <t>Quincy, IL-Hannibal, MO-Keokuk, IA</t>
  </si>
  <si>
    <t>Helena, MT</t>
  </si>
  <si>
    <t>Glendive, MT</t>
  </si>
  <si>
    <t>Sioux City, IA</t>
  </si>
  <si>
    <t>Eureka, CA</t>
  </si>
  <si>
    <t>Victoria, TX</t>
  </si>
  <si>
    <t>Greenwood-Greenville, MS</t>
  </si>
  <si>
    <t>Rockford, IL</t>
  </si>
  <si>
    <t>Wilmington, NC</t>
  </si>
  <si>
    <t>Omaha, NE</t>
  </si>
  <si>
    <t>Ottumwa, IA-Kirksville, MO</t>
  </si>
  <si>
    <t>Baton Rouge, LA</t>
  </si>
  <si>
    <t>Phoenix, AZ</t>
  </si>
  <si>
    <t>Juneau, AK</t>
  </si>
  <si>
    <t>Medford-Klamath Falls, OR</t>
  </si>
  <si>
    <t>Nashville, TN</t>
  </si>
  <si>
    <t>Las Vegas, NV</t>
  </si>
  <si>
    <t>Davenport, IA-Rock Island-Moline, IL</t>
  </si>
  <si>
    <t>Vancouver Island and Coast / Île de Vancouver et la côte</t>
  </si>
  <si>
    <t>Tucson (Sierra Vista), AZ</t>
  </si>
  <si>
    <t>Colorado Springs-Pueblo,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</si>
</sst>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;\-#,##0"/>
    <numFmt numFmtId="165" formatCode="&quot;$&quot;#,##0;\-&quot;$&quot;#,##0"/>
    <numFmt numFmtId="168" formatCode="_(* #,##0_);_(* \(#,##0\);_(* &quot;-&quot;??_);_(@_)"/>
  </numFmts>
  <fonts count="3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164" fontId="1" fillId="0" borderId="4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10" fontId="1" fillId="0" borderId="7" xfId="0" applyNumberFormat="1" applyFont="1" applyBorder="1" applyAlignment="1">
      <alignment vertical="center"/>
    </xf>
    <xf numFmtId="15" fontId="1" fillId="0" borderId="1" xfId="0" applyNumberFormat="1" applyFont="1" applyBorder="1" applyAlignment="1">
      <alignment vertical="top"/>
    </xf>
    <xf numFmtId="14" fontId="2" fillId="0" borderId="7" xfId="0" applyNumberFormat="1" applyFont="1" applyBorder="1" applyAlignment="1">
      <alignment horizontal="left"/>
    </xf>
    <xf numFmtId="44" fontId="2" fillId="0" borderId="7" xfId="0" applyNumberFormat="1" applyFont="1" applyBorder="1"/>
    <xf numFmtId="168" fontId="2" fillId="0" borderId="7" xfId="0" applyNumberFormat="1" applyFont="1" applyBorder="1"/>
    <xf numFmtId="0" fontId="2" fillId="0" borderId="0" xfId="0" applyFont="1"/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top"/>
    </xf>
    <xf numFmtId="164" fontId="1" fillId="0" borderId="7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3" fontId="1" fillId="0" borderId="7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D6F2-1878-964A-A0FD-1CD61CC007D2}">
  <dimension ref="A1:C31"/>
  <sheetViews>
    <sheetView workbookViewId="0">
      <selection activeCell="C1" sqref="C1"/>
    </sheetView>
  </sheetViews>
  <sheetFormatPr baseColWidth="10" defaultRowHeight="15" x14ac:dyDescent="0.2"/>
  <sheetData>
    <row r="1" spans="1:3" x14ac:dyDescent="0.2">
      <c r="A1" s="12" t="s">
        <v>122</v>
      </c>
      <c r="B1" s="12" t="s">
        <v>115</v>
      </c>
      <c r="C1" s="12" t="s">
        <v>114</v>
      </c>
    </row>
    <row r="2" spans="1:3" x14ac:dyDescent="0.2">
      <c r="A2" s="9">
        <v>45809</v>
      </c>
      <c r="B2" s="10">
        <v>1002.03</v>
      </c>
      <c r="C2" s="11">
        <v>54164</v>
      </c>
    </row>
    <row r="3" spans="1:3" x14ac:dyDescent="0.2">
      <c r="A3" s="9">
        <v>45810</v>
      </c>
      <c r="B3" s="10">
        <v>999.19</v>
      </c>
      <c r="C3" s="11">
        <v>54010</v>
      </c>
    </row>
    <row r="4" spans="1:3" x14ac:dyDescent="0.2">
      <c r="A4" s="9">
        <v>45811</v>
      </c>
      <c r="B4" s="10">
        <v>1508.34</v>
      </c>
      <c r="C4" s="11">
        <v>81532</v>
      </c>
    </row>
    <row r="5" spans="1:3" x14ac:dyDescent="0.2">
      <c r="A5" s="9">
        <v>45812</v>
      </c>
      <c r="B5" s="10">
        <v>2860.6</v>
      </c>
      <c r="C5" s="11">
        <v>154627</v>
      </c>
    </row>
    <row r="6" spans="1:3" x14ac:dyDescent="0.2">
      <c r="A6" s="9">
        <v>45813</v>
      </c>
      <c r="B6" s="10">
        <v>2252.3000000000002</v>
      </c>
      <c r="C6" s="11">
        <v>121746</v>
      </c>
    </row>
    <row r="7" spans="1:3" x14ac:dyDescent="0.2">
      <c r="A7" s="9">
        <v>45814</v>
      </c>
      <c r="B7" s="10">
        <v>2250.83</v>
      </c>
      <c r="C7" s="11">
        <v>121667</v>
      </c>
    </row>
    <row r="8" spans="1:3" x14ac:dyDescent="0.2">
      <c r="A8" s="9">
        <v>45815</v>
      </c>
      <c r="B8" s="10">
        <v>2200.81</v>
      </c>
      <c r="C8" s="11">
        <v>118963</v>
      </c>
    </row>
    <row r="9" spans="1:3" x14ac:dyDescent="0.2">
      <c r="A9" s="9">
        <v>45816</v>
      </c>
      <c r="B9" s="10">
        <v>2169.84</v>
      </c>
      <c r="C9" s="11">
        <v>117289</v>
      </c>
    </row>
    <row r="10" spans="1:3" x14ac:dyDescent="0.2">
      <c r="A10" s="9">
        <v>45817</v>
      </c>
      <c r="B10" s="10">
        <v>2208.02</v>
      </c>
      <c r="C10" s="11">
        <v>119352</v>
      </c>
    </row>
    <row r="11" spans="1:3" x14ac:dyDescent="0.2">
      <c r="A11" s="9">
        <v>45818</v>
      </c>
      <c r="B11" s="10">
        <v>2515.1799999999998</v>
      </c>
      <c r="C11" s="11">
        <v>135956</v>
      </c>
    </row>
    <row r="12" spans="1:3" x14ac:dyDescent="0.2">
      <c r="A12" s="9">
        <v>45819</v>
      </c>
      <c r="B12" s="10">
        <v>2206.1</v>
      </c>
      <c r="C12" s="11">
        <v>119249</v>
      </c>
    </row>
    <row r="13" spans="1:3" x14ac:dyDescent="0.2">
      <c r="A13" s="9">
        <v>45820</v>
      </c>
      <c r="B13" s="10">
        <v>2128.04</v>
      </c>
      <c r="C13" s="11">
        <v>115029</v>
      </c>
    </row>
    <row r="14" spans="1:3" x14ac:dyDescent="0.2">
      <c r="A14" s="9">
        <v>45821</v>
      </c>
      <c r="B14" s="10">
        <v>2174.85</v>
      </c>
      <c r="C14" s="11">
        <v>117559</v>
      </c>
    </row>
    <row r="15" spans="1:3" x14ac:dyDescent="0.2">
      <c r="A15" s="9">
        <v>45822</v>
      </c>
      <c r="B15" s="10">
        <v>2202.48</v>
      </c>
      <c r="C15" s="11">
        <v>119053</v>
      </c>
    </row>
    <row r="16" spans="1:3" x14ac:dyDescent="0.2">
      <c r="A16" s="9">
        <v>45823</v>
      </c>
      <c r="B16" s="10">
        <v>2161.54</v>
      </c>
      <c r="C16" s="11">
        <v>116840</v>
      </c>
    </row>
    <row r="17" spans="1:3" x14ac:dyDescent="0.2">
      <c r="A17" s="9">
        <v>45824</v>
      </c>
      <c r="B17" s="10">
        <v>2201.5</v>
      </c>
      <c r="C17" s="11">
        <v>119000</v>
      </c>
    </row>
    <row r="18" spans="1:3" x14ac:dyDescent="0.2">
      <c r="A18" s="9">
        <v>45825</v>
      </c>
      <c r="B18" s="10">
        <v>2172.12</v>
      </c>
      <c r="C18" s="11">
        <v>117412</v>
      </c>
    </row>
    <row r="19" spans="1:3" x14ac:dyDescent="0.2">
      <c r="A19" s="9">
        <v>45826</v>
      </c>
      <c r="B19" s="10">
        <v>2250.91</v>
      </c>
      <c r="C19" s="11">
        <v>121671</v>
      </c>
    </row>
    <row r="20" spans="1:3" x14ac:dyDescent="0.2">
      <c r="A20" s="9">
        <v>45827</v>
      </c>
      <c r="B20" s="10">
        <v>2209.89</v>
      </c>
      <c r="C20" s="11">
        <v>119453</v>
      </c>
    </row>
    <row r="21" spans="1:3" x14ac:dyDescent="0.2">
      <c r="A21" s="9">
        <v>45828</v>
      </c>
      <c r="B21" s="10">
        <v>2220.71</v>
      </c>
      <c r="C21" s="11">
        <v>120039</v>
      </c>
    </row>
    <row r="22" spans="1:3" x14ac:dyDescent="0.2">
      <c r="A22" s="9">
        <v>45829</v>
      </c>
      <c r="B22" s="10">
        <v>2180.14</v>
      </c>
      <c r="C22" s="11">
        <v>117845</v>
      </c>
    </row>
    <row r="23" spans="1:3" x14ac:dyDescent="0.2">
      <c r="A23" s="9">
        <v>45830</v>
      </c>
      <c r="B23" s="10">
        <v>2216.2399999999998</v>
      </c>
      <c r="C23" s="11">
        <v>119797</v>
      </c>
    </row>
    <row r="24" spans="1:3" x14ac:dyDescent="0.2">
      <c r="A24" s="9">
        <v>45831</v>
      </c>
      <c r="B24" s="10">
        <v>2200.89</v>
      </c>
      <c r="C24" s="11">
        <v>118967</v>
      </c>
    </row>
    <row r="25" spans="1:3" x14ac:dyDescent="0.2">
      <c r="A25" s="9">
        <v>45832</v>
      </c>
      <c r="B25" s="10">
        <v>2266.83</v>
      </c>
      <c r="C25" s="11">
        <v>122531</v>
      </c>
    </row>
    <row r="26" spans="1:3" x14ac:dyDescent="0.2">
      <c r="A26" s="9">
        <v>45833</v>
      </c>
      <c r="B26" s="10">
        <v>2289.54</v>
      </c>
      <c r="C26" s="11">
        <v>123759</v>
      </c>
    </row>
    <row r="27" spans="1:3" x14ac:dyDescent="0.2">
      <c r="A27" s="9">
        <v>45834</v>
      </c>
      <c r="B27" s="10">
        <v>2341.06</v>
      </c>
      <c r="C27" s="11">
        <v>126544</v>
      </c>
    </row>
    <row r="28" spans="1:3" x14ac:dyDescent="0.2">
      <c r="A28" s="9">
        <v>45835</v>
      </c>
      <c r="B28" s="10">
        <v>2280.91</v>
      </c>
      <c r="C28" s="11">
        <v>123292</v>
      </c>
    </row>
    <row r="29" spans="1:3" x14ac:dyDescent="0.2">
      <c r="A29" s="9">
        <v>45836</v>
      </c>
      <c r="B29" s="10">
        <v>2239.23</v>
      </c>
      <c r="C29" s="11">
        <v>121040</v>
      </c>
    </row>
    <row r="30" spans="1:3" x14ac:dyDescent="0.2">
      <c r="A30" s="9">
        <v>45837</v>
      </c>
      <c r="B30" s="10">
        <v>2244.2800000000002</v>
      </c>
      <c r="C30" s="11">
        <v>121312</v>
      </c>
    </row>
    <row r="31" spans="1:3" x14ac:dyDescent="0.2">
      <c r="A31" s="9">
        <v>45838</v>
      </c>
      <c r="B31" s="10">
        <v>2183.27</v>
      </c>
      <c r="C31" s="11">
        <v>118015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workbookViewId="0">
      <selection sqref="A1:XFD1048576"/>
    </sheetView>
  </sheetViews>
  <sheetFormatPr baseColWidth="10" defaultColWidth="8.83203125" defaultRowHeight="15" x14ac:dyDescent="0.2"/>
  <cols>
    <col min="2" max="2" width="37.1640625" bestFit="1" customWidth="1"/>
    <col min="6" max="6" width="15" bestFit="1" customWidth="1"/>
    <col min="7" max="7" width="13.33203125" bestFit="1" customWidth="1"/>
  </cols>
  <sheetData>
    <row r="1" spans="1:7" x14ac:dyDescent="0.2">
      <c r="A1" s="3" t="s">
        <v>119</v>
      </c>
      <c r="B1" s="3" t="s">
        <v>120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121</v>
      </c>
    </row>
    <row r="2" spans="1:7" x14ac:dyDescent="0.2">
      <c r="A2" s="8">
        <v>45809</v>
      </c>
      <c r="B2" s="1" t="s">
        <v>0</v>
      </c>
      <c r="C2" s="4">
        <v>6817.8</v>
      </c>
      <c r="D2" s="5">
        <v>126.12930000000003</v>
      </c>
      <c r="E2" s="6">
        <v>88</v>
      </c>
      <c r="F2" s="6">
        <v>110</v>
      </c>
      <c r="G2" s="7">
        <v>2.8396256857050661E-2</v>
      </c>
    </row>
    <row r="3" spans="1:7" x14ac:dyDescent="0.2">
      <c r="A3" s="8">
        <f t="shared" ref="A3:A5" si="0">A2</f>
        <v>45809</v>
      </c>
      <c r="B3" s="1" t="s">
        <v>1</v>
      </c>
      <c r="C3" s="4">
        <v>6945.4000000000005</v>
      </c>
      <c r="D3" s="5">
        <v>128.48990000000003</v>
      </c>
      <c r="E3" s="6">
        <v>0</v>
      </c>
      <c r="F3" s="6">
        <v>136</v>
      </c>
      <c r="G3" s="7">
        <v>0</v>
      </c>
    </row>
    <row r="4" spans="1:7" x14ac:dyDescent="0.2">
      <c r="A4" s="8">
        <f t="shared" si="0"/>
        <v>45809</v>
      </c>
      <c r="B4" s="1" t="s">
        <v>2</v>
      </c>
      <c r="C4" s="4">
        <v>20281.800000000007</v>
      </c>
      <c r="D4" s="5">
        <v>375.21330000000006</v>
      </c>
      <c r="E4" s="6">
        <v>0</v>
      </c>
      <c r="F4" s="6">
        <v>329</v>
      </c>
      <c r="G4" s="7">
        <v>0</v>
      </c>
    </row>
    <row r="5" spans="1:7" x14ac:dyDescent="0.2">
      <c r="A5" s="8">
        <f t="shared" si="0"/>
        <v>45809</v>
      </c>
      <c r="B5" s="1" t="s">
        <v>3</v>
      </c>
      <c r="C5" s="4">
        <v>20119.000000000004</v>
      </c>
      <c r="D5" s="5">
        <v>372.20149999999995</v>
      </c>
      <c r="E5" s="6">
        <v>366</v>
      </c>
      <c r="F5" s="6">
        <v>332</v>
      </c>
      <c r="G5" s="7">
        <v>4.0021869874248224E-2</v>
      </c>
    </row>
    <row r="6" spans="1:7" x14ac:dyDescent="0.2">
      <c r="A6" s="8">
        <v>45810</v>
      </c>
      <c r="B6" s="1" t="s">
        <v>4</v>
      </c>
      <c r="C6" s="4">
        <v>11495</v>
      </c>
      <c r="D6" s="5">
        <v>212.65750000000003</v>
      </c>
      <c r="E6" s="6">
        <v>144</v>
      </c>
      <c r="F6" s="6">
        <v>190</v>
      </c>
      <c r="G6" s="7">
        <v>2.755980861244019E-2</v>
      </c>
    </row>
    <row r="7" spans="1:7" x14ac:dyDescent="0.2">
      <c r="A7" s="8">
        <f t="shared" ref="A7:A10" si="1">A6</f>
        <v>45810</v>
      </c>
      <c r="B7" s="1" t="s">
        <v>5</v>
      </c>
      <c r="C7" s="4">
        <v>11446.600000000002</v>
      </c>
      <c r="D7" s="5">
        <v>211.76210000000009</v>
      </c>
      <c r="E7" s="6">
        <v>0</v>
      </c>
      <c r="F7" s="6">
        <v>134</v>
      </c>
      <c r="G7" s="7">
        <v>0</v>
      </c>
    </row>
    <row r="8" spans="1:7" x14ac:dyDescent="0.2">
      <c r="A8" s="8">
        <f t="shared" si="1"/>
        <v>45810</v>
      </c>
      <c r="B8" s="1" t="s">
        <v>6</v>
      </c>
      <c r="C8" s="4">
        <v>11587.400000000003</v>
      </c>
      <c r="D8" s="5">
        <v>214.36690000000002</v>
      </c>
      <c r="E8" s="6">
        <v>0</v>
      </c>
      <c r="F8" s="6">
        <v>156</v>
      </c>
      <c r="G8" s="7">
        <v>0</v>
      </c>
    </row>
    <row r="9" spans="1:7" x14ac:dyDescent="0.2">
      <c r="A9" s="8">
        <f t="shared" si="1"/>
        <v>45810</v>
      </c>
      <c r="B9" s="1" t="s">
        <v>7</v>
      </c>
      <c r="C9" s="4">
        <v>11600.6</v>
      </c>
      <c r="D9" s="5">
        <v>214.61110000000002</v>
      </c>
      <c r="E9" s="6">
        <v>212</v>
      </c>
      <c r="F9" s="6">
        <v>151</v>
      </c>
      <c r="G9" s="7">
        <v>4.0204816992224543E-2</v>
      </c>
    </row>
    <row r="10" spans="1:7" x14ac:dyDescent="0.2">
      <c r="A10" s="8">
        <f t="shared" si="1"/>
        <v>45810</v>
      </c>
      <c r="B10" s="1" t="s">
        <v>8</v>
      </c>
      <c r="C10" s="4">
        <v>7880.4000000000005</v>
      </c>
      <c r="D10" s="5">
        <v>145.78740000000005</v>
      </c>
      <c r="E10" s="6">
        <v>0</v>
      </c>
      <c r="F10" s="6">
        <v>123</v>
      </c>
      <c r="G10" s="7">
        <v>0</v>
      </c>
    </row>
    <row r="11" spans="1:7" x14ac:dyDescent="0.2">
      <c r="A11" s="8">
        <v>45811</v>
      </c>
      <c r="B11" s="1" t="s">
        <v>9</v>
      </c>
      <c r="C11" s="4">
        <v>27662.800000000007</v>
      </c>
      <c r="D11" s="5">
        <v>511.76180000000005</v>
      </c>
      <c r="E11" s="6">
        <v>326</v>
      </c>
      <c r="F11" s="6">
        <v>415</v>
      </c>
      <c r="G11" s="7">
        <v>2.5926515031016385E-2</v>
      </c>
    </row>
    <row r="12" spans="1:7" x14ac:dyDescent="0.2">
      <c r="A12" s="8">
        <f t="shared" ref="A12:A13" si="2">A11</f>
        <v>45811</v>
      </c>
      <c r="B12" s="1" t="s">
        <v>10</v>
      </c>
      <c r="C12" s="4">
        <v>27022.600000000002</v>
      </c>
      <c r="D12" s="5">
        <v>499.91809999999998</v>
      </c>
      <c r="E12" s="6">
        <v>0</v>
      </c>
      <c r="F12" s="6">
        <v>412</v>
      </c>
      <c r="G12" s="7">
        <v>0</v>
      </c>
    </row>
    <row r="13" spans="1:7" x14ac:dyDescent="0.2">
      <c r="A13" s="8">
        <f t="shared" si="2"/>
        <v>45811</v>
      </c>
      <c r="B13" s="1" t="s">
        <v>11</v>
      </c>
      <c r="C13" s="4">
        <v>26846.600000000006</v>
      </c>
      <c r="D13" s="5">
        <v>496.66210000000018</v>
      </c>
      <c r="E13" s="6">
        <v>0</v>
      </c>
      <c r="F13" s="6">
        <v>334</v>
      </c>
      <c r="G13" s="7">
        <v>0</v>
      </c>
    </row>
    <row r="14" spans="1:7" x14ac:dyDescent="0.2">
      <c r="A14" s="8">
        <v>45812</v>
      </c>
      <c r="B14" s="1" t="s">
        <v>12</v>
      </c>
      <c r="C14" s="4">
        <v>38365.80000000001</v>
      </c>
      <c r="D14" s="5">
        <v>709.76730000000009</v>
      </c>
      <c r="E14" s="6">
        <v>335</v>
      </c>
      <c r="F14" s="6">
        <v>413</v>
      </c>
      <c r="G14" s="7">
        <v>1.9209817076667239E-2</v>
      </c>
    </row>
    <row r="15" spans="1:7" x14ac:dyDescent="0.2">
      <c r="A15" s="8">
        <f t="shared" ref="A15:A18" si="3">A14</f>
        <v>45812</v>
      </c>
      <c r="B15" s="1" t="s">
        <v>13</v>
      </c>
      <c r="C15" s="4">
        <v>38315.200000000012</v>
      </c>
      <c r="D15" s="5">
        <v>708.83120000000008</v>
      </c>
      <c r="E15" s="6">
        <v>0</v>
      </c>
      <c r="F15" s="6">
        <v>481</v>
      </c>
      <c r="G15" s="7">
        <v>0</v>
      </c>
    </row>
    <row r="16" spans="1:7" x14ac:dyDescent="0.2">
      <c r="A16" s="8">
        <f t="shared" si="3"/>
        <v>45812</v>
      </c>
      <c r="B16" s="1" t="s">
        <v>14</v>
      </c>
      <c r="C16" s="4">
        <v>18114.800000000007</v>
      </c>
      <c r="D16" s="5">
        <v>335.1237999999999</v>
      </c>
      <c r="E16" s="6">
        <v>334</v>
      </c>
      <c r="F16" s="6">
        <v>231</v>
      </c>
      <c r="G16" s="7">
        <v>4.0563517124119507E-2</v>
      </c>
    </row>
    <row r="17" spans="1:7" x14ac:dyDescent="0.2">
      <c r="A17" s="8">
        <f t="shared" si="3"/>
        <v>45812</v>
      </c>
      <c r="B17" s="1" t="s">
        <v>15</v>
      </c>
      <c r="C17" s="4">
        <v>42042.000000000007</v>
      </c>
      <c r="D17" s="5">
        <v>777.77700000000016</v>
      </c>
      <c r="E17" s="6">
        <v>0</v>
      </c>
      <c r="F17" s="6">
        <v>495</v>
      </c>
      <c r="G17" s="7">
        <v>0</v>
      </c>
    </row>
    <row r="18" spans="1:7" x14ac:dyDescent="0.2">
      <c r="A18" s="8">
        <f t="shared" si="3"/>
        <v>45812</v>
      </c>
      <c r="B18" s="1" t="s">
        <v>16</v>
      </c>
      <c r="C18" s="4">
        <v>17789.200000000004</v>
      </c>
      <c r="D18" s="5">
        <v>329.10020000000009</v>
      </c>
      <c r="E18" s="6">
        <v>0</v>
      </c>
      <c r="F18" s="6">
        <v>226</v>
      </c>
      <c r="G18" s="7">
        <v>0</v>
      </c>
    </row>
    <row r="19" spans="1:7" x14ac:dyDescent="0.2">
      <c r="A19" s="8">
        <v>45813</v>
      </c>
      <c r="B19" s="1" t="s">
        <v>17</v>
      </c>
      <c r="C19" s="4">
        <v>6133.6000000000013</v>
      </c>
      <c r="D19" s="5">
        <v>113.47160000000002</v>
      </c>
      <c r="E19" s="6">
        <v>69</v>
      </c>
      <c r="F19" s="6">
        <v>77</v>
      </c>
      <c r="G19" s="7">
        <v>2.4748923959827834E-2</v>
      </c>
    </row>
    <row r="20" spans="1:7" x14ac:dyDescent="0.2">
      <c r="A20" s="8">
        <f t="shared" ref="A20:A23" si="4">A19</f>
        <v>45813</v>
      </c>
      <c r="B20" s="1" t="s">
        <v>18</v>
      </c>
      <c r="C20" s="4">
        <v>6122.5999999999985</v>
      </c>
      <c r="D20" s="5">
        <v>113.2681</v>
      </c>
      <c r="E20" s="6">
        <v>0</v>
      </c>
      <c r="F20" s="6">
        <v>111</v>
      </c>
      <c r="G20" s="7">
        <v>0</v>
      </c>
    </row>
    <row r="21" spans="1:7" x14ac:dyDescent="0.2">
      <c r="A21" s="8">
        <f t="shared" si="4"/>
        <v>45813</v>
      </c>
      <c r="B21" s="1" t="s">
        <v>19</v>
      </c>
      <c r="C21" s="4">
        <v>48912.600000000013</v>
      </c>
      <c r="D21" s="5">
        <v>904.88310000000024</v>
      </c>
      <c r="E21" s="6">
        <v>699</v>
      </c>
      <c r="F21" s="6">
        <v>685</v>
      </c>
      <c r="G21" s="7">
        <v>3.1439751720415597E-2</v>
      </c>
    </row>
    <row r="22" spans="1:7" x14ac:dyDescent="0.2">
      <c r="A22" s="8">
        <f t="shared" si="4"/>
        <v>45813</v>
      </c>
      <c r="B22" s="1" t="s">
        <v>20</v>
      </c>
      <c r="C22" s="4">
        <v>12245.199999999999</v>
      </c>
      <c r="D22" s="5">
        <v>226.53620000000004</v>
      </c>
      <c r="E22" s="6">
        <v>0</v>
      </c>
      <c r="F22" s="6">
        <v>147</v>
      </c>
      <c r="G22" s="7">
        <v>0</v>
      </c>
    </row>
    <row r="23" spans="1:7" x14ac:dyDescent="0.2">
      <c r="A23" s="8">
        <f t="shared" si="4"/>
        <v>45813</v>
      </c>
      <c r="B23" s="1" t="s">
        <v>21</v>
      </c>
      <c r="C23" s="4">
        <v>48331.80000000001</v>
      </c>
      <c r="D23" s="5">
        <v>894.13830000000041</v>
      </c>
      <c r="E23" s="6">
        <v>0</v>
      </c>
      <c r="F23" s="6">
        <v>557</v>
      </c>
      <c r="G23" s="7">
        <v>0</v>
      </c>
    </row>
    <row r="24" spans="1:7" x14ac:dyDescent="0.2">
      <c r="A24" s="8">
        <v>45814</v>
      </c>
      <c r="B24" s="1" t="s">
        <v>22</v>
      </c>
      <c r="C24" s="4">
        <v>6298.6</v>
      </c>
      <c r="D24" s="5">
        <v>116.52410000000006</v>
      </c>
      <c r="E24" s="6">
        <v>78</v>
      </c>
      <c r="F24" s="6">
        <v>91</v>
      </c>
      <c r="G24" s="7">
        <v>2.7244149493538247E-2</v>
      </c>
    </row>
    <row r="25" spans="1:7" x14ac:dyDescent="0.2">
      <c r="A25" s="8">
        <f t="shared" ref="A25:A28" si="5">A24</f>
        <v>45814</v>
      </c>
      <c r="B25" s="1" t="s">
        <v>23</v>
      </c>
      <c r="C25" s="4">
        <v>6047.7999999999993</v>
      </c>
      <c r="D25" s="5">
        <v>111.8843</v>
      </c>
      <c r="E25" s="6">
        <v>0</v>
      </c>
      <c r="F25" s="6">
        <v>83</v>
      </c>
      <c r="G25" s="7">
        <v>0</v>
      </c>
    </row>
    <row r="26" spans="1:7" x14ac:dyDescent="0.2">
      <c r="A26" s="8">
        <f t="shared" si="5"/>
        <v>45814</v>
      </c>
      <c r="B26" s="1" t="s">
        <v>24</v>
      </c>
      <c r="C26" s="4">
        <v>48848.800000000003</v>
      </c>
      <c r="D26" s="5">
        <v>903.70280000000002</v>
      </c>
      <c r="E26" s="6">
        <v>785</v>
      </c>
      <c r="F26" s="6">
        <v>673</v>
      </c>
      <c r="G26" s="7">
        <v>3.5353990272023059E-2</v>
      </c>
    </row>
    <row r="27" spans="1:7" x14ac:dyDescent="0.2">
      <c r="A27" s="8">
        <f t="shared" si="5"/>
        <v>45814</v>
      </c>
      <c r="B27" s="1" t="s">
        <v>25</v>
      </c>
      <c r="C27" s="4">
        <v>12423.400000000001</v>
      </c>
      <c r="D27" s="5">
        <v>229.83289999999994</v>
      </c>
      <c r="E27" s="6">
        <v>0</v>
      </c>
      <c r="F27" s="6">
        <v>207</v>
      </c>
      <c r="G27" s="7">
        <v>0</v>
      </c>
    </row>
    <row r="28" spans="1:7" x14ac:dyDescent="0.2">
      <c r="A28" s="8">
        <f t="shared" si="5"/>
        <v>45814</v>
      </c>
      <c r="B28" s="1" t="s">
        <v>26</v>
      </c>
      <c r="C28" s="4">
        <v>48048.000000000007</v>
      </c>
      <c r="D28" s="5">
        <v>888.88800000000015</v>
      </c>
      <c r="E28" s="6">
        <v>0</v>
      </c>
      <c r="F28" s="6">
        <v>658</v>
      </c>
      <c r="G28" s="7">
        <v>0</v>
      </c>
    </row>
    <row r="29" spans="1:7" x14ac:dyDescent="0.2">
      <c r="A29" s="8">
        <v>45815</v>
      </c>
      <c r="B29" s="1" t="s">
        <v>27</v>
      </c>
      <c r="C29" s="4">
        <v>5928.9999999999991</v>
      </c>
      <c r="D29" s="5">
        <v>109.68649999999997</v>
      </c>
      <c r="E29" s="6">
        <v>94</v>
      </c>
      <c r="F29" s="6">
        <v>92</v>
      </c>
      <c r="G29" s="7">
        <v>3.4879406307977735E-2</v>
      </c>
    </row>
    <row r="30" spans="1:7" x14ac:dyDescent="0.2">
      <c r="A30" s="8">
        <f t="shared" ref="A30:A33" si="6">A29</f>
        <v>45815</v>
      </c>
      <c r="B30" s="1" t="s">
        <v>28</v>
      </c>
      <c r="C30" s="4">
        <v>6118.2000000000007</v>
      </c>
      <c r="D30" s="5">
        <v>113.18670000000002</v>
      </c>
      <c r="E30" s="6">
        <v>0</v>
      </c>
      <c r="F30" s="6">
        <v>107</v>
      </c>
      <c r="G30" s="7">
        <v>0</v>
      </c>
    </row>
    <row r="31" spans="1:7" x14ac:dyDescent="0.2">
      <c r="A31" s="8">
        <f t="shared" si="6"/>
        <v>45815</v>
      </c>
      <c r="B31" s="1" t="s">
        <v>29</v>
      </c>
      <c r="C31" s="4">
        <v>48105.19999999999</v>
      </c>
      <c r="D31" s="5">
        <v>889.9462000000002</v>
      </c>
      <c r="E31" s="6">
        <v>947</v>
      </c>
      <c r="F31" s="6">
        <v>731</v>
      </c>
      <c r="G31" s="7">
        <v>4.3309247233147351E-2</v>
      </c>
    </row>
    <row r="32" spans="1:7" x14ac:dyDescent="0.2">
      <c r="A32" s="8">
        <f t="shared" si="6"/>
        <v>45815</v>
      </c>
      <c r="B32" s="1" t="s">
        <v>30</v>
      </c>
      <c r="C32" s="4">
        <v>12091.2</v>
      </c>
      <c r="D32" s="5">
        <v>223.68719999999999</v>
      </c>
      <c r="E32" s="6">
        <v>0</v>
      </c>
      <c r="F32" s="6">
        <v>186</v>
      </c>
      <c r="G32" s="7">
        <v>0</v>
      </c>
    </row>
    <row r="33" spans="1:7" x14ac:dyDescent="0.2">
      <c r="A33" s="8">
        <f t="shared" si="6"/>
        <v>45815</v>
      </c>
      <c r="B33" s="1" t="s">
        <v>31</v>
      </c>
      <c r="C33" s="4">
        <v>46719.200000000004</v>
      </c>
      <c r="D33" s="5">
        <v>864.30520000000035</v>
      </c>
      <c r="E33" s="6">
        <v>0</v>
      </c>
      <c r="F33" s="6">
        <v>800</v>
      </c>
      <c r="G33" s="7">
        <v>0</v>
      </c>
    </row>
    <row r="34" spans="1:7" x14ac:dyDescent="0.2">
      <c r="A34" s="8">
        <v>45816</v>
      </c>
      <c r="B34" s="1" t="s">
        <v>32</v>
      </c>
      <c r="C34" s="4">
        <v>5995.0000000000009</v>
      </c>
      <c r="D34" s="5">
        <v>110.90750000000001</v>
      </c>
      <c r="E34" s="6">
        <v>85</v>
      </c>
      <c r="F34" s="6">
        <v>121</v>
      </c>
      <c r="G34" s="7">
        <v>3.1192660550458717E-2</v>
      </c>
    </row>
    <row r="35" spans="1:7" x14ac:dyDescent="0.2">
      <c r="A35" s="8">
        <f t="shared" ref="A35:A38" si="7">A34</f>
        <v>45816</v>
      </c>
      <c r="B35" s="1" t="s">
        <v>33</v>
      </c>
      <c r="C35" s="4">
        <v>5805.7999999999993</v>
      </c>
      <c r="D35" s="5">
        <v>107.40730000000001</v>
      </c>
      <c r="E35" s="6">
        <v>0</v>
      </c>
      <c r="F35" s="6">
        <v>80</v>
      </c>
      <c r="G35" s="7">
        <v>0</v>
      </c>
    </row>
    <row r="36" spans="1:7" x14ac:dyDescent="0.2">
      <c r="A36" s="8">
        <f t="shared" si="7"/>
        <v>45816</v>
      </c>
      <c r="B36" s="1" t="s">
        <v>34</v>
      </c>
      <c r="C36" s="4">
        <v>46774.200000000004</v>
      </c>
      <c r="D36" s="5">
        <v>865.3227000000004</v>
      </c>
      <c r="E36" s="6">
        <v>815</v>
      </c>
      <c r="F36" s="6">
        <v>699</v>
      </c>
      <c r="G36" s="7">
        <v>3.8333098160951977E-2</v>
      </c>
    </row>
    <row r="37" spans="1:7" x14ac:dyDescent="0.2">
      <c r="A37" s="8">
        <f t="shared" si="7"/>
        <v>45816</v>
      </c>
      <c r="B37" s="1" t="s">
        <v>35</v>
      </c>
      <c r="C37" s="4">
        <v>11712.799999999997</v>
      </c>
      <c r="D37" s="5">
        <v>216.68680000000003</v>
      </c>
      <c r="E37" s="6">
        <v>0</v>
      </c>
      <c r="F37" s="6">
        <v>193</v>
      </c>
      <c r="G37" s="7">
        <v>0</v>
      </c>
    </row>
    <row r="38" spans="1:7" x14ac:dyDescent="0.2">
      <c r="A38" s="8">
        <f t="shared" si="7"/>
        <v>45816</v>
      </c>
      <c r="B38" s="1" t="s">
        <v>36</v>
      </c>
      <c r="C38" s="4">
        <v>47000.80000000001</v>
      </c>
      <c r="D38" s="5">
        <v>869.51480000000026</v>
      </c>
      <c r="E38" s="6">
        <v>0</v>
      </c>
      <c r="F38" s="6">
        <v>690</v>
      </c>
      <c r="G38" s="7">
        <v>0</v>
      </c>
    </row>
    <row r="39" spans="1:7" x14ac:dyDescent="0.2">
      <c r="A39" s="8">
        <v>45817</v>
      </c>
      <c r="B39" s="1" t="s">
        <v>37</v>
      </c>
      <c r="C39" s="4">
        <v>7046.6</v>
      </c>
      <c r="D39" s="5">
        <v>130.36210000000003</v>
      </c>
      <c r="E39" s="6">
        <v>57</v>
      </c>
      <c r="F39" s="6">
        <v>85</v>
      </c>
      <c r="G39" s="7">
        <v>1.7795816422104278E-2</v>
      </c>
    </row>
    <row r="40" spans="1:7" x14ac:dyDescent="0.2">
      <c r="A40" s="8">
        <f t="shared" ref="A40:A43" si="8">A39</f>
        <v>45817</v>
      </c>
      <c r="B40" s="1" t="s">
        <v>38</v>
      </c>
      <c r="C40" s="4">
        <v>7370</v>
      </c>
      <c r="D40" s="5">
        <v>136.34500000000003</v>
      </c>
      <c r="E40" s="6">
        <v>0</v>
      </c>
      <c r="F40" s="6">
        <v>102</v>
      </c>
      <c r="G40" s="7">
        <v>0</v>
      </c>
    </row>
    <row r="41" spans="1:7" x14ac:dyDescent="0.2">
      <c r="A41" s="8">
        <f t="shared" si="8"/>
        <v>45817</v>
      </c>
      <c r="B41" s="1" t="s">
        <v>39</v>
      </c>
      <c r="C41" s="4">
        <v>49280.000000000007</v>
      </c>
      <c r="D41" s="5">
        <v>911.68000000000006</v>
      </c>
      <c r="E41" s="6">
        <v>757</v>
      </c>
      <c r="F41" s="6">
        <v>649</v>
      </c>
      <c r="G41" s="7">
        <v>3.3794642857142856E-2</v>
      </c>
    </row>
    <row r="42" spans="1:7" x14ac:dyDescent="0.2">
      <c r="A42" s="8">
        <f t="shared" si="8"/>
        <v>45817</v>
      </c>
      <c r="B42" s="1" t="s">
        <v>40</v>
      </c>
      <c r="C42" s="4">
        <v>6390.9999999999991</v>
      </c>
      <c r="D42" s="5">
        <v>118.23350000000001</v>
      </c>
      <c r="E42" s="6">
        <v>0</v>
      </c>
      <c r="F42" s="6">
        <v>60</v>
      </c>
      <c r="G42" s="7">
        <v>0</v>
      </c>
    </row>
    <row r="43" spans="1:7" x14ac:dyDescent="0.2">
      <c r="A43" s="8">
        <f t="shared" si="8"/>
        <v>45817</v>
      </c>
      <c r="B43" s="1" t="s">
        <v>41</v>
      </c>
      <c r="C43" s="4">
        <v>49264.600000000006</v>
      </c>
      <c r="D43" s="5">
        <v>911.39509999999996</v>
      </c>
      <c r="E43" s="6">
        <v>0</v>
      </c>
      <c r="F43" s="6">
        <v>662</v>
      </c>
      <c r="G43" s="7">
        <v>0</v>
      </c>
    </row>
    <row r="44" spans="1:7" x14ac:dyDescent="0.2">
      <c r="A44" s="8">
        <v>45818</v>
      </c>
      <c r="B44" s="1" t="s">
        <v>42</v>
      </c>
      <c r="C44" s="4">
        <v>10148.600000000002</v>
      </c>
      <c r="D44" s="5">
        <v>187.74910000000003</v>
      </c>
      <c r="E44" s="6">
        <v>112</v>
      </c>
      <c r="F44" s="6">
        <v>99</v>
      </c>
      <c r="G44" s="7">
        <v>2.4279210925644917E-2</v>
      </c>
    </row>
    <row r="45" spans="1:7" x14ac:dyDescent="0.2">
      <c r="A45" s="8">
        <f t="shared" ref="A45:A47" si="9">A44</f>
        <v>45818</v>
      </c>
      <c r="B45" s="1" t="s">
        <v>43</v>
      </c>
      <c r="C45" s="4">
        <v>9231.2000000000007</v>
      </c>
      <c r="D45" s="5">
        <v>170.77720000000002</v>
      </c>
      <c r="E45" s="6">
        <v>0</v>
      </c>
      <c r="F45" s="6">
        <v>114</v>
      </c>
      <c r="G45" s="7">
        <v>0</v>
      </c>
    </row>
    <row r="46" spans="1:7" x14ac:dyDescent="0.2">
      <c r="A46" s="8">
        <f t="shared" si="9"/>
        <v>45818</v>
      </c>
      <c r="B46" s="1" t="s">
        <v>44</v>
      </c>
      <c r="C46" s="4">
        <v>58398.999999999993</v>
      </c>
      <c r="D46" s="5">
        <v>1080.3815000000004</v>
      </c>
      <c r="E46" s="6">
        <v>918</v>
      </c>
      <c r="F46" s="6">
        <v>787</v>
      </c>
      <c r="G46" s="7">
        <v>3.4582783951779994E-2</v>
      </c>
    </row>
    <row r="47" spans="1:7" x14ac:dyDescent="0.2">
      <c r="A47" s="8">
        <f t="shared" si="9"/>
        <v>45818</v>
      </c>
      <c r="B47" s="1" t="s">
        <v>45</v>
      </c>
      <c r="C47" s="4">
        <v>58176.800000000003</v>
      </c>
      <c r="D47" s="5">
        <v>1076.2707999999996</v>
      </c>
      <c r="E47" s="6">
        <v>0</v>
      </c>
      <c r="F47" s="6">
        <v>683</v>
      </c>
      <c r="G47" s="7">
        <v>0</v>
      </c>
    </row>
    <row r="48" spans="1:7" x14ac:dyDescent="0.2">
      <c r="A48" s="8">
        <v>45819</v>
      </c>
      <c r="B48" s="1" t="s">
        <v>46</v>
      </c>
      <c r="C48" s="4">
        <v>8696.6</v>
      </c>
      <c r="D48" s="5">
        <v>160.8871</v>
      </c>
      <c r="E48" s="6">
        <v>102</v>
      </c>
      <c r="F48" s="6">
        <v>115</v>
      </c>
      <c r="G48" s="7">
        <v>2.5803187452567669E-2</v>
      </c>
    </row>
    <row r="49" spans="1:7" x14ac:dyDescent="0.2">
      <c r="A49" s="8">
        <f t="shared" ref="A49:A51" si="10">A48</f>
        <v>45819</v>
      </c>
      <c r="B49" s="1" t="s">
        <v>47</v>
      </c>
      <c r="C49" s="4">
        <v>8267.5999999999967</v>
      </c>
      <c r="D49" s="5">
        <v>152.95059999999998</v>
      </c>
      <c r="E49" s="6">
        <v>0</v>
      </c>
      <c r="F49" s="6">
        <v>89</v>
      </c>
      <c r="G49" s="7">
        <v>0</v>
      </c>
    </row>
    <row r="50" spans="1:7" x14ac:dyDescent="0.2">
      <c r="A50" s="8">
        <f t="shared" si="10"/>
        <v>45819</v>
      </c>
      <c r="B50" s="1" t="s">
        <v>48</v>
      </c>
      <c r="C50" s="4">
        <v>50639.6</v>
      </c>
      <c r="D50" s="5">
        <v>936.83260000000041</v>
      </c>
      <c r="E50" s="6">
        <v>713</v>
      </c>
      <c r="F50" s="6">
        <v>621</v>
      </c>
      <c r="G50" s="7">
        <v>3.0975758102354679E-2</v>
      </c>
    </row>
    <row r="51" spans="1:7" x14ac:dyDescent="0.2">
      <c r="A51" s="8">
        <f t="shared" si="10"/>
        <v>45819</v>
      </c>
      <c r="B51" s="1" t="s">
        <v>49</v>
      </c>
      <c r="C51" s="4">
        <v>51645</v>
      </c>
      <c r="D51" s="5">
        <v>955.43250000000012</v>
      </c>
      <c r="E51" s="6">
        <v>0</v>
      </c>
      <c r="F51" s="6">
        <v>613</v>
      </c>
      <c r="G51" s="7">
        <v>0</v>
      </c>
    </row>
    <row r="52" spans="1:7" x14ac:dyDescent="0.2">
      <c r="A52" s="8">
        <v>45820</v>
      </c>
      <c r="B52" s="1" t="s">
        <v>50</v>
      </c>
      <c r="C52" s="4">
        <v>8142.1999999999989</v>
      </c>
      <c r="D52" s="5">
        <v>150.63070000000005</v>
      </c>
      <c r="E52" s="6">
        <v>95</v>
      </c>
      <c r="F52" s="6">
        <v>98</v>
      </c>
      <c r="G52" s="7">
        <v>2.5668738178870575E-2</v>
      </c>
    </row>
    <row r="53" spans="1:7" x14ac:dyDescent="0.2">
      <c r="A53" s="8">
        <f t="shared" ref="A53:A55" si="11">A52</f>
        <v>45820</v>
      </c>
      <c r="B53" s="1" t="s">
        <v>51</v>
      </c>
      <c r="C53" s="4">
        <v>8313.7999999999975</v>
      </c>
      <c r="D53" s="5">
        <v>153.80530000000005</v>
      </c>
      <c r="E53" s="6">
        <v>0</v>
      </c>
      <c r="F53" s="6">
        <v>103</v>
      </c>
      <c r="G53" s="7">
        <v>0</v>
      </c>
    </row>
    <row r="54" spans="1:7" x14ac:dyDescent="0.2">
      <c r="A54" s="8">
        <f t="shared" si="11"/>
        <v>45820</v>
      </c>
      <c r="B54" s="1" t="s">
        <v>52</v>
      </c>
      <c r="C54" s="4">
        <v>49438.400000000009</v>
      </c>
      <c r="D54" s="5">
        <v>914.61040000000003</v>
      </c>
      <c r="E54" s="6">
        <v>786</v>
      </c>
      <c r="F54" s="6">
        <v>694</v>
      </c>
      <c r="G54" s="7">
        <v>3.4976860092559632E-2</v>
      </c>
    </row>
    <row r="55" spans="1:7" x14ac:dyDescent="0.2">
      <c r="A55" s="8">
        <f t="shared" si="11"/>
        <v>45820</v>
      </c>
      <c r="B55" s="1" t="s">
        <v>53</v>
      </c>
      <c r="C55" s="4">
        <v>49134.80000000001</v>
      </c>
      <c r="D55" s="5">
        <v>908.99380000000019</v>
      </c>
      <c r="E55" s="6">
        <v>0</v>
      </c>
      <c r="F55" s="6">
        <v>635</v>
      </c>
      <c r="G55" s="7">
        <v>0</v>
      </c>
    </row>
    <row r="56" spans="1:7" x14ac:dyDescent="0.2">
      <c r="A56" s="8">
        <v>45821</v>
      </c>
      <c r="B56" s="1" t="s">
        <v>54</v>
      </c>
      <c r="C56" s="4">
        <v>8661.4</v>
      </c>
      <c r="D56" s="5">
        <v>160.2359000000001</v>
      </c>
      <c r="E56" s="6">
        <v>103</v>
      </c>
      <c r="F56" s="6">
        <v>137</v>
      </c>
      <c r="G56" s="7">
        <v>2.6162052324104648E-2</v>
      </c>
    </row>
    <row r="57" spans="1:7" x14ac:dyDescent="0.2">
      <c r="A57" s="8">
        <f t="shared" ref="A57:A59" si="12">A56</f>
        <v>45821</v>
      </c>
      <c r="B57" s="1" t="s">
        <v>55</v>
      </c>
      <c r="C57" s="4">
        <v>8500.7999999999993</v>
      </c>
      <c r="D57" s="5">
        <v>157.26480000000001</v>
      </c>
      <c r="E57" s="6">
        <v>0</v>
      </c>
      <c r="F57" s="6">
        <v>116</v>
      </c>
      <c r="G57" s="7">
        <v>0</v>
      </c>
    </row>
    <row r="58" spans="1:7" x14ac:dyDescent="0.2">
      <c r="A58" s="8">
        <f t="shared" si="12"/>
        <v>45821</v>
      </c>
      <c r="B58" s="1" t="s">
        <v>56</v>
      </c>
      <c r="C58" s="4">
        <v>51044.400000000009</v>
      </c>
      <c r="D58" s="5">
        <v>944.32140000000004</v>
      </c>
      <c r="E58" s="6">
        <v>937</v>
      </c>
      <c r="F58" s="6">
        <v>780</v>
      </c>
      <c r="G58" s="7">
        <v>4.0384449616412375E-2</v>
      </c>
    </row>
    <row r="59" spans="1:7" x14ac:dyDescent="0.2">
      <c r="A59" s="8">
        <f t="shared" si="12"/>
        <v>45821</v>
      </c>
      <c r="B59" s="1" t="s">
        <v>57</v>
      </c>
      <c r="C59" s="4">
        <v>49352.6</v>
      </c>
      <c r="D59" s="5">
        <v>913.02310000000023</v>
      </c>
      <c r="E59" s="6">
        <v>0</v>
      </c>
      <c r="F59" s="6">
        <v>758</v>
      </c>
      <c r="G59" s="7">
        <v>0</v>
      </c>
    </row>
    <row r="60" spans="1:7" x14ac:dyDescent="0.2">
      <c r="A60" s="8">
        <v>45822</v>
      </c>
      <c r="B60" s="1" t="s">
        <v>58</v>
      </c>
      <c r="C60" s="4">
        <v>8582.1999999999989</v>
      </c>
      <c r="D60" s="5">
        <v>158.77070000000001</v>
      </c>
      <c r="E60" s="6">
        <v>120</v>
      </c>
      <c r="F60" s="6">
        <v>152</v>
      </c>
      <c r="G60" s="7">
        <v>3.0761343245321711E-2</v>
      </c>
    </row>
    <row r="61" spans="1:7" x14ac:dyDescent="0.2">
      <c r="A61" s="8">
        <f t="shared" ref="A61:A63" si="13">A60</f>
        <v>45822</v>
      </c>
      <c r="B61" s="1" t="s">
        <v>59</v>
      </c>
      <c r="C61" s="4">
        <v>8487.5999999999985</v>
      </c>
      <c r="D61" s="5">
        <v>157.0206</v>
      </c>
      <c r="E61" s="6">
        <v>0</v>
      </c>
      <c r="F61" s="6">
        <v>136</v>
      </c>
      <c r="G61" s="7">
        <v>0</v>
      </c>
    </row>
    <row r="62" spans="1:7" x14ac:dyDescent="0.2">
      <c r="A62" s="8">
        <f t="shared" si="13"/>
        <v>45822</v>
      </c>
      <c r="B62" s="1" t="s">
        <v>60</v>
      </c>
      <c r="C62" s="4">
        <v>51132.400000000009</v>
      </c>
      <c r="D62" s="5">
        <v>945.94940000000031</v>
      </c>
      <c r="E62" s="6">
        <v>1012</v>
      </c>
      <c r="F62" s="6">
        <v>883</v>
      </c>
      <c r="G62" s="7">
        <v>4.3541863867137078E-2</v>
      </c>
    </row>
    <row r="63" spans="1:7" x14ac:dyDescent="0.2">
      <c r="A63" s="8">
        <f t="shared" si="13"/>
        <v>45822</v>
      </c>
      <c r="B63" s="1" t="s">
        <v>61</v>
      </c>
      <c r="C63" s="4">
        <v>50850.800000000017</v>
      </c>
      <c r="D63" s="5">
        <v>940.73980000000029</v>
      </c>
      <c r="E63" s="6">
        <v>0</v>
      </c>
      <c r="F63" s="6">
        <v>828</v>
      </c>
      <c r="G63" s="7">
        <v>0</v>
      </c>
    </row>
    <row r="64" spans="1:7" x14ac:dyDescent="0.2">
      <c r="A64" s="8">
        <v>45823</v>
      </c>
      <c r="B64" s="1" t="s">
        <v>62</v>
      </c>
      <c r="C64" s="4">
        <v>8157.5999999999995</v>
      </c>
      <c r="D64" s="5">
        <v>150.91560000000001</v>
      </c>
      <c r="E64" s="6">
        <v>130</v>
      </c>
      <c r="F64" s="6">
        <v>118</v>
      </c>
      <c r="G64" s="7">
        <v>3.5059331175836032E-2</v>
      </c>
    </row>
    <row r="65" spans="1:7" x14ac:dyDescent="0.2">
      <c r="A65" s="8">
        <f t="shared" ref="A65:A67" si="14">A64</f>
        <v>45823</v>
      </c>
      <c r="B65" s="1" t="s">
        <v>63</v>
      </c>
      <c r="C65" s="4">
        <v>8535.9999999999982</v>
      </c>
      <c r="D65" s="5">
        <v>157.91599999999997</v>
      </c>
      <c r="E65" s="6">
        <v>0</v>
      </c>
      <c r="F65" s="6">
        <v>121</v>
      </c>
      <c r="G65" s="7">
        <v>0</v>
      </c>
    </row>
    <row r="66" spans="1:7" x14ac:dyDescent="0.2">
      <c r="A66" s="8">
        <f t="shared" si="14"/>
        <v>45823</v>
      </c>
      <c r="B66" s="1" t="s">
        <v>64</v>
      </c>
      <c r="C66" s="4">
        <v>50613.200000000026</v>
      </c>
      <c r="D66" s="5">
        <v>936.34420000000011</v>
      </c>
      <c r="E66" s="6">
        <v>944</v>
      </c>
      <c r="F66" s="6">
        <v>850</v>
      </c>
      <c r="G66" s="7">
        <v>4.1032774058941145E-2</v>
      </c>
    </row>
    <row r="67" spans="1:7" x14ac:dyDescent="0.2">
      <c r="A67" s="8">
        <f t="shared" si="14"/>
        <v>45823</v>
      </c>
      <c r="B67" s="1" t="s">
        <v>65</v>
      </c>
      <c r="C67" s="4">
        <v>49532.999999999993</v>
      </c>
      <c r="D67" s="5">
        <v>916.3605</v>
      </c>
      <c r="E67" s="6">
        <v>0</v>
      </c>
      <c r="F67" s="6">
        <v>898</v>
      </c>
      <c r="G67" s="7">
        <v>0</v>
      </c>
    </row>
    <row r="68" spans="1:7" x14ac:dyDescent="0.2">
      <c r="A68" s="8">
        <v>45824</v>
      </c>
      <c r="B68" s="1" t="s">
        <v>66</v>
      </c>
      <c r="C68" s="4">
        <v>8602</v>
      </c>
      <c r="D68" s="5">
        <v>159.13700000000006</v>
      </c>
      <c r="E68" s="6">
        <v>101</v>
      </c>
      <c r="F68" s="6">
        <v>101</v>
      </c>
      <c r="G68" s="7">
        <v>2.5831202046035805E-2</v>
      </c>
    </row>
    <row r="69" spans="1:7" x14ac:dyDescent="0.2">
      <c r="A69" s="8">
        <f t="shared" ref="A69:A71" si="15">A68</f>
        <v>45824</v>
      </c>
      <c r="B69" s="1" t="s">
        <v>67</v>
      </c>
      <c r="C69" s="4">
        <v>8679</v>
      </c>
      <c r="D69" s="5">
        <v>160.56150000000002</v>
      </c>
      <c r="E69" s="6">
        <v>0</v>
      </c>
      <c r="F69" s="6">
        <v>109</v>
      </c>
      <c r="G69" s="7">
        <v>0</v>
      </c>
    </row>
    <row r="70" spans="1:7" x14ac:dyDescent="0.2">
      <c r="A70" s="8">
        <f t="shared" si="15"/>
        <v>45824</v>
      </c>
      <c r="B70" s="1" t="s">
        <v>68</v>
      </c>
      <c r="C70" s="4">
        <v>51418.400000000016</v>
      </c>
      <c r="D70" s="5">
        <v>951.24040000000014</v>
      </c>
      <c r="E70" s="6">
        <v>874</v>
      </c>
      <c r="F70" s="6">
        <v>704</v>
      </c>
      <c r="G70" s="7">
        <v>3.7395173712134175E-2</v>
      </c>
    </row>
    <row r="71" spans="1:7" x14ac:dyDescent="0.2">
      <c r="A71" s="8">
        <f t="shared" si="15"/>
        <v>45824</v>
      </c>
      <c r="B71" s="1" t="s">
        <v>69</v>
      </c>
      <c r="C71" s="4">
        <v>50300.800000000017</v>
      </c>
      <c r="D71" s="5">
        <v>930.56480000000022</v>
      </c>
      <c r="E71" s="6">
        <v>0</v>
      </c>
      <c r="F71" s="6">
        <v>723</v>
      </c>
      <c r="G71" s="7">
        <v>0</v>
      </c>
    </row>
    <row r="72" spans="1:7" x14ac:dyDescent="0.2">
      <c r="A72" s="8">
        <v>45825</v>
      </c>
      <c r="B72" s="1" t="s">
        <v>70</v>
      </c>
      <c r="C72" s="4">
        <v>8712.0000000000018</v>
      </c>
      <c r="D72" s="5">
        <v>161.172</v>
      </c>
      <c r="E72" s="6">
        <v>95</v>
      </c>
      <c r="F72" s="6">
        <v>111</v>
      </c>
      <c r="G72" s="7">
        <v>2.3989898989898988E-2</v>
      </c>
    </row>
    <row r="73" spans="1:7" x14ac:dyDescent="0.2">
      <c r="A73" s="8">
        <f t="shared" ref="A73:A75" si="16">A72</f>
        <v>45825</v>
      </c>
      <c r="B73" s="1" t="s">
        <v>71</v>
      </c>
      <c r="C73" s="4">
        <v>8340.2000000000025</v>
      </c>
      <c r="D73" s="5">
        <v>154.29370000000003</v>
      </c>
      <c r="E73" s="6">
        <v>0</v>
      </c>
      <c r="F73" s="6">
        <v>107</v>
      </c>
      <c r="G73" s="7">
        <v>0</v>
      </c>
    </row>
    <row r="74" spans="1:7" x14ac:dyDescent="0.2">
      <c r="A74" s="8">
        <f t="shared" si="16"/>
        <v>45825</v>
      </c>
      <c r="B74" s="1" t="s">
        <v>72</v>
      </c>
      <c r="C74" s="4">
        <v>50215.000000000007</v>
      </c>
      <c r="D74" s="5">
        <v>928.97750000000008</v>
      </c>
      <c r="E74" s="6">
        <v>809</v>
      </c>
      <c r="F74" s="6">
        <v>624</v>
      </c>
      <c r="G74" s="7">
        <v>3.5443592552026289E-2</v>
      </c>
    </row>
    <row r="75" spans="1:7" x14ac:dyDescent="0.2">
      <c r="A75" s="8">
        <f t="shared" si="16"/>
        <v>45825</v>
      </c>
      <c r="B75" s="1" t="s">
        <v>73</v>
      </c>
      <c r="C75" s="4">
        <v>50144.60000000002</v>
      </c>
      <c r="D75" s="5">
        <v>927.67510000000016</v>
      </c>
      <c r="E75" s="6">
        <v>0</v>
      </c>
      <c r="F75" s="6">
        <v>673</v>
      </c>
      <c r="G75" s="7">
        <v>0</v>
      </c>
    </row>
    <row r="76" spans="1:7" x14ac:dyDescent="0.2">
      <c r="A76" s="8">
        <v>45826</v>
      </c>
      <c r="B76" s="1" t="s">
        <v>74</v>
      </c>
      <c r="C76" s="4">
        <v>8646.0000000000018</v>
      </c>
      <c r="D76" s="5">
        <v>159.95100000000002</v>
      </c>
      <c r="E76" s="6">
        <v>85</v>
      </c>
      <c r="F76" s="6">
        <v>123</v>
      </c>
      <c r="G76" s="7">
        <v>2.1628498727735368E-2</v>
      </c>
    </row>
    <row r="77" spans="1:7" x14ac:dyDescent="0.2">
      <c r="A77" s="8">
        <f t="shared" ref="A77:A79" si="17">A76</f>
        <v>45826</v>
      </c>
      <c r="B77" s="1" t="s">
        <v>75</v>
      </c>
      <c r="C77" s="4">
        <v>8654.7999999999975</v>
      </c>
      <c r="D77" s="5">
        <v>160.11379999999997</v>
      </c>
      <c r="E77" s="6">
        <v>0</v>
      </c>
      <c r="F77" s="6">
        <v>130</v>
      </c>
      <c r="G77" s="7">
        <v>0</v>
      </c>
    </row>
    <row r="78" spans="1:7" x14ac:dyDescent="0.2">
      <c r="A78" s="8">
        <f t="shared" si="17"/>
        <v>45826</v>
      </c>
      <c r="B78" s="1" t="s">
        <v>76</v>
      </c>
      <c r="C78" s="4">
        <v>52047.60000000002</v>
      </c>
      <c r="D78" s="5">
        <v>962.88060000000019</v>
      </c>
      <c r="E78" s="6">
        <v>794</v>
      </c>
      <c r="F78" s="6">
        <v>615</v>
      </c>
      <c r="G78" s="7">
        <v>3.3561585932876829E-2</v>
      </c>
    </row>
    <row r="79" spans="1:7" x14ac:dyDescent="0.2">
      <c r="A79" s="8">
        <f t="shared" si="17"/>
        <v>45826</v>
      </c>
      <c r="B79" s="1" t="s">
        <v>77</v>
      </c>
      <c r="C79" s="4">
        <v>52322.599999999991</v>
      </c>
      <c r="D79" s="5">
        <v>967.96810000000028</v>
      </c>
      <c r="E79" s="6">
        <v>0</v>
      </c>
      <c r="F79" s="6">
        <v>711</v>
      </c>
      <c r="G79" s="7">
        <v>0</v>
      </c>
    </row>
    <row r="80" spans="1:7" x14ac:dyDescent="0.2">
      <c r="A80" s="8">
        <v>45827</v>
      </c>
      <c r="B80" s="1" t="s">
        <v>78</v>
      </c>
      <c r="C80" s="4">
        <v>8747.1999999999971</v>
      </c>
      <c r="D80" s="5">
        <v>161.82320000000004</v>
      </c>
      <c r="E80" s="6">
        <v>93</v>
      </c>
      <c r="F80" s="6">
        <v>125</v>
      </c>
      <c r="G80" s="7">
        <v>2.3390342052313884E-2</v>
      </c>
    </row>
    <row r="81" spans="1:7" x14ac:dyDescent="0.2">
      <c r="A81" s="8">
        <f t="shared" ref="A81:A83" si="18">A80</f>
        <v>45827</v>
      </c>
      <c r="B81" s="1" t="s">
        <v>79</v>
      </c>
      <c r="C81" s="4">
        <v>8333.6</v>
      </c>
      <c r="D81" s="5">
        <v>154.17160000000004</v>
      </c>
      <c r="E81" s="6">
        <v>0</v>
      </c>
      <c r="F81" s="6">
        <v>102</v>
      </c>
      <c r="G81" s="7">
        <v>0</v>
      </c>
    </row>
    <row r="82" spans="1:7" x14ac:dyDescent="0.2">
      <c r="A82" s="8">
        <f t="shared" si="18"/>
        <v>45827</v>
      </c>
      <c r="B82" s="1" t="s">
        <v>80</v>
      </c>
      <c r="C82" s="4">
        <v>50864.000000000015</v>
      </c>
      <c r="D82" s="5">
        <v>940.98400000000026</v>
      </c>
      <c r="E82" s="6">
        <v>769</v>
      </c>
      <c r="F82" s="6">
        <v>676</v>
      </c>
      <c r="G82" s="7">
        <v>3.3261245674740487E-2</v>
      </c>
    </row>
    <row r="83" spans="1:7" x14ac:dyDescent="0.2">
      <c r="A83" s="8">
        <f t="shared" si="18"/>
        <v>45827</v>
      </c>
      <c r="B83" s="1" t="s">
        <v>81</v>
      </c>
      <c r="C83" s="4">
        <v>51508.600000000013</v>
      </c>
      <c r="D83" s="5">
        <v>952.90910000000031</v>
      </c>
      <c r="E83" s="6">
        <v>0</v>
      </c>
      <c r="F83" s="6">
        <v>700</v>
      </c>
      <c r="G83" s="7">
        <v>0</v>
      </c>
    </row>
    <row r="84" spans="1:7" x14ac:dyDescent="0.2">
      <c r="A84" s="8">
        <v>45828</v>
      </c>
      <c r="B84" s="1" t="s">
        <v>82</v>
      </c>
      <c r="C84" s="4">
        <v>8729.6</v>
      </c>
      <c r="D84" s="5">
        <v>161.49759999999995</v>
      </c>
      <c r="E84" s="6">
        <v>93</v>
      </c>
      <c r="F84" s="6">
        <v>139</v>
      </c>
      <c r="G84" s="7">
        <v>2.34375E-2</v>
      </c>
    </row>
    <row r="85" spans="1:7" x14ac:dyDescent="0.2">
      <c r="A85" s="8">
        <f t="shared" ref="A85:A87" si="19">A84</f>
        <v>45828</v>
      </c>
      <c r="B85" s="1" t="s">
        <v>83</v>
      </c>
      <c r="C85" s="4">
        <v>8524.9999999999982</v>
      </c>
      <c r="D85" s="5">
        <v>157.71250000000001</v>
      </c>
      <c r="E85" s="6">
        <v>0</v>
      </c>
      <c r="F85" s="6">
        <v>116</v>
      </c>
      <c r="G85" s="7">
        <v>0</v>
      </c>
    </row>
    <row r="86" spans="1:7" x14ac:dyDescent="0.2">
      <c r="A86" s="8">
        <f t="shared" si="19"/>
        <v>45828</v>
      </c>
      <c r="B86" s="1" t="s">
        <v>84</v>
      </c>
      <c r="C86" s="4">
        <v>51251.200000000004</v>
      </c>
      <c r="D86" s="5">
        <v>948.14720000000011</v>
      </c>
      <c r="E86" s="6">
        <v>988</v>
      </c>
      <c r="F86" s="6">
        <v>738</v>
      </c>
      <c r="G86" s="7">
        <v>4.2410714285714288E-2</v>
      </c>
    </row>
    <row r="87" spans="1:7" x14ac:dyDescent="0.2">
      <c r="A87" s="8">
        <f t="shared" si="19"/>
        <v>45828</v>
      </c>
      <c r="B87" s="1" t="s">
        <v>85</v>
      </c>
      <c r="C87" s="4">
        <v>51532.80000000001</v>
      </c>
      <c r="D87" s="5">
        <v>953.35679999999991</v>
      </c>
      <c r="E87" s="6">
        <v>0</v>
      </c>
      <c r="F87" s="6">
        <v>715</v>
      </c>
      <c r="G87" s="7">
        <v>0</v>
      </c>
    </row>
    <row r="88" spans="1:7" x14ac:dyDescent="0.2">
      <c r="A88" s="8">
        <v>45829</v>
      </c>
      <c r="B88" s="1" t="s">
        <v>86</v>
      </c>
      <c r="C88" s="4">
        <v>8458.9999999999982</v>
      </c>
      <c r="D88" s="5">
        <v>156.49150000000006</v>
      </c>
      <c r="E88" s="6">
        <v>132</v>
      </c>
      <c r="F88" s="6">
        <v>138</v>
      </c>
      <c r="G88" s="7">
        <v>3.4330299089726915E-2</v>
      </c>
    </row>
    <row r="89" spans="1:7" x14ac:dyDescent="0.2">
      <c r="A89" s="8">
        <f t="shared" ref="A89:A91" si="20">A88</f>
        <v>45829</v>
      </c>
      <c r="B89" s="1" t="s">
        <v>87</v>
      </c>
      <c r="C89" s="4">
        <v>8569.0000000000018</v>
      </c>
      <c r="D89" s="5">
        <v>158.52650000000003</v>
      </c>
      <c r="E89" s="6">
        <v>0</v>
      </c>
      <c r="F89" s="6">
        <v>160</v>
      </c>
      <c r="G89" s="7">
        <v>0</v>
      </c>
    </row>
    <row r="90" spans="1:7" x14ac:dyDescent="0.2">
      <c r="A90" s="8">
        <f t="shared" si="20"/>
        <v>45829</v>
      </c>
      <c r="B90" s="1" t="s">
        <v>88</v>
      </c>
      <c r="C90" s="4">
        <v>50828.799999999996</v>
      </c>
      <c r="D90" s="5">
        <v>940.33280000000013</v>
      </c>
      <c r="E90" s="6">
        <v>1031</v>
      </c>
      <c r="F90" s="6">
        <v>769</v>
      </c>
      <c r="G90" s="7">
        <v>4.4624307479224377E-2</v>
      </c>
    </row>
    <row r="91" spans="1:7" x14ac:dyDescent="0.2">
      <c r="A91" s="8">
        <f t="shared" si="20"/>
        <v>45829</v>
      </c>
      <c r="B91" s="1" t="s">
        <v>89</v>
      </c>
      <c r="C91" s="4">
        <v>49988.400000000009</v>
      </c>
      <c r="D91" s="5">
        <v>924.78540000000021</v>
      </c>
      <c r="E91" s="6">
        <v>0</v>
      </c>
      <c r="F91" s="6">
        <v>841</v>
      </c>
      <c r="G91" s="7">
        <v>0</v>
      </c>
    </row>
    <row r="92" spans="1:7" x14ac:dyDescent="0.2">
      <c r="A92" s="8">
        <v>45830</v>
      </c>
      <c r="B92" s="1" t="s">
        <v>90</v>
      </c>
      <c r="C92" s="4">
        <v>8331.3999999999978</v>
      </c>
      <c r="D92" s="5">
        <v>154.13090000000005</v>
      </c>
      <c r="E92" s="6">
        <v>130</v>
      </c>
      <c r="F92" s="6">
        <v>125</v>
      </c>
      <c r="G92" s="7">
        <v>3.432796408766834E-2</v>
      </c>
    </row>
    <row r="93" spans="1:7" x14ac:dyDescent="0.2">
      <c r="A93" s="8">
        <f t="shared" ref="A93:A95" si="21">A92</f>
        <v>45830</v>
      </c>
      <c r="B93" s="1" t="s">
        <v>91</v>
      </c>
      <c r="C93" s="4">
        <v>8610.7999999999993</v>
      </c>
      <c r="D93" s="5">
        <v>159.2998</v>
      </c>
      <c r="E93" s="6">
        <v>0</v>
      </c>
      <c r="F93" s="6">
        <v>178</v>
      </c>
      <c r="G93" s="7">
        <v>0</v>
      </c>
    </row>
    <row r="94" spans="1:7" x14ac:dyDescent="0.2">
      <c r="A94" s="8">
        <f t="shared" si="21"/>
        <v>45830</v>
      </c>
      <c r="B94" s="1" t="s">
        <v>92</v>
      </c>
      <c r="C94" s="4">
        <v>51361.200000000019</v>
      </c>
      <c r="D94" s="5">
        <v>950.18220000000042</v>
      </c>
      <c r="E94" s="6">
        <v>1113</v>
      </c>
      <c r="F94" s="6">
        <v>912</v>
      </c>
      <c r="G94" s="7">
        <v>4.7674119763556927E-2</v>
      </c>
    </row>
    <row r="95" spans="1:7" x14ac:dyDescent="0.2">
      <c r="A95" s="8">
        <f t="shared" si="21"/>
        <v>45830</v>
      </c>
      <c r="B95" s="1" t="s">
        <v>93</v>
      </c>
      <c r="C95" s="4">
        <v>51493.200000000004</v>
      </c>
      <c r="D95" s="5">
        <v>952.62420000000009</v>
      </c>
      <c r="E95" s="6">
        <v>0</v>
      </c>
      <c r="F95" s="6">
        <v>867</v>
      </c>
      <c r="G95" s="7">
        <v>0</v>
      </c>
    </row>
    <row r="96" spans="1:7" x14ac:dyDescent="0.2">
      <c r="A96" s="8">
        <v>45831</v>
      </c>
      <c r="B96" s="1" t="s">
        <v>94</v>
      </c>
      <c r="C96" s="4">
        <v>30582.200000000008</v>
      </c>
      <c r="D96" s="5">
        <v>565.77070000000015</v>
      </c>
      <c r="E96" s="6">
        <v>350</v>
      </c>
      <c r="F96" s="6">
        <v>380</v>
      </c>
      <c r="G96" s="7">
        <v>2.5178044744982375E-2</v>
      </c>
    </row>
    <row r="97" spans="1:7" x14ac:dyDescent="0.2">
      <c r="A97" s="8">
        <f t="shared" ref="A97:A99" si="22">A96</f>
        <v>45831</v>
      </c>
      <c r="B97" s="1" t="s">
        <v>95</v>
      </c>
      <c r="C97" s="4">
        <v>30604.200000000004</v>
      </c>
      <c r="D97" s="5">
        <v>566.17770000000007</v>
      </c>
      <c r="E97" s="6">
        <v>0</v>
      </c>
      <c r="F97" s="6">
        <v>379</v>
      </c>
      <c r="G97" s="7">
        <v>0</v>
      </c>
    </row>
    <row r="98" spans="1:7" x14ac:dyDescent="0.2">
      <c r="A98" s="8">
        <f t="shared" si="22"/>
        <v>45831</v>
      </c>
      <c r="B98" s="1" t="s">
        <v>96</v>
      </c>
      <c r="C98" s="4">
        <v>28811.200000000012</v>
      </c>
      <c r="D98" s="5">
        <v>533.00720000000001</v>
      </c>
      <c r="E98" s="6">
        <v>343</v>
      </c>
      <c r="F98" s="6">
        <v>324</v>
      </c>
      <c r="G98" s="7">
        <v>2.6191203420891877E-2</v>
      </c>
    </row>
    <row r="99" spans="1:7" x14ac:dyDescent="0.2">
      <c r="A99" s="8">
        <f t="shared" si="22"/>
        <v>45831</v>
      </c>
      <c r="B99" s="1" t="s">
        <v>97</v>
      </c>
      <c r="C99" s="4">
        <v>28969.600000000002</v>
      </c>
      <c r="D99" s="5">
        <v>535.93759999999986</v>
      </c>
      <c r="E99" s="6">
        <v>0</v>
      </c>
      <c r="F99" s="6">
        <v>253</v>
      </c>
      <c r="G99" s="7">
        <v>0</v>
      </c>
    </row>
    <row r="100" spans="1:7" x14ac:dyDescent="0.2">
      <c r="A100" s="8">
        <v>45832</v>
      </c>
      <c r="B100" s="1" t="s">
        <v>98</v>
      </c>
      <c r="C100" s="4">
        <v>61008.2</v>
      </c>
      <c r="D100" s="5">
        <v>1128.6517000000003</v>
      </c>
      <c r="E100" s="6">
        <v>585</v>
      </c>
      <c r="F100" s="6">
        <v>781</v>
      </c>
      <c r="G100" s="7">
        <v>2.1095524863870757E-2</v>
      </c>
    </row>
    <row r="101" spans="1:7" x14ac:dyDescent="0.2">
      <c r="A101" s="8">
        <f>A100</f>
        <v>45832</v>
      </c>
      <c r="B101" s="1" t="s">
        <v>99</v>
      </c>
      <c r="C101" s="4">
        <v>61522.999999999985</v>
      </c>
      <c r="D101" s="5">
        <v>1138.1755000000001</v>
      </c>
      <c r="E101" s="6">
        <v>0</v>
      </c>
      <c r="F101" s="6">
        <v>728</v>
      </c>
      <c r="G101" s="7">
        <v>0</v>
      </c>
    </row>
    <row r="102" spans="1:7" x14ac:dyDescent="0.2">
      <c r="A102" s="8">
        <v>45833</v>
      </c>
      <c r="B102" s="1" t="s">
        <v>100</v>
      </c>
      <c r="C102" s="4">
        <v>61747.400000000009</v>
      </c>
      <c r="D102" s="5">
        <v>1142.3269000000003</v>
      </c>
      <c r="E102" s="6">
        <v>621</v>
      </c>
      <c r="F102" s="6">
        <v>801</v>
      </c>
      <c r="G102" s="7">
        <v>2.2125627961663164E-2</v>
      </c>
    </row>
    <row r="103" spans="1:7" x14ac:dyDescent="0.2">
      <c r="A103" s="8">
        <f>A102</f>
        <v>45833</v>
      </c>
      <c r="B103" s="1" t="s">
        <v>101</v>
      </c>
      <c r="C103" s="4">
        <v>62011.400000000016</v>
      </c>
      <c r="D103" s="5">
        <v>1147.2109000000003</v>
      </c>
      <c r="E103" s="6">
        <v>0</v>
      </c>
      <c r="F103" s="6">
        <v>784</v>
      </c>
      <c r="G103" s="7">
        <v>0</v>
      </c>
    </row>
    <row r="104" spans="1:7" x14ac:dyDescent="0.2">
      <c r="A104" s="8">
        <v>45834</v>
      </c>
      <c r="B104" s="1" t="s">
        <v>102</v>
      </c>
      <c r="C104" s="4">
        <v>19969.400000000005</v>
      </c>
      <c r="D104" s="5">
        <v>369.43389999999994</v>
      </c>
      <c r="E104" s="6">
        <v>293</v>
      </c>
      <c r="F104" s="6">
        <v>311</v>
      </c>
      <c r="G104" s="7">
        <v>3.227938746281811E-2</v>
      </c>
    </row>
    <row r="105" spans="1:7" x14ac:dyDescent="0.2">
      <c r="A105" s="8">
        <f t="shared" ref="A105:A107" si="23">A104</f>
        <v>45834</v>
      </c>
      <c r="B105" s="1" t="s">
        <v>103</v>
      </c>
      <c r="C105" s="4">
        <v>43234.399999999994</v>
      </c>
      <c r="D105" s="5">
        <v>799.83640000000003</v>
      </c>
      <c r="E105" s="6">
        <v>436</v>
      </c>
      <c r="F105" s="6">
        <v>544</v>
      </c>
      <c r="G105" s="7">
        <v>2.2186037044575616E-2</v>
      </c>
    </row>
    <row r="106" spans="1:7" x14ac:dyDescent="0.2">
      <c r="A106" s="8">
        <f t="shared" si="23"/>
        <v>45834</v>
      </c>
      <c r="B106" s="1" t="s">
        <v>104</v>
      </c>
      <c r="C106" s="4">
        <v>42745.999999999993</v>
      </c>
      <c r="D106" s="5">
        <v>790.80100000000016</v>
      </c>
      <c r="E106" s="6">
        <v>0</v>
      </c>
      <c r="F106" s="6">
        <v>494</v>
      </c>
      <c r="G106" s="7">
        <v>0</v>
      </c>
    </row>
    <row r="107" spans="1:7" x14ac:dyDescent="0.2">
      <c r="A107" s="8">
        <f t="shared" si="23"/>
        <v>45834</v>
      </c>
      <c r="B107" s="1" t="s">
        <v>105</v>
      </c>
      <c r="C107" s="4">
        <v>20594.199999999997</v>
      </c>
      <c r="D107" s="5">
        <v>380.99270000000013</v>
      </c>
      <c r="E107" s="6">
        <v>0</v>
      </c>
      <c r="F107" s="6">
        <v>324</v>
      </c>
      <c r="G107" s="7">
        <v>0</v>
      </c>
    </row>
    <row r="108" spans="1:7" x14ac:dyDescent="0.2">
      <c r="A108" s="8">
        <v>45835</v>
      </c>
      <c r="B108" s="1" t="s">
        <v>106</v>
      </c>
      <c r="C108" s="4">
        <v>61382.200000000004</v>
      </c>
      <c r="D108" s="5">
        <v>1135.5707000000002</v>
      </c>
      <c r="E108" s="6">
        <v>798</v>
      </c>
      <c r="F108" s="6">
        <v>906</v>
      </c>
      <c r="G108" s="7">
        <v>2.8601125407691479E-2</v>
      </c>
    </row>
    <row r="109" spans="1:7" x14ac:dyDescent="0.2">
      <c r="A109" s="8">
        <f>A108</f>
        <v>45835</v>
      </c>
      <c r="B109" s="1" t="s">
        <v>107</v>
      </c>
      <c r="C109" s="4">
        <v>61910.200000000012</v>
      </c>
      <c r="D109" s="5">
        <v>1145.3386999999998</v>
      </c>
      <c r="E109" s="6">
        <v>0</v>
      </c>
      <c r="F109" s="6">
        <v>932</v>
      </c>
      <c r="G109" s="7">
        <v>0</v>
      </c>
    </row>
    <row r="110" spans="1:7" x14ac:dyDescent="0.2">
      <c r="A110" s="8">
        <v>45836</v>
      </c>
      <c r="B110" s="1" t="s">
        <v>108</v>
      </c>
      <c r="C110" s="4">
        <v>60477.999999999978</v>
      </c>
      <c r="D110" s="5">
        <v>1118.8430000000001</v>
      </c>
      <c r="E110" s="6">
        <v>921</v>
      </c>
      <c r="F110" s="6">
        <v>1025</v>
      </c>
      <c r="G110" s="7">
        <v>3.3503092033466714E-2</v>
      </c>
    </row>
    <row r="111" spans="1:7" x14ac:dyDescent="0.2">
      <c r="A111" s="8">
        <f>A110</f>
        <v>45836</v>
      </c>
      <c r="B111" s="1" t="s">
        <v>109</v>
      </c>
      <c r="C111" s="4">
        <v>60561.60000000002</v>
      </c>
      <c r="D111" s="5">
        <v>1120.3896000000002</v>
      </c>
      <c r="E111" s="6">
        <v>0</v>
      </c>
      <c r="F111" s="6">
        <v>1051</v>
      </c>
      <c r="G111" s="7">
        <v>0</v>
      </c>
    </row>
    <row r="112" spans="1:7" x14ac:dyDescent="0.2">
      <c r="A112" s="8">
        <v>45837</v>
      </c>
      <c r="B112" s="1" t="s">
        <v>110</v>
      </c>
      <c r="C112" s="4">
        <v>60493.4</v>
      </c>
      <c r="D112" s="5">
        <v>1119.1279000000004</v>
      </c>
      <c r="E112" s="6">
        <v>913</v>
      </c>
      <c r="F112" s="6">
        <v>1036</v>
      </c>
      <c r="G112" s="7">
        <v>3.3203622213332361E-2</v>
      </c>
    </row>
    <row r="113" spans="1:7" x14ac:dyDescent="0.2">
      <c r="A113" s="8">
        <f>A112</f>
        <v>45837</v>
      </c>
      <c r="B113" s="1" t="s">
        <v>111</v>
      </c>
      <c r="C113" s="4">
        <v>60819</v>
      </c>
      <c r="D113" s="5">
        <v>1125.1515000000006</v>
      </c>
      <c r="E113" s="6">
        <v>0</v>
      </c>
      <c r="F113" s="6">
        <v>1081</v>
      </c>
      <c r="G113" s="7">
        <v>0</v>
      </c>
    </row>
    <row r="114" spans="1:7" x14ac:dyDescent="0.2">
      <c r="A114" s="8">
        <v>45838</v>
      </c>
      <c r="B114" s="1" t="s">
        <v>112</v>
      </c>
      <c r="C114" s="4">
        <v>59232.80000000001</v>
      </c>
      <c r="D114" s="5">
        <v>1095.8067999999998</v>
      </c>
      <c r="E114" s="6">
        <v>739</v>
      </c>
      <c r="F114" s="6">
        <v>943</v>
      </c>
      <c r="G114" s="7">
        <v>2.7447630366958846E-2</v>
      </c>
    </row>
    <row r="115" spans="1:7" x14ac:dyDescent="0.2">
      <c r="A115" s="8">
        <f>A114</f>
        <v>45838</v>
      </c>
      <c r="B115" s="1" t="s">
        <v>113</v>
      </c>
      <c r="C115" s="4">
        <v>58781.799999999996</v>
      </c>
      <c r="D115" s="5">
        <v>1087.4633000000003</v>
      </c>
      <c r="E115" s="6">
        <v>0</v>
      </c>
      <c r="F115" s="6">
        <v>880</v>
      </c>
      <c r="G115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AB5F-388C-A340-86E0-C731AF321A02}">
  <dimension ref="A1:E129"/>
  <sheetViews>
    <sheetView tabSelected="1" workbookViewId="0">
      <selection sqref="A1:E129"/>
    </sheetView>
  </sheetViews>
  <sheetFormatPr baseColWidth="10" defaultRowHeight="15" x14ac:dyDescent="0.2"/>
  <sheetData>
    <row r="1" spans="1:5" x14ac:dyDescent="0.2">
      <c r="A1" s="13" t="s">
        <v>123</v>
      </c>
      <c r="B1" s="14" t="s">
        <v>114</v>
      </c>
      <c r="C1" s="14" t="s">
        <v>115</v>
      </c>
      <c r="D1" s="14" t="s">
        <v>117</v>
      </c>
      <c r="E1" s="14" t="s">
        <v>118</v>
      </c>
    </row>
    <row r="2" spans="1:5" x14ac:dyDescent="0.2">
      <c r="A2" s="15" t="s">
        <v>124</v>
      </c>
      <c r="B2" s="16">
        <v>349943</v>
      </c>
      <c r="C2" s="17">
        <v>6474</v>
      </c>
      <c r="D2" s="18">
        <v>4092</v>
      </c>
      <c r="E2" s="7">
        <v>1.2699999999999999E-2</v>
      </c>
    </row>
    <row r="3" spans="1:5" x14ac:dyDescent="0.2">
      <c r="A3" s="15" t="s">
        <v>125</v>
      </c>
      <c r="B3" s="16">
        <v>266180</v>
      </c>
      <c r="C3" s="17">
        <v>4924</v>
      </c>
      <c r="D3" s="18">
        <v>3440</v>
      </c>
      <c r="E3" s="7">
        <v>1.41E-2</v>
      </c>
    </row>
    <row r="4" spans="1:5" x14ac:dyDescent="0.2">
      <c r="A4" s="15" t="s">
        <v>126</v>
      </c>
      <c r="B4" s="16">
        <v>222341</v>
      </c>
      <c r="C4" s="17">
        <v>4113</v>
      </c>
      <c r="D4" s="18">
        <v>2698</v>
      </c>
      <c r="E4" s="7">
        <v>1.29E-2</v>
      </c>
    </row>
    <row r="5" spans="1:5" x14ac:dyDescent="0.2">
      <c r="A5" s="15" t="s">
        <v>127</v>
      </c>
      <c r="B5" s="16">
        <v>211735</v>
      </c>
      <c r="C5" s="17">
        <v>3917</v>
      </c>
      <c r="D5" s="18">
        <v>4035</v>
      </c>
      <c r="E5" s="7">
        <v>2.1600000000000001E-2</v>
      </c>
    </row>
    <row r="6" spans="1:5" x14ac:dyDescent="0.2">
      <c r="A6" s="15" t="s">
        <v>128</v>
      </c>
      <c r="B6" s="16">
        <v>195474</v>
      </c>
      <c r="C6" s="17">
        <v>3616</v>
      </c>
      <c r="D6" s="18">
        <v>2457</v>
      </c>
      <c r="E6" s="7">
        <v>1.34E-2</v>
      </c>
    </row>
    <row r="7" spans="1:5" x14ac:dyDescent="0.2">
      <c r="A7" s="15" t="s">
        <v>129</v>
      </c>
      <c r="B7" s="16">
        <v>177718</v>
      </c>
      <c r="C7" s="17">
        <v>3288</v>
      </c>
      <c r="D7" s="18">
        <v>2152</v>
      </c>
      <c r="E7" s="7">
        <v>1.26E-2</v>
      </c>
    </row>
    <row r="8" spans="1:5" x14ac:dyDescent="0.2">
      <c r="A8" s="15" t="s">
        <v>130</v>
      </c>
      <c r="B8" s="16">
        <v>177621</v>
      </c>
      <c r="C8" s="17">
        <v>3286</v>
      </c>
      <c r="D8" s="18">
        <v>2312</v>
      </c>
      <c r="E8" s="7">
        <v>1.38E-2</v>
      </c>
    </row>
    <row r="9" spans="1:5" x14ac:dyDescent="0.2">
      <c r="A9" s="15" t="s">
        <v>131</v>
      </c>
      <c r="B9" s="16">
        <v>159953</v>
      </c>
      <c r="C9" s="17">
        <v>2959</v>
      </c>
      <c r="D9" s="18">
        <v>1964</v>
      </c>
      <c r="E9" s="7">
        <v>1.2500000000000001E-2</v>
      </c>
    </row>
    <row r="10" spans="1:5" x14ac:dyDescent="0.2">
      <c r="A10" s="15" t="s">
        <v>132</v>
      </c>
      <c r="B10" s="16">
        <v>144313</v>
      </c>
      <c r="C10" s="17">
        <v>2670</v>
      </c>
      <c r="D10" s="18">
        <v>2066</v>
      </c>
      <c r="E10" s="7">
        <v>1.8200000000000001E-2</v>
      </c>
    </row>
    <row r="11" spans="1:5" x14ac:dyDescent="0.2">
      <c r="A11" s="15" t="s">
        <v>133</v>
      </c>
      <c r="B11" s="16">
        <v>125437</v>
      </c>
      <c r="C11" s="17">
        <v>2321</v>
      </c>
      <c r="D11" s="18">
        <v>1690</v>
      </c>
      <c r="E11" s="7">
        <v>1.4E-2</v>
      </c>
    </row>
    <row r="12" spans="1:5" x14ac:dyDescent="0.2">
      <c r="A12" s="15" t="s">
        <v>134</v>
      </c>
      <c r="B12" s="16">
        <v>114523</v>
      </c>
      <c r="C12" s="17">
        <v>2119</v>
      </c>
      <c r="D12" s="18">
        <v>1486</v>
      </c>
      <c r="E12" s="7">
        <v>1.3599999999999999E-2</v>
      </c>
    </row>
    <row r="13" spans="1:5" x14ac:dyDescent="0.2">
      <c r="A13" s="15" t="s">
        <v>135</v>
      </c>
      <c r="B13" s="16">
        <v>110348</v>
      </c>
      <c r="C13" s="17">
        <v>2041</v>
      </c>
      <c r="D13" s="18">
        <v>2044</v>
      </c>
      <c r="E13" s="7">
        <v>1.8499999999999999E-2</v>
      </c>
    </row>
    <row r="14" spans="1:5" x14ac:dyDescent="0.2">
      <c r="A14" s="15" t="s">
        <v>136</v>
      </c>
      <c r="B14" s="16">
        <v>82108</v>
      </c>
      <c r="C14" s="17">
        <v>1519</v>
      </c>
      <c r="D14" s="18">
        <v>1179</v>
      </c>
      <c r="E14" s="7">
        <v>1.52E-2</v>
      </c>
    </row>
    <row r="15" spans="1:5" x14ac:dyDescent="0.2">
      <c r="A15" s="15" t="s">
        <v>137</v>
      </c>
      <c r="B15" s="16">
        <v>81070</v>
      </c>
      <c r="C15" s="17">
        <v>1500</v>
      </c>
      <c r="D15" s="18">
        <v>1114</v>
      </c>
      <c r="E15" s="7">
        <v>1.3599999999999999E-2</v>
      </c>
    </row>
    <row r="16" spans="1:5" x14ac:dyDescent="0.2">
      <c r="A16" s="15" t="s">
        <v>138</v>
      </c>
      <c r="B16" s="16">
        <v>72646</v>
      </c>
      <c r="C16" s="17">
        <v>1344</v>
      </c>
      <c r="D16" s="18">
        <v>1243</v>
      </c>
      <c r="E16" s="7">
        <v>1.7999999999999999E-2</v>
      </c>
    </row>
    <row r="17" spans="1:5" x14ac:dyDescent="0.2">
      <c r="A17" s="15" t="s">
        <v>139</v>
      </c>
      <c r="B17" s="16">
        <v>67692</v>
      </c>
      <c r="C17" s="17">
        <v>1252</v>
      </c>
      <c r="D17" s="18">
        <v>1271</v>
      </c>
      <c r="E17" s="7">
        <v>2.0899999999999998E-2</v>
      </c>
    </row>
    <row r="18" spans="1:5" x14ac:dyDescent="0.2">
      <c r="A18" s="15" t="s">
        <v>140</v>
      </c>
      <c r="B18" s="16">
        <v>61945</v>
      </c>
      <c r="C18" s="17">
        <v>1146</v>
      </c>
      <c r="D18" s="18">
        <v>1011</v>
      </c>
      <c r="E18" s="7">
        <v>1.8100000000000002E-2</v>
      </c>
    </row>
    <row r="19" spans="1:5" x14ac:dyDescent="0.2">
      <c r="A19" s="15" t="s">
        <v>141</v>
      </c>
      <c r="B19" s="16">
        <v>57105</v>
      </c>
      <c r="C19" s="17">
        <v>1056</v>
      </c>
      <c r="D19" s="18">
        <v>816</v>
      </c>
      <c r="E19" s="7">
        <v>1.49E-2</v>
      </c>
    </row>
    <row r="20" spans="1:5" x14ac:dyDescent="0.2">
      <c r="A20" s="15" t="s">
        <v>142</v>
      </c>
      <c r="B20" s="16">
        <v>56855</v>
      </c>
      <c r="C20" s="17">
        <v>1052</v>
      </c>
      <c r="D20" s="18">
        <v>883</v>
      </c>
      <c r="E20" s="7">
        <v>1.52E-2</v>
      </c>
    </row>
    <row r="21" spans="1:5" x14ac:dyDescent="0.2">
      <c r="A21" s="15" t="s">
        <v>143</v>
      </c>
      <c r="B21" s="16">
        <v>45577</v>
      </c>
      <c r="C21" s="17">
        <v>843</v>
      </c>
      <c r="D21" s="18">
        <v>833</v>
      </c>
      <c r="E21" s="7">
        <v>1.83E-2</v>
      </c>
    </row>
    <row r="22" spans="1:5" x14ac:dyDescent="0.2">
      <c r="A22" s="15" t="s">
        <v>144</v>
      </c>
      <c r="B22" s="16">
        <v>42566</v>
      </c>
      <c r="C22" s="17">
        <v>787</v>
      </c>
      <c r="D22" s="18">
        <v>535</v>
      </c>
      <c r="E22" s="7">
        <v>1.24E-2</v>
      </c>
    </row>
    <row r="23" spans="1:5" x14ac:dyDescent="0.2">
      <c r="A23" s="15" t="s">
        <v>145</v>
      </c>
      <c r="B23" s="16">
        <v>37070</v>
      </c>
      <c r="C23" s="17">
        <v>686</v>
      </c>
      <c r="D23" s="18">
        <v>489</v>
      </c>
      <c r="E23" s="7">
        <v>1.41E-2</v>
      </c>
    </row>
    <row r="24" spans="1:5" x14ac:dyDescent="0.2">
      <c r="A24" s="15" t="s">
        <v>146</v>
      </c>
      <c r="B24" s="16">
        <v>31229</v>
      </c>
      <c r="C24" s="17">
        <v>578</v>
      </c>
      <c r="D24" s="18">
        <v>397</v>
      </c>
      <c r="E24" s="7">
        <v>1.34E-2</v>
      </c>
    </row>
    <row r="25" spans="1:5" x14ac:dyDescent="0.2">
      <c r="A25" s="15" t="s">
        <v>147</v>
      </c>
      <c r="B25" s="16">
        <v>31022</v>
      </c>
      <c r="C25" s="17">
        <v>574</v>
      </c>
      <c r="D25" s="18">
        <v>448</v>
      </c>
      <c r="E25" s="7">
        <v>1.5100000000000001E-2</v>
      </c>
    </row>
    <row r="26" spans="1:5" x14ac:dyDescent="0.2">
      <c r="A26" s="15" t="s">
        <v>148</v>
      </c>
      <c r="B26" s="16">
        <v>30186</v>
      </c>
      <c r="C26" s="17">
        <v>558</v>
      </c>
      <c r="D26" s="18">
        <v>614</v>
      </c>
      <c r="E26" s="7">
        <v>1.9400000000000001E-2</v>
      </c>
    </row>
    <row r="27" spans="1:5" x14ac:dyDescent="0.2">
      <c r="A27" s="15" t="s">
        <v>149</v>
      </c>
      <c r="B27" s="16">
        <v>30100</v>
      </c>
      <c r="C27" s="17">
        <v>557</v>
      </c>
      <c r="D27" s="18">
        <v>440</v>
      </c>
      <c r="E27" s="7">
        <v>1.38E-2</v>
      </c>
    </row>
    <row r="28" spans="1:5" x14ac:dyDescent="0.2">
      <c r="A28" s="15" t="s">
        <v>150</v>
      </c>
      <c r="B28" s="16">
        <v>29722</v>
      </c>
      <c r="C28" s="17">
        <v>550</v>
      </c>
      <c r="D28" s="18">
        <v>651</v>
      </c>
      <c r="E28" s="7">
        <v>2.1999999999999999E-2</v>
      </c>
    </row>
    <row r="29" spans="1:5" x14ac:dyDescent="0.2">
      <c r="A29" s="15" t="s">
        <v>151</v>
      </c>
      <c r="B29" s="16">
        <v>29267</v>
      </c>
      <c r="C29" s="17">
        <v>541</v>
      </c>
      <c r="D29" s="18">
        <v>418</v>
      </c>
      <c r="E29" s="7">
        <v>1.55E-2</v>
      </c>
    </row>
    <row r="30" spans="1:5" x14ac:dyDescent="0.2">
      <c r="A30" s="15" t="s">
        <v>152</v>
      </c>
      <c r="B30" s="16">
        <v>26389</v>
      </c>
      <c r="C30" s="17">
        <v>488</v>
      </c>
      <c r="D30" s="18">
        <v>547</v>
      </c>
      <c r="E30" s="7">
        <v>2.2100000000000002E-2</v>
      </c>
    </row>
    <row r="31" spans="1:5" x14ac:dyDescent="0.2">
      <c r="A31" s="15" t="s">
        <v>153</v>
      </c>
      <c r="B31" s="16">
        <v>25755</v>
      </c>
      <c r="C31" s="17">
        <v>476</v>
      </c>
      <c r="D31" s="18">
        <v>375</v>
      </c>
      <c r="E31" s="7">
        <v>1.54E-2</v>
      </c>
    </row>
    <row r="32" spans="1:5" x14ac:dyDescent="0.2">
      <c r="A32" s="15" t="s">
        <v>154</v>
      </c>
      <c r="B32" s="16">
        <v>24336</v>
      </c>
      <c r="C32" s="17">
        <v>450</v>
      </c>
      <c r="D32" s="18">
        <v>374</v>
      </c>
      <c r="E32" s="7">
        <v>1.52E-2</v>
      </c>
    </row>
    <row r="33" spans="1:5" x14ac:dyDescent="0.2">
      <c r="A33" s="15" t="s">
        <v>155</v>
      </c>
      <c r="B33" s="16">
        <v>22821</v>
      </c>
      <c r="C33" s="17">
        <v>422</v>
      </c>
      <c r="D33" s="18">
        <v>325</v>
      </c>
      <c r="E33" s="7">
        <v>1.6400000000000001E-2</v>
      </c>
    </row>
    <row r="34" spans="1:5" x14ac:dyDescent="0.2">
      <c r="A34" s="15" t="s">
        <v>156</v>
      </c>
      <c r="B34" s="16">
        <v>22119</v>
      </c>
      <c r="C34" s="17">
        <v>409</v>
      </c>
      <c r="D34" s="18">
        <v>333</v>
      </c>
      <c r="E34" s="7">
        <v>1.4800000000000001E-2</v>
      </c>
    </row>
    <row r="35" spans="1:5" x14ac:dyDescent="0.2">
      <c r="A35" s="15" t="s">
        <v>157</v>
      </c>
      <c r="B35" s="16">
        <v>20968</v>
      </c>
      <c r="C35" s="17">
        <v>388</v>
      </c>
      <c r="D35" s="18">
        <v>358</v>
      </c>
      <c r="E35" s="7">
        <v>1.9199999999999998E-2</v>
      </c>
    </row>
    <row r="36" spans="1:5" x14ac:dyDescent="0.2">
      <c r="A36" s="15" t="s">
        <v>158</v>
      </c>
      <c r="B36" s="16">
        <v>20266</v>
      </c>
      <c r="C36" s="17">
        <v>375</v>
      </c>
      <c r="D36" s="18">
        <v>309</v>
      </c>
      <c r="E36" s="7">
        <v>1.7299999999999999E-2</v>
      </c>
    </row>
    <row r="37" spans="1:5" x14ac:dyDescent="0.2">
      <c r="A37" s="15" t="s">
        <v>159</v>
      </c>
      <c r="B37" s="16">
        <v>19525</v>
      </c>
      <c r="C37" s="17">
        <v>361</v>
      </c>
      <c r="D37" s="18">
        <v>230</v>
      </c>
      <c r="E37" s="7">
        <v>1.2800000000000001E-2</v>
      </c>
    </row>
    <row r="38" spans="1:5" x14ac:dyDescent="0.2">
      <c r="A38" s="15" t="s">
        <v>160</v>
      </c>
      <c r="B38" s="16">
        <v>18267</v>
      </c>
      <c r="C38" s="17">
        <v>338</v>
      </c>
      <c r="D38" s="18">
        <v>269</v>
      </c>
      <c r="E38" s="7">
        <v>1.37E-2</v>
      </c>
    </row>
    <row r="39" spans="1:5" x14ac:dyDescent="0.2">
      <c r="A39" s="15" t="s">
        <v>161</v>
      </c>
      <c r="B39" s="16">
        <v>16381</v>
      </c>
      <c r="C39" s="17">
        <v>303</v>
      </c>
      <c r="D39" s="18">
        <v>269</v>
      </c>
      <c r="E39" s="7">
        <v>1.7100000000000001E-2</v>
      </c>
    </row>
    <row r="40" spans="1:5" x14ac:dyDescent="0.2">
      <c r="A40" s="15" t="s">
        <v>162</v>
      </c>
      <c r="B40" s="16">
        <v>14430</v>
      </c>
      <c r="C40" s="17">
        <v>267</v>
      </c>
      <c r="D40" s="18">
        <v>223</v>
      </c>
      <c r="E40" s="7">
        <v>1.43E-2</v>
      </c>
    </row>
    <row r="41" spans="1:5" x14ac:dyDescent="0.2">
      <c r="A41" s="15" t="s">
        <v>163</v>
      </c>
      <c r="B41" s="16">
        <v>13649</v>
      </c>
      <c r="C41" s="17">
        <v>253</v>
      </c>
      <c r="D41" s="18">
        <v>163</v>
      </c>
      <c r="E41" s="7">
        <v>1.09E-2</v>
      </c>
    </row>
    <row r="42" spans="1:5" x14ac:dyDescent="0.2">
      <c r="A42" s="15" t="s">
        <v>164</v>
      </c>
      <c r="B42" s="16">
        <v>9726</v>
      </c>
      <c r="C42" s="17">
        <v>180</v>
      </c>
      <c r="D42" s="18">
        <v>107</v>
      </c>
      <c r="E42" s="7">
        <v>1.11E-2</v>
      </c>
    </row>
    <row r="43" spans="1:5" x14ac:dyDescent="0.2">
      <c r="A43" s="15" t="s">
        <v>165</v>
      </c>
      <c r="B43" s="16">
        <v>9115</v>
      </c>
      <c r="C43" s="17">
        <v>169</v>
      </c>
      <c r="D43" s="18">
        <v>144</v>
      </c>
      <c r="E43" s="7">
        <v>1.5100000000000001E-2</v>
      </c>
    </row>
    <row r="44" spans="1:5" x14ac:dyDescent="0.2">
      <c r="A44" s="15" t="s">
        <v>166</v>
      </c>
      <c r="B44" s="16">
        <v>8683</v>
      </c>
      <c r="C44" s="17">
        <v>161</v>
      </c>
      <c r="D44" s="18">
        <v>114</v>
      </c>
      <c r="E44" s="7">
        <v>1.29E-2</v>
      </c>
    </row>
    <row r="45" spans="1:5" x14ac:dyDescent="0.2">
      <c r="A45" s="15" t="s">
        <v>167</v>
      </c>
      <c r="B45" s="16">
        <v>8679</v>
      </c>
      <c r="C45" s="17">
        <v>161</v>
      </c>
      <c r="D45" s="18">
        <v>153</v>
      </c>
      <c r="E45" s="7">
        <v>0.02</v>
      </c>
    </row>
    <row r="46" spans="1:5" x14ac:dyDescent="0.2">
      <c r="A46" s="15" t="s">
        <v>168</v>
      </c>
      <c r="B46" s="16">
        <v>8626</v>
      </c>
      <c r="C46" s="17">
        <v>160</v>
      </c>
      <c r="D46" s="18">
        <v>151</v>
      </c>
      <c r="E46" s="7">
        <v>1.78E-2</v>
      </c>
    </row>
    <row r="47" spans="1:5" x14ac:dyDescent="0.2">
      <c r="A47" s="15" t="s">
        <v>169</v>
      </c>
      <c r="B47" s="16">
        <v>7909</v>
      </c>
      <c r="C47" s="17">
        <v>146</v>
      </c>
      <c r="D47" s="18">
        <v>163</v>
      </c>
      <c r="E47" s="7">
        <v>1.7999999999999999E-2</v>
      </c>
    </row>
    <row r="48" spans="1:5" x14ac:dyDescent="0.2">
      <c r="A48" s="15" t="s">
        <v>170</v>
      </c>
      <c r="B48" s="16">
        <v>7194</v>
      </c>
      <c r="C48" s="17">
        <v>133</v>
      </c>
      <c r="D48" s="18">
        <v>117</v>
      </c>
      <c r="E48" s="7">
        <v>1.54E-2</v>
      </c>
    </row>
    <row r="49" spans="1:5" x14ac:dyDescent="0.2">
      <c r="A49" s="15" t="s">
        <v>171</v>
      </c>
      <c r="B49" s="16">
        <v>6591</v>
      </c>
      <c r="C49" s="17">
        <v>122</v>
      </c>
      <c r="D49" s="18">
        <v>67</v>
      </c>
      <c r="E49" s="7">
        <v>1.03E-2</v>
      </c>
    </row>
    <row r="50" spans="1:5" x14ac:dyDescent="0.2">
      <c r="A50" s="15" t="s">
        <v>172</v>
      </c>
      <c r="B50" s="16">
        <v>6569</v>
      </c>
      <c r="C50" s="17">
        <v>122</v>
      </c>
      <c r="D50" s="18">
        <v>77</v>
      </c>
      <c r="E50" s="7">
        <v>1.21E-2</v>
      </c>
    </row>
    <row r="51" spans="1:5" x14ac:dyDescent="0.2">
      <c r="A51" s="15" t="s">
        <v>173</v>
      </c>
      <c r="B51" s="16">
        <v>6261</v>
      </c>
      <c r="C51" s="17">
        <v>116</v>
      </c>
      <c r="D51" s="18">
        <v>74</v>
      </c>
      <c r="E51" s="7">
        <v>1.2E-2</v>
      </c>
    </row>
    <row r="52" spans="1:5" x14ac:dyDescent="0.2">
      <c r="A52" s="15" t="s">
        <v>174</v>
      </c>
      <c r="B52" s="16">
        <v>5768</v>
      </c>
      <c r="C52" s="17">
        <v>107</v>
      </c>
      <c r="D52" s="18">
        <v>141</v>
      </c>
      <c r="E52" s="7">
        <v>2.5499999999999998E-2</v>
      </c>
    </row>
    <row r="53" spans="1:5" x14ac:dyDescent="0.2">
      <c r="A53" s="15" t="s">
        <v>175</v>
      </c>
      <c r="B53" s="16">
        <v>5742</v>
      </c>
      <c r="C53" s="17">
        <v>106</v>
      </c>
      <c r="D53" s="18">
        <v>64</v>
      </c>
      <c r="E53" s="7">
        <v>1.18E-2</v>
      </c>
    </row>
    <row r="54" spans="1:5" x14ac:dyDescent="0.2">
      <c r="A54" s="15" t="s">
        <v>176</v>
      </c>
      <c r="B54" s="16">
        <v>5194</v>
      </c>
      <c r="C54" s="17">
        <v>96</v>
      </c>
      <c r="D54" s="18">
        <v>62</v>
      </c>
      <c r="E54" s="7">
        <v>1.2E-2</v>
      </c>
    </row>
    <row r="55" spans="1:5" x14ac:dyDescent="0.2">
      <c r="A55" s="15" t="s">
        <v>177</v>
      </c>
      <c r="B55" s="16">
        <v>4838</v>
      </c>
      <c r="C55" s="17">
        <v>89</v>
      </c>
      <c r="D55" s="18">
        <v>99</v>
      </c>
      <c r="E55" s="7">
        <v>2.0500000000000001E-2</v>
      </c>
    </row>
    <row r="56" spans="1:5" x14ac:dyDescent="0.2">
      <c r="A56" s="15" t="s">
        <v>178</v>
      </c>
      <c r="B56" s="16">
        <v>4710</v>
      </c>
      <c r="C56" s="17">
        <v>87</v>
      </c>
      <c r="D56" s="18">
        <v>69</v>
      </c>
      <c r="E56" s="7">
        <v>1.5299999999999999E-2</v>
      </c>
    </row>
    <row r="57" spans="1:5" x14ac:dyDescent="0.2">
      <c r="A57" s="15" t="s">
        <v>179</v>
      </c>
      <c r="B57" s="16">
        <v>4640</v>
      </c>
      <c r="C57" s="17">
        <v>86</v>
      </c>
      <c r="D57" s="18">
        <v>54</v>
      </c>
      <c r="E57" s="7">
        <v>1.35E-2</v>
      </c>
    </row>
    <row r="58" spans="1:5" x14ac:dyDescent="0.2">
      <c r="A58" s="15" t="s">
        <v>180</v>
      </c>
      <c r="B58" s="16">
        <v>4550</v>
      </c>
      <c r="C58" s="17">
        <v>84</v>
      </c>
      <c r="D58" s="18">
        <v>77</v>
      </c>
      <c r="E58" s="7">
        <v>1.7500000000000002E-2</v>
      </c>
    </row>
    <row r="59" spans="1:5" x14ac:dyDescent="0.2">
      <c r="A59" s="15" t="s">
        <v>181</v>
      </c>
      <c r="B59" s="16">
        <v>4132</v>
      </c>
      <c r="C59" s="17">
        <v>76</v>
      </c>
      <c r="D59" s="18">
        <v>68</v>
      </c>
      <c r="E59" s="7">
        <v>1.47E-2</v>
      </c>
    </row>
    <row r="60" spans="1:5" x14ac:dyDescent="0.2">
      <c r="A60" s="15" t="s">
        <v>182</v>
      </c>
      <c r="B60" s="16">
        <v>3936</v>
      </c>
      <c r="C60" s="17">
        <v>73</v>
      </c>
      <c r="D60" s="18">
        <v>59</v>
      </c>
      <c r="E60" s="7">
        <v>1.46E-2</v>
      </c>
    </row>
    <row r="61" spans="1:5" x14ac:dyDescent="0.2">
      <c r="A61" s="15" t="s">
        <v>183</v>
      </c>
      <c r="B61" s="16">
        <v>3751</v>
      </c>
      <c r="C61" s="17">
        <v>69</v>
      </c>
      <c r="D61" s="18">
        <v>39</v>
      </c>
      <c r="E61" s="7">
        <v>1.03E-2</v>
      </c>
    </row>
    <row r="62" spans="1:5" x14ac:dyDescent="0.2">
      <c r="A62" s="15" t="s">
        <v>184</v>
      </c>
      <c r="B62" s="16">
        <v>3709</v>
      </c>
      <c r="C62" s="17">
        <v>69</v>
      </c>
      <c r="D62" s="18">
        <v>65</v>
      </c>
      <c r="E62" s="7">
        <v>1.8100000000000002E-2</v>
      </c>
    </row>
    <row r="63" spans="1:5" x14ac:dyDescent="0.2">
      <c r="A63" s="15" t="s">
        <v>185</v>
      </c>
      <c r="B63" s="16">
        <v>3329</v>
      </c>
      <c r="C63" s="17">
        <v>62</v>
      </c>
      <c r="D63" s="18">
        <v>67</v>
      </c>
      <c r="E63" s="7">
        <v>1.89E-2</v>
      </c>
    </row>
    <row r="64" spans="1:5" x14ac:dyDescent="0.2">
      <c r="A64" s="15" t="s">
        <v>186</v>
      </c>
      <c r="B64" s="16">
        <v>3324</v>
      </c>
      <c r="C64" s="17">
        <v>61</v>
      </c>
      <c r="D64" s="18">
        <v>53</v>
      </c>
      <c r="E64" s="7">
        <v>1.35E-2</v>
      </c>
    </row>
    <row r="65" spans="1:5" x14ac:dyDescent="0.2">
      <c r="A65" s="15" t="s">
        <v>187</v>
      </c>
      <c r="B65" s="16">
        <v>3289</v>
      </c>
      <c r="C65" s="17">
        <v>61</v>
      </c>
      <c r="D65" s="18">
        <v>38</v>
      </c>
      <c r="E65" s="7">
        <v>1.09E-2</v>
      </c>
    </row>
    <row r="66" spans="1:5" x14ac:dyDescent="0.2">
      <c r="A66" s="15" t="s">
        <v>188</v>
      </c>
      <c r="B66" s="16">
        <v>2882</v>
      </c>
      <c r="C66" s="17">
        <v>53</v>
      </c>
      <c r="D66" s="18">
        <v>48</v>
      </c>
      <c r="E66" s="7">
        <v>1.7399999999999999E-2</v>
      </c>
    </row>
    <row r="67" spans="1:5" x14ac:dyDescent="0.2">
      <c r="A67" s="15" t="s">
        <v>189</v>
      </c>
      <c r="B67" s="16">
        <v>2842</v>
      </c>
      <c r="C67" s="17">
        <v>53</v>
      </c>
      <c r="D67" s="18">
        <v>54</v>
      </c>
      <c r="E67" s="7">
        <v>1.8599999999999998E-2</v>
      </c>
    </row>
    <row r="68" spans="1:5" x14ac:dyDescent="0.2">
      <c r="A68" s="15" t="s">
        <v>190</v>
      </c>
      <c r="B68" s="16">
        <v>2572</v>
      </c>
      <c r="C68" s="17">
        <v>48</v>
      </c>
      <c r="D68" s="18">
        <v>48</v>
      </c>
      <c r="E68" s="7">
        <v>2.06E-2</v>
      </c>
    </row>
    <row r="69" spans="1:5" x14ac:dyDescent="0.2">
      <c r="A69" s="15" t="s">
        <v>191</v>
      </c>
      <c r="B69" s="16">
        <v>2475</v>
      </c>
      <c r="C69" s="17">
        <v>46</v>
      </c>
      <c r="D69" s="18">
        <v>50</v>
      </c>
      <c r="E69" s="7">
        <v>1.4800000000000001E-2</v>
      </c>
    </row>
    <row r="70" spans="1:5" x14ac:dyDescent="0.2">
      <c r="A70" s="15" t="s">
        <v>192</v>
      </c>
      <c r="B70" s="16">
        <v>2350</v>
      </c>
      <c r="C70" s="17">
        <v>43</v>
      </c>
      <c r="D70" s="18">
        <v>44</v>
      </c>
      <c r="E70" s="7">
        <v>2.1499999999999998E-2</v>
      </c>
    </row>
    <row r="71" spans="1:5" x14ac:dyDescent="0.2">
      <c r="A71" s="15" t="s">
        <v>193</v>
      </c>
      <c r="B71" s="16">
        <v>2242</v>
      </c>
      <c r="C71" s="17">
        <v>41</v>
      </c>
      <c r="D71" s="18">
        <v>56</v>
      </c>
      <c r="E71" s="7">
        <v>2.4899999999999999E-2</v>
      </c>
    </row>
    <row r="72" spans="1:5" x14ac:dyDescent="0.2">
      <c r="A72" s="15" t="s">
        <v>194</v>
      </c>
      <c r="B72" s="16">
        <v>2222</v>
      </c>
      <c r="C72" s="17">
        <v>41</v>
      </c>
      <c r="D72" s="18">
        <v>45</v>
      </c>
      <c r="E72" s="7">
        <v>1.9199999999999998E-2</v>
      </c>
    </row>
    <row r="73" spans="1:5" x14ac:dyDescent="0.2">
      <c r="A73" s="15" t="s">
        <v>195</v>
      </c>
      <c r="B73" s="16">
        <v>2136</v>
      </c>
      <c r="C73" s="17">
        <v>40</v>
      </c>
      <c r="D73" s="18">
        <v>24</v>
      </c>
      <c r="E73" s="7">
        <v>9.1999999999999998E-3</v>
      </c>
    </row>
    <row r="74" spans="1:5" x14ac:dyDescent="0.2">
      <c r="A74" s="15" t="s">
        <v>196</v>
      </c>
      <c r="B74" s="16">
        <v>2035</v>
      </c>
      <c r="C74" s="17">
        <v>38</v>
      </c>
      <c r="D74" s="18">
        <v>40</v>
      </c>
      <c r="E74" s="7">
        <v>1.9900000000000001E-2</v>
      </c>
    </row>
    <row r="75" spans="1:5" x14ac:dyDescent="0.2">
      <c r="A75" s="15" t="s">
        <v>197</v>
      </c>
      <c r="B75" s="16">
        <v>1780</v>
      </c>
      <c r="C75" s="17">
        <v>33</v>
      </c>
      <c r="D75" s="18">
        <v>31</v>
      </c>
      <c r="E75" s="7">
        <v>1.67E-2</v>
      </c>
    </row>
    <row r="76" spans="1:5" x14ac:dyDescent="0.2">
      <c r="A76" s="15" t="s">
        <v>198</v>
      </c>
      <c r="B76" s="16">
        <v>1599</v>
      </c>
      <c r="C76" s="17">
        <v>30</v>
      </c>
      <c r="D76" s="18">
        <v>16</v>
      </c>
      <c r="E76" s="7">
        <v>1.1299999999999999E-2</v>
      </c>
    </row>
    <row r="77" spans="1:5" x14ac:dyDescent="0.2">
      <c r="A77" s="15" t="s">
        <v>199</v>
      </c>
      <c r="B77" s="16">
        <v>1529</v>
      </c>
      <c r="C77" s="17">
        <v>28</v>
      </c>
      <c r="D77" s="18">
        <v>30</v>
      </c>
      <c r="E77" s="7">
        <v>1.8499999999999999E-2</v>
      </c>
    </row>
    <row r="78" spans="1:5" x14ac:dyDescent="0.2">
      <c r="A78" s="15" t="s">
        <v>200</v>
      </c>
      <c r="B78" s="16">
        <v>1470</v>
      </c>
      <c r="C78" s="17">
        <v>27</v>
      </c>
      <c r="D78" s="18">
        <v>30</v>
      </c>
      <c r="E78" s="7">
        <v>2.0299999999999999E-2</v>
      </c>
    </row>
    <row r="79" spans="1:5" x14ac:dyDescent="0.2">
      <c r="A79" s="15" t="s">
        <v>201</v>
      </c>
      <c r="B79" s="16">
        <v>1373</v>
      </c>
      <c r="C79" s="17">
        <v>25</v>
      </c>
      <c r="D79" s="18">
        <v>24</v>
      </c>
      <c r="E79" s="7">
        <v>1.72E-2</v>
      </c>
    </row>
    <row r="80" spans="1:5" x14ac:dyDescent="0.2">
      <c r="A80" s="15" t="s">
        <v>202</v>
      </c>
      <c r="B80" s="16">
        <v>1371</v>
      </c>
      <c r="C80" s="17">
        <v>25</v>
      </c>
      <c r="D80" s="18">
        <v>8</v>
      </c>
      <c r="E80" s="7">
        <v>5.5999999999999999E-3</v>
      </c>
    </row>
    <row r="81" spans="1:5" x14ac:dyDescent="0.2">
      <c r="A81" s="15" t="s">
        <v>203</v>
      </c>
      <c r="B81" s="16">
        <v>1355</v>
      </c>
      <c r="C81" s="17">
        <v>25</v>
      </c>
      <c r="D81" s="18">
        <v>26</v>
      </c>
      <c r="E81" s="7">
        <v>1.46E-2</v>
      </c>
    </row>
    <row r="82" spans="1:5" x14ac:dyDescent="0.2">
      <c r="A82" s="15" t="s">
        <v>204</v>
      </c>
      <c r="B82" s="16">
        <v>1346</v>
      </c>
      <c r="C82" s="17">
        <v>25</v>
      </c>
      <c r="D82" s="18">
        <v>26</v>
      </c>
      <c r="E82" s="7">
        <v>1.84E-2</v>
      </c>
    </row>
    <row r="83" spans="1:5" x14ac:dyDescent="0.2">
      <c r="A83" s="15" t="s">
        <v>205</v>
      </c>
      <c r="B83" s="16">
        <v>1276</v>
      </c>
      <c r="C83" s="17">
        <v>24</v>
      </c>
      <c r="D83" s="18">
        <v>15</v>
      </c>
      <c r="E83" s="7">
        <v>1.4800000000000001E-2</v>
      </c>
    </row>
    <row r="84" spans="1:5" x14ac:dyDescent="0.2">
      <c r="A84" s="15" t="s">
        <v>206</v>
      </c>
      <c r="B84" s="16">
        <v>1230</v>
      </c>
      <c r="C84" s="17">
        <v>23</v>
      </c>
      <c r="D84" s="18">
        <v>36</v>
      </c>
      <c r="E84" s="7">
        <v>2.3E-2</v>
      </c>
    </row>
    <row r="85" spans="1:5" x14ac:dyDescent="0.2">
      <c r="A85" s="15" t="s">
        <v>207</v>
      </c>
      <c r="B85" s="16">
        <v>1212</v>
      </c>
      <c r="C85" s="17">
        <v>22</v>
      </c>
      <c r="D85" s="18">
        <v>58</v>
      </c>
      <c r="E85" s="7">
        <v>5.04E-2</v>
      </c>
    </row>
    <row r="86" spans="1:5" x14ac:dyDescent="0.2">
      <c r="A86" s="15" t="s">
        <v>208</v>
      </c>
      <c r="B86" s="16">
        <v>1192</v>
      </c>
      <c r="C86" s="17">
        <v>22</v>
      </c>
      <c r="D86" s="18">
        <v>14</v>
      </c>
      <c r="E86" s="7">
        <v>1.3100000000000001E-2</v>
      </c>
    </row>
    <row r="87" spans="1:5" x14ac:dyDescent="0.2">
      <c r="A87" s="15" t="s">
        <v>209</v>
      </c>
      <c r="B87" s="16">
        <v>1175</v>
      </c>
      <c r="C87" s="17">
        <v>22</v>
      </c>
      <c r="D87" s="18">
        <v>24</v>
      </c>
      <c r="E87" s="7">
        <v>2.06E-2</v>
      </c>
    </row>
    <row r="88" spans="1:5" x14ac:dyDescent="0.2">
      <c r="A88" s="15" t="s">
        <v>210</v>
      </c>
      <c r="B88" s="16">
        <v>1153</v>
      </c>
      <c r="C88" s="17">
        <v>21</v>
      </c>
      <c r="D88" s="18">
        <v>6</v>
      </c>
      <c r="E88" s="7">
        <v>4.1999999999999997E-3</v>
      </c>
    </row>
    <row r="89" spans="1:5" x14ac:dyDescent="0.2">
      <c r="A89" s="15" t="s">
        <v>211</v>
      </c>
      <c r="B89" s="16">
        <v>1078</v>
      </c>
      <c r="C89" s="17">
        <v>20</v>
      </c>
      <c r="D89" s="18">
        <v>6</v>
      </c>
      <c r="E89" s="7">
        <v>5.5999999999999999E-3</v>
      </c>
    </row>
    <row r="90" spans="1:5" x14ac:dyDescent="0.2">
      <c r="A90" s="15" t="s">
        <v>212</v>
      </c>
      <c r="B90" s="16">
        <v>1038</v>
      </c>
      <c r="C90" s="17">
        <v>19</v>
      </c>
      <c r="D90" s="18">
        <v>19</v>
      </c>
      <c r="E90" s="7">
        <v>2.0500000000000001E-2</v>
      </c>
    </row>
    <row r="91" spans="1:5" x14ac:dyDescent="0.2">
      <c r="A91" s="15" t="s">
        <v>213</v>
      </c>
      <c r="B91" s="16">
        <v>779</v>
      </c>
      <c r="C91" s="17">
        <v>14</v>
      </c>
      <c r="D91" s="18">
        <v>33</v>
      </c>
      <c r="E91" s="7">
        <v>4.5900000000000003E-2</v>
      </c>
    </row>
    <row r="92" spans="1:5" x14ac:dyDescent="0.2">
      <c r="A92" s="15" t="s">
        <v>214</v>
      </c>
      <c r="B92" s="16">
        <v>761</v>
      </c>
      <c r="C92" s="17">
        <v>14</v>
      </c>
      <c r="D92" s="18">
        <v>8</v>
      </c>
      <c r="E92" s="7">
        <v>6.6E-3</v>
      </c>
    </row>
    <row r="93" spans="1:5" x14ac:dyDescent="0.2">
      <c r="A93" s="15" t="s">
        <v>215</v>
      </c>
      <c r="B93" s="16">
        <v>715</v>
      </c>
      <c r="C93" s="17">
        <v>13</v>
      </c>
      <c r="D93" s="18">
        <v>6</v>
      </c>
      <c r="E93" s="7">
        <v>8.5000000000000006E-3</v>
      </c>
    </row>
    <row r="94" spans="1:5" x14ac:dyDescent="0.2">
      <c r="A94" s="15" t="s">
        <v>216</v>
      </c>
      <c r="B94" s="16">
        <v>671</v>
      </c>
      <c r="C94" s="17">
        <v>12</v>
      </c>
      <c r="D94" s="18">
        <v>21</v>
      </c>
      <c r="E94" s="7">
        <v>2.1499999999999998E-2</v>
      </c>
    </row>
    <row r="95" spans="1:5" x14ac:dyDescent="0.2">
      <c r="A95" s="15" t="s">
        <v>217</v>
      </c>
      <c r="B95" s="16">
        <v>623</v>
      </c>
      <c r="C95" s="17">
        <v>12</v>
      </c>
      <c r="D95" s="18">
        <v>13</v>
      </c>
      <c r="E95" s="7">
        <v>2.41E-2</v>
      </c>
    </row>
    <row r="96" spans="1:5" x14ac:dyDescent="0.2">
      <c r="A96" s="15" t="s">
        <v>218</v>
      </c>
      <c r="B96" s="16">
        <v>576</v>
      </c>
      <c r="C96" s="17">
        <v>11</v>
      </c>
      <c r="D96" s="18">
        <v>8</v>
      </c>
      <c r="E96" s="7">
        <v>1.44E-2</v>
      </c>
    </row>
    <row r="97" spans="1:5" x14ac:dyDescent="0.2">
      <c r="A97" s="15" t="s">
        <v>219</v>
      </c>
      <c r="B97" s="16">
        <v>475</v>
      </c>
      <c r="C97" s="17">
        <v>9</v>
      </c>
      <c r="D97" s="18">
        <v>16</v>
      </c>
      <c r="E97" s="7">
        <v>2.58E-2</v>
      </c>
    </row>
    <row r="98" spans="1:5" x14ac:dyDescent="0.2">
      <c r="A98" s="15" t="s">
        <v>220</v>
      </c>
      <c r="B98" s="16">
        <v>451</v>
      </c>
      <c r="C98" s="17">
        <v>8</v>
      </c>
      <c r="D98" s="18">
        <v>12</v>
      </c>
      <c r="E98" s="7">
        <v>2.7199999999999998E-2</v>
      </c>
    </row>
    <row r="99" spans="1:5" x14ac:dyDescent="0.2">
      <c r="A99" s="15" t="s">
        <v>221</v>
      </c>
      <c r="B99" s="16">
        <v>451</v>
      </c>
      <c r="C99" s="17">
        <v>8</v>
      </c>
      <c r="D99" s="18">
        <v>5</v>
      </c>
      <c r="E99" s="7">
        <v>1.04E-2</v>
      </c>
    </row>
    <row r="100" spans="1:5" x14ac:dyDescent="0.2">
      <c r="A100" s="15" t="s">
        <v>222</v>
      </c>
      <c r="B100" s="16">
        <v>449</v>
      </c>
      <c r="C100" s="17">
        <v>8</v>
      </c>
      <c r="D100" s="18">
        <v>5</v>
      </c>
      <c r="E100" s="7">
        <v>1.14E-2</v>
      </c>
    </row>
    <row r="101" spans="1:5" x14ac:dyDescent="0.2">
      <c r="A101" s="15" t="s">
        <v>223</v>
      </c>
      <c r="B101" s="16">
        <v>372</v>
      </c>
      <c r="C101" s="17">
        <v>7</v>
      </c>
      <c r="D101" s="18">
        <v>3</v>
      </c>
      <c r="E101" s="7">
        <v>5.8999999999999999E-3</v>
      </c>
    </row>
    <row r="102" spans="1:5" x14ac:dyDescent="0.2">
      <c r="A102" s="15" t="s">
        <v>224</v>
      </c>
      <c r="B102" s="16">
        <v>363</v>
      </c>
      <c r="C102" s="17">
        <v>7</v>
      </c>
      <c r="D102" s="18">
        <v>6</v>
      </c>
      <c r="E102" s="7">
        <v>1.18E-2</v>
      </c>
    </row>
    <row r="103" spans="1:5" x14ac:dyDescent="0.2">
      <c r="A103" s="15" t="s">
        <v>225</v>
      </c>
      <c r="B103" s="16">
        <v>224</v>
      </c>
      <c r="C103" s="17">
        <v>4</v>
      </c>
      <c r="D103" s="18">
        <v>6</v>
      </c>
      <c r="E103" s="7">
        <v>1.5900000000000001E-2</v>
      </c>
    </row>
    <row r="104" spans="1:5" x14ac:dyDescent="0.2">
      <c r="A104" s="15" t="s">
        <v>226</v>
      </c>
      <c r="B104" s="16">
        <v>167</v>
      </c>
      <c r="C104" s="17">
        <v>3</v>
      </c>
      <c r="D104" s="18">
        <v>22</v>
      </c>
      <c r="E104" s="7">
        <v>0.17050000000000001</v>
      </c>
    </row>
    <row r="105" spans="1:5" x14ac:dyDescent="0.2">
      <c r="A105" s="15" t="s">
        <v>227</v>
      </c>
      <c r="B105" s="16">
        <v>132</v>
      </c>
      <c r="C105" s="17">
        <v>2</v>
      </c>
      <c r="D105" s="18">
        <v>0</v>
      </c>
      <c r="E105" s="7">
        <v>0</v>
      </c>
    </row>
    <row r="106" spans="1:5" x14ac:dyDescent="0.2">
      <c r="A106" s="15" t="s">
        <v>228</v>
      </c>
      <c r="B106" s="16">
        <v>110</v>
      </c>
      <c r="C106" s="17">
        <v>2</v>
      </c>
      <c r="D106" s="18">
        <v>0</v>
      </c>
      <c r="E106" s="7">
        <v>0</v>
      </c>
    </row>
    <row r="107" spans="1:5" x14ac:dyDescent="0.2">
      <c r="A107" s="15" t="s">
        <v>229</v>
      </c>
      <c r="B107" s="16">
        <v>97</v>
      </c>
      <c r="C107" s="17">
        <v>2</v>
      </c>
      <c r="D107" s="18">
        <v>2</v>
      </c>
      <c r="E107" s="7">
        <v>2.47E-2</v>
      </c>
    </row>
    <row r="108" spans="1:5" x14ac:dyDescent="0.2">
      <c r="A108" s="15" t="s">
        <v>230</v>
      </c>
      <c r="B108" s="16">
        <v>81</v>
      </c>
      <c r="C108" s="17">
        <v>2</v>
      </c>
      <c r="D108" s="18">
        <v>0</v>
      </c>
      <c r="E108" s="7">
        <v>0</v>
      </c>
    </row>
    <row r="109" spans="1:5" x14ac:dyDescent="0.2">
      <c r="A109" s="15" t="s">
        <v>231</v>
      </c>
      <c r="B109" s="16">
        <v>62</v>
      </c>
      <c r="C109" s="17">
        <v>1</v>
      </c>
      <c r="D109" s="18">
        <v>1</v>
      </c>
      <c r="E109" s="7">
        <v>1.52E-2</v>
      </c>
    </row>
    <row r="110" spans="1:5" x14ac:dyDescent="0.2">
      <c r="A110" s="15" t="s">
        <v>232</v>
      </c>
      <c r="B110" s="16">
        <v>51</v>
      </c>
      <c r="C110" s="17">
        <v>1</v>
      </c>
      <c r="D110" s="18">
        <v>0</v>
      </c>
      <c r="E110" s="7">
        <v>0</v>
      </c>
    </row>
    <row r="111" spans="1:5" x14ac:dyDescent="0.2">
      <c r="A111" s="15" t="s">
        <v>233</v>
      </c>
      <c r="B111" s="16">
        <v>40</v>
      </c>
      <c r="C111" s="17">
        <v>1</v>
      </c>
      <c r="D111" s="18">
        <v>0</v>
      </c>
      <c r="E111" s="7">
        <v>0</v>
      </c>
    </row>
    <row r="112" spans="1:5" x14ac:dyDescent="0.2">
      <c r="A112" s="15" t="s">
        <v>234</v>
      </c>
      <c r="B112" s="16">
        <v>37</v>
      </c>
      <c r="C112" s="17">
        <v>1</v>
      </c>
      <c r="D112" s="18">
        <v>0</v>
      </c>
      <c r="E112" s="7">
        <v>0</v>
      </c>
    </row>
    <row r="113" spans="1:5" x14ac:dyDescent="0.2">
      <c r="A113" s="15" t="s">
        <v>235</v>
      </c>
      <c r="B113" s="16">
        <v>35</v>
      </c>
      <c r="C113" s="17">
        <v>1</v>
      </c>
      <c r="D113" s="18">
        <v>4</v>
      </c>
      <c r="E113" s="7">
        <v>2.58E-2</v>
      </c>
    </row>
    <row r="114" spans="1:5" x14ac:dyDescent="0.2">
      <c r="A114" s="15" t="s">
        <v>236</v>
      </c>
      <c r="B114" s="16">
        <v>26</v>
      </c>
      <c r="C114" s="17">
        <v>0</v>
      </c>
      <c r="D114" s="18">
        <v>0</v>
      </c>
      <c r="E114" s="7">
        <v>0</v>
      </c>
    </row>
    <row r="115" spans="1:5" x14ac:dyDescent="0.2">
      <c r="A115" s="15" t="s">
        <v>237</v>
      </c>
      <c r="B115" s="16">
        <v>22</v>
      </c>
      <c r="C115" s="17">
        <v>0</v>
      </c>
      <c r="D115" s="18">
        <v>0</v>
      </c>
      <c r="E115" s="7">
        <v>0</v>
      </c>
    </row>
    <row r="116" spans="1:5" x14ac:dyDescent="0.2">
      <c r="A116" s="15" t="s">
        <v>238</v>
      </c>
      <c r="B116" s="16">
        <v>18</v>
      </c>
      <c r="C116" s="17">
        <v>0</v>
      </c>
      <c r="D116" s="18">
        <v>0</v>
      </c>
      <c r="E116" s="7">
        <v>0</v>
      </c>
    </row>
    <row r="117" spans="1:5" x14ac:dyDescent="0.2">
      <c r="A117" s="15" t="s">
        <v>239</v>
      </c>
      <c r="B117" s="16">
        <v>13</v>
      </c>
      <c r="C117" s="17">
        <v>0</v>
      </c>
      <c r="D117" s="18">
        <v>1</v>
      </c>
      <c r="E117" s="7">
        <v>7.1400000000000005E-2</v>
      </c>
    </row>
    <row r="118" spans="1:5" x14ac:dyDescent="0.2">
      <c r="A118" s="15" t="s">
        <v>240</v>
      </c>
      <c r="B118" s="16">
        <v>13</v>
      </c>
      <c r="C118" s="17">
        <v>0</v>
      </c>
      <c r="D118" s="18">
        <v>0</v>
      </c>
      <c r="E118" s="7">
        <v>0</v>
      </c>
    </row>
    <row r="119" spans="1:5" x14ac:dyDescent="0.2">
      <c r="A119" s="15" t="s">
        <v>241</v>
      </c>
      <c r="B119" s="16">
        <v>11</v>
      </c>
      <c r="C119" s="17">
        <v>0</v>
      </c>
      <c r="D119" s="18">
        <v>1</v>
      </c>
      <c r="E119" s="7">
        <v>0.1111</v>
      </c>
    </row>
    <row r="120" spans="1:5" x14ac:dyDescent="0.2">
      <c r="A120" s="15" t="s">
        <v>242</v>
      </c>
      <c r="B120" s="16">
        <v>9</v>
      </c>
      <c r="C120" s="17">
        <v>0</v>
      </c>
      <c r="D120" s="18">
        <v>2</v>
      </c>
      <c r="E120" s="7">
        <v>0.33329999999999999</v>
      </c>
    </row>
    <row r="121" spans="1:5" x14ac:dyDescent="0.2">
      <c r="A121" s="15" t="s">
        <v>243</v>
      </c>
      <c r="B121" s="16">
        <v>7</v>
      </c>
      <c r="C121" s="17">
        <v>0</v>
      </c>
      <c r="D121" s="18">
        <v>0</v>
      </c>
      <c r="E121" s="7">
        <v>0</v>
      </c>
    </row>
    <row r="122" spans="1:5" x14ac:dyDescent="0.2">
      <c r="A122" s="15" t="s">
        <v>244</v>
      </c>
      <c r="B122" s="16">
        <v>7</v>
      </c>
      <c r="C122" s="17">
        <v>0</v>
      </c>
      <c r="D122" s="18">
        <v>2</v>
      </c>
      <c r="E122" s="7">
        <v>0.16669999999999999</v>
      </c>
    </row>
    <row r="123" spans="1:5" x14ac:dyDescent="0.2">
      <c r="A123" s="15" t="s">
        <v>245</v>
      </c>
      <c r="B123" s="16">
        <v>4</v>
      </c>
      <c r="C123" s="17">
        <v>0</v>
      </c>
      <c r="D123" s="18">
        <v>1</v>
      </c>
      <c r="E123" s="7">
        <v>0.1429</v>
      </c>
    </row>
    <row r="124" spans="1:5" x14ac:dyDescent="0.2">
      <c r="A124" s="15" t="s">
        <v>246</v>
      </c>
      <c r="B124" s="16">
        <v>2</v>
      </c>
      <c r="C124" s="17">
        <v>0</v>
      </c>
      <c r="D124" s="18">
        <v>0</v>
      </c>
      <c r="E124" s="7">
        <v>0</v>
      </c>
    </row>
    <row r="125" spans="1:5" x14ac:dyDescent="0.2">
      <c r="A125" s="15" t="s">
        <v>247</v>
      </c>
      <c r="B125" s="16">
        <v>2</v>
      </c>
      <c r="C125" s="17">
        <v>0</v>
      </c>
      <c r="D125" s="18">
        <v>0</v>
      </c>
      <c r="E125" s="7">
        <v>0</v>
      </c>
    </row>
    <row r="126" spans="1:5" x14ac:dyDescent="0.2">
      <c r="A126" s="15" t="s">
        <v>248</v>
      </c>
      <c r="B126" s="16">
        <v>2</v>
      </c>
      <c r="C126" s="17">
        <v>0</v>
      </c>
      <c r="D126" s="18">
        <v>0</v>
      </c>
      <c r="E126" s="7">
        <v>0</v>
      </c>
    </row>
    <row r="127" spans="1:5" x14ac:dyDescent="0.2">
      <c r="A127" s="15" t="s">
        <v>249</v>
      </c>
      <c r="B127" s="16">
        <v>0</v>
      </c>
      <c r="C127" s="17">
        <v>0</v>
      </c>
      <c r="D127" s="18">
        <v>0</v>
      </c>
      <c r="E127" s="7">
        <v>0</v>
      </c>
    </row>
    <row r="128" spans="1:5" x14ac:dyDescent="0.2">
      <c r="A128" s="15" t="s">
        <v>250</v>
      </c>
      <c r="B128" s="16">
        <v>0</v>
      </c>
      <c r="C128" s="17">
        <v>0</v>
      </c>
      <c r="D128" s="18">
        <v>0</v>
      </c>
      <c r="E128" s="7">
        <v>0</v>
      </c>
    </row>
    <row r="129" spans="1:5" x14ac:dyDescent="0.2">
      <c r="A129" s="15" t="s">
        <v>251</v>
      </c>
      <c r="B129" s="16">
        <v>0</v>
      </c>
      <c r="C129" s="17">
        <v>0</v>
      </c>
      <c r="D129" s="18">
        <v>0</v>
      </c>
      <c r="E129" s="7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Spend</vt:lpstr>
      <vt:lpstr>Creative by Day</vt:lpstr>
      <vt:lpstr>DMA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Anderson, Sheldon</cp:lastModifiedBy>
  <dcterms:created xsi:type="dcterms:W3CDTF">2025-07-01T21:40:21Z</dcterms:created>
  <dcterms:modified xsi:type="dcterms:W3CDTF">2025-07-01T21:40:21Z</dcterms:modified>
</cp:coreProperties>
</file>