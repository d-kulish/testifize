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210ca7664fab4e/Documents/BOL/Octopus/"/>
    </mc:Choice>
  </mc:AlternateContent>
  <xr:revisionPtr revIDLastSave="2" documentId="8_{474A8CE6-B922-5349-B083-BD9B35BC0231}" xr6:coauthVersionLast="47" xr6:coauthVersionMax="47" xr10:uidLastSave="{C8499100-AAD7-42CD-9BAF-5134EFDB25D5}"/>
  <bookViews>
    <workbookView xWindow="-120" yWindow="-120" windowWidth="29040" windowHeight="17520" activeTab="1" xr2:uid="{00000000-000D-0000-FFFF-FFFF00000000}"/>
  </bookViews>
  <sheets>
    <sheet name="Daily Spend" sheetId="2" r:id="rId1"/>
    <sheet name="Creative by Day" sheetId="1" r:id="rId2"/>
    <sheet name="DMA" sheetId="3" r:id="rId3"/>
  </sheets>
  <calcPr calcId="191029"/>
  <pivotCaches>
    <pivotCache cacheId="1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6" i="1"/>
  <c r="A7" i="1" s="1"/>
  <c r="A9" i="1"/>
  <c r="A10" i="1" s="1"/>
  <c r="A12" i="1"/>
  <c r="A13" i="1"/>
  <c r="A15" i="1"/>
  <c r="A16" i="1" s="1"/>
  <c r="A18" i="1"/>
  <c r="A19" i="1" s="1"/>
  <c r="A21" i="1"/>
  <c r="A22" i="1" s="1"/>
  <c r="A24" i="1"/>
  <c r="A25" i="1"/>
  <c r="A27" i="1"/>
  <c r="A28" i="1"/>
  <c r="A30" i="1"/>
  <c r="A31" i="1" s="1"/>
  <c r="A33" i="1"/>
  <c r="A34" i="1" s="1"/>
  <c r="A36" i="1"/>
  <c r="A37" i="1" s="1"/>
  <c r="A39" i="1"/>
  <c r="A40" i="1"/>
  <c r="A42" i="1"/>
  <c r="A43" i="1"/>
  <c r="A45" i="1"/>
  <c r="A46" i="1" s="1"/>
  <c r="A48" i="1"/>
  <c r="A49" i="1" s="1"/>
  <c r="A51" i="1"/>
  <c r="A52" i="1" s="1"/>
  <c r="A54" i="1"/>
  <c r="A55" i="1"/>
  <c r="A57" i="1"/>
  <c r="A58" i="1" s="1"/>
  <c r="A60" i="1"/>
  <c r="A61" i="1"/>
  <c r="A63" i="1"/>
  <c r="A64" i="1"/>
  <c r="A66" i="1"/>
  <c r="A67" i="1"/>
  <c r="A69" i="1"/>
  <c r="A70" i="1" s="1"/>
  <c r="A72" i="1"/>
  <c r="A73" i="1" s="1"/>
  <c r="A75" i="1"/>
  <c r="A76" i="1"/>
  <c r="A78" i="1"/>
  <c r="A79" i="1"/>
  <c r="A81" i="1"/>
  <c r="A82" i="1" s="1"/>
  <c r="A84" i="1"/>
  <c r="A85" i="1"/>
  <c r="A86" i="1" s="1"/>
  <c r="A87" i="1" s="1"/>
</calcChain>
</file>

<file path=xl/sharedStrings.xml><?xml version="1.0" encoding="utf-8"?>
<sst xmlns="http://schemas.openxmlformats.org/spreadsheetml/2006/main" count="237" uniqueCount="235">
  <si>
    <t>BetOnine_BasesLoaded_June2025</t>
  </si>
  <si>
    <t>BetOnline_MLB_June2025</t>
  </si>
  <si>
    <t>BetOnline_Podcast_July2025</t>
  </si>
  <si>
    <t>BetOnine_BasesLoaded_June2025</t>
  </si>
  <si>
    <t>BetOnline_MLB_June2025</t>
  </si>
  <si>
    <t>BetOnline_Podcast_July2025</t>
  </si>
  <si>
    <t>BetOnine_BasesLoaded_June2025</t>
  </si>
  <si>
    <t>BetOnline_MLB_June2025</t>
  </si>
  <si>
    <t>BetOnline_Podcast_July2025</t>
  </si>
  <si>
    <t>BetOnine_BasesLoaded_June2025</t>
  </si>
  <si>
    <t>BetOnline_MLB_June2025</t>
  </si>
  <si>
    <t>BetOnline_Podcast_July2025</t>
  </si>
  <si>
    <t>BetOnine_BasesLoaded_June2025</t>
  </si>
  <si>
    <t>BetOnline_MLB_June2025</t>
  </si>
  <si>
    <t>BetOnline_Podcast_July2025</t>
  </si>
  <si>
    <t>BetOnine_BasesLoaded_June2025</t>
  </si>
  <si>
    <t>BetOnline_MLB_June2025</t>
  </si>
  <si>
    <t>BetOnline_Podcast_July2025</t>
  </si>
  <si>
    <t>BetOnine_BasesLoaded_June2025</t>
  </si>
  <si>
    <t>BetOnline_MLB_June2025</t>
  </si>
  <si>
    <t>BetOnline_Podcast_July2025</t>
  </si>
  <si>
    <t>BetOnine_BasesLoaded_June2025</t>
  </si>
  <si>
    <t>BetOnline_MLB_June2025</t>
  </si>
  <si>
    <t>BetOnline_Podcast_July2025</t>
  </si>
  <si>
    <t>BetOnine_BasesLoaded_June2025</t>
  </si>
  <si>
    <t>BetOnline_MLB_June2025</t>
  </si>
  <si>
    <t>BetOnline_Podcast_July2025</t>
  </si>
  <si>
    <t>BetOnine_BasesLoaded_June2025</t>
  </si>
  <si>
    <t>BetOnline_MLB_June2025</t>
  </si>
  <si>
    <t>BetOnline_Podcast_July2025</t>
  </si>
  <si>
    <t>BetOnine_BasesLoaded_June2025</t>
  </si>
  <si>
    <t>BetOnline_MLB_June2025</t>
  </si>
  <si>
    <t>BetOnline_Podcast_July2025</t>
  </si>
  <si>
    <t>BetOnine_BasesLoaded_June2025</t>
  </si>
  <si>
    <t>BetOnline_MLB_June2025</t>
  </si>
  <si>
    <t>BetOnline_Podcast_July2025</t>
  </si>
  <si>
    <t>BetOnine_BasesLoaded_June2025</t>
  </si>
  <si>
    <t>BetOnline_MLB_June2025</t>
  </si>
  <si>
    <t>BetOnline_Podcast_July2025</t>
  </si>
  <si>
    <t>BetOnine_BasesLoaded_June2025</t>
  </si>
  <si>
    <t>BetOnline_MLB_June2025</t>
  </si>
  <si>
    <t>BetOnline_Podcast_July2025</t>
  </si>
  <si>
    <t>BetOnine_BasesLoaded_June2025</t>
  </si>
  <si>
    <t>BetOnline_MLB_June2025</t>
  </si>
  <si>
    <t>BetOnline_Podcast_July2025</t>
  </si>
  <si>
    <t>BetOnine_BasesLoaded_June2025</t>
  </si>
  <si>
    <t>BetOnline_MLB_June2025</t>
  </si>
  <si>
    <t>BetOnline_Podcast_July2025</t>
  </si>
  <si>
    <t>BetOnine_BasesLoaded_June2025</t>
  </si>
  <si>
    <t>BetOnline_MLB_June2025</t>
  </si>
  <si>
    <t>BetOnline_Podcast_July2025</t>
  </si>
  <si>
    <t>BetOnine_BasesLoaded_June2025</t>
  </si>
  <si>
    <t>BetOnline_MLB_June2025</t>
  </si>
  <si>
    <t>BetOnline_Podcast_July2025</t>
  </si>
  <si>
    <t>BetOnine_BasesLoaded_June2025</t>
  </si>
  <si>
    <t>BetOnline_MLB_June2025</t>
  </si>
  <si>
    <t>BetOnline_Podcast_July2025</t>
  </si>
  <si>
    <t>BetOnine_BasesLoaded_June2025</t>
  </si>
  <si>
    <t>BetOnline_MLB_June2025</t>
  </si>
  <si>
    <t>BetOnline_Podcast_July2025</t>
  </si>
  <si>
    <t>BetOnine_BasesLoaded_June2025</t>
  </si>
  <si>
    <t>BetOnline_MLB_June2025</t>
  </si>
  <si>
    <t>BetOnline_Podcast_July2025</t>
  </si>
  <si>
    <t>BetOnine_BasesLoaded_June2025</t>
  </si>
  <si>
    <t>BetOnline_MLB_June2025</t>
  </si>
  <si>
    <t>BetOnline_Podcast_July2025</t>
  </si>
  <si>
    <t>BetOnine_BasesLoaded_June2025</t>
  </si>
  <si>
    <t>BetOnline_MLB_June2025</t>
  </si>
  <si>
    <t>BetOnline_Podcast_July2025</t>
  </si>
  <si>
    <t>BetOnine_BasesLoaded_June2025</t>
  </si>
  <si>
    <t>BetOnline_MLB_June2025</t>
  </si>
  <si>
    <t>BetOnline_Podcast_July2025</t>
  </si>
  <si>
    <t>BetOnine_BasesLoaded_June2025</t>
  </si>
  <si>
    <t>BetOnline_MLB_June2025</t>
  </si>
  <si>
    <t>BetOnline_Podcast_July2025</t>
  </si>
  <si>
    <t>BetOnine_BasesLoaded_June2025</t>
  </si>
  <si>
    <t>BetOnline_MLB_June2025</t>
  </si>
  <si>
    <t>BetOnline_Podcast_July2025</t>
  </si>
  <si>
    <t>BetOnine_BasesLoaded_June2025</t>
  </si>
  <si>
    <t>BetOnline_MLB_June2025</t>
  </si>
  <si>
    <t>BetOnline_Podcast_July2025</t>
  </si>
  <si>
    <t>BetOnine_BasesLoaded_June2025</t>
  </si>
  <si>
    <t>BetOnline_CollegeFootball2025</t>
  </si>
  <si>
    <t>BetOnline_MLB_June2025</t>
  </si>
  <si>
    <t>BetOnline_NFL2026</t>
  </si>
  <si>
    <t>BetOnline_Podcast_July2025</t>
  </si>
  <si>
    <t>BetOnline_CollegeFootball2025</t>
  </si>
  <si>
    <t>BetOnline_CollegeFootball2025</t>
  </si>
  <si>
    <t>BetOnline_CollegeFootball2025</t>
  </si>
  <si>
    <t>Impressions</t>
  </si>
  <si>
    <t>Spend</t>
  </si>
  <si>
    <t>AdPlays</t>
  </si>
  <si>
    <t>Clicks</t>
  </si>
  <si>
    <t>Game Enagagement</t>
  </si>
  <si>
    <t>Game Engagement Rate</t>
  </si>
  <si>
    <t>Day of Date</t>
  </si>
  <si>
    <t>Creative</t>
  </si>
  <si>
    <t>Engagement Rate</t>
  </si>
  <si>
    <t>Row Labels</t>
  </si>
  <si>
    <t>Grand Total</t>
  </si>
  <si>
    <t>Sum of Impressions</t>
  </si>
  <si>
    <t>Sum of Spend</t>
  </si>
  <si>
    <t>DMA</t>
  </si>
  <si>
    <t>Atlanta, GA</t>
  </si>
  <si>
    <t>Seattle-Tacoma, WA</t>
  </si>
  <si>
    <t>Washington, DC (Hagerstown, MD)</t>
  </si>
  <si>
    <t>Minneapolis-St. Paul, MN</t>
  </si>
  <si>
    <t>Salt Lake City, UT</t>
  </si>
  <si>
    <t>Los Angeles, CA</t>
  </si>
  <si>
    <t>Miami-Fort Lauderdale, FL</t>
  </si>
  <si>
    <t>St. Louis, MO</t>
  </si>
  <si>
    <t>Houston, TX</t>
  </si>
  <si>
    <t>Dallas-Ft. Worth, TX</t>
  </si>
  <si>
    <t>Charleston, SC</t>
  </si>
  <si>
    <t>Milwaukee, WI</t>
  </si>
  <si>
    <t>San Francisco-Oakland-San Jose, CA</t>
  </si>
  <si>
    <t>Orlando-Daytona Beach-Melbourne, FL</t>
  </si>
  <si>
    <t>Oklahoma City, OK</t>
  </si>
  <si>
    <t>Kansas City, MO</t>
  </si>
  <si>
    <t>Greenville-Spartanburg, SC-Asheville, NC-Anderson,SC</t>
  </si>
  <si>
    <t>Philadelphia, PA</t>
  </si>
  <si>
    <t>Tampa-St. Petersburg (Sarasota), FL</t>
  </si>
  <si>
    <t>Austin, TX</t>
  </si>
  <si>
    <t>Columbia, SC</t>
  </si>
  <si>
    <t>San Diego, CA</t>
  </si>
  <si>
    <t>Tulsa, OK</t>
  </si>
  <si>
    <t>San Antonio, TX</t>
  </si>
  <si>
    <t>Myrtle Beach-Florence, SC</t>
  </si>
  <si>
    <t>Albuquerque-Santa Fe, NM</t>
  </si>
  <si>
    <t>Honolulu, HI</t>
  </si>
  <si>
    <t>Savannah, GA</t>
  </si>
  <si>
    <t>Birmingham (Anniston and Tuscaloosa), AL</t>
  </si>
  <si>
    <t>Spokane, WA</t>
  </si>
  <si>
    <t>Madison, WI</t>
  </si>
  <si>
    <t>Springfield, MO</t>
  </si>
  <si>
    <t>Portland, OR</t>
  </si>
  <si>
    <t>Other</t>
  </si>
  <si>
    <t>Sacramento-Stockton-Modesto, CA</t>
  </si>
  <si>
    <t>Mobile, AL-Pensacola (Ft. Walton Beach), FL</t>
  </si>
  <si>
    <t>Boise, ID</t>
  </si>
  <si>
    <t>Huntsville-Decatur (Florence), AL</t>
  </si>
  <si>
    <t>West Palm Beach-Ft. Pierce, FL</t>
  </si>
  <si>
    <t>Charlotte, NC</t>
  </si>
  <si>
    <t>Salisbury, MD</t>
  </si>
  <si>
    <t>Biloxi-Gulfport, MS</t>
  </si>
  <si>
    <t>Columbus, GA</t>
  </si>
  <si>
    <t>Memphis, TN</t>
  </si>
  <si>
    <t>Fargo-Valley City, ND</t>
  </si>
  <si>
    <t>Green Bay-Appleton, WI</t>
  </si>
  <si>
    <t>Jacksonville, FL</t>
  </si>
  <si>
    <t>Ft. Myers-Naples, FL</t>
  </si>
  <si>
    <t>Jackson, MS</t>
  </si>
  <si>
    <t>Columbia-Jefferson City, MO</t>
  </si>
  <si>
    <t>Rochester, NY</t>
  </si>
  <si>
    <t>Montgomery-Selma, AL</t>
  </si>
  <si>
    <t>Sioux Falls (Mitchell), SD</t>
  </si>
  <si>
    <t>Waco-Temple-Bryan, TX</t>
  </si>
  <si>
    <t>Paducah, KY-Cape Girardeau, MO-Harrisburg, IL</t>
  </si>
  <si>
    <t>Tallahassee, FL-Thomasville, GA</t>
  </si>
  <si>
    <t>Augusta, GA</t>
  </si>
  <si>
    <t>Butte-Bozeman, MT</t>
  </si>
  <si>
    <t>El Paso, TX</t>
  </si>
  <si>
    <t>Panama City, FL</t>
  </si>
  <si>
    <t>Minot-Bismarck-Dickinson(Williston), ND</t>
  </si>
  <si>
    <t>La Crosse-Eau Claire, WI</t>
  </si>
  <si>
    <t>Harlingen-Weslaco-Brownsville-McAllen, TX</t>
  </si>
  <si>
    <t>Wichita Falls, TX-Lawton, OK</t>
  </si>
  <si>
    <t>Lubbock, TX</t>
  </si>
  <si>
    <t>Fresno-Visalia, CA</t>
  </si>
  <si>
    <t>Monterey-Salinas, CA</t>
  </si>
  <si>
    <t>Santa Barbara-Santa Maria-San Luis Obispo, CA</t>
  </si>
  <si>
    <t>Palm Springs, CA</t>
  </si>
  <si>
    <t>Missoula, MT</t>
  </si>
  <si>
    <t>Rapid City, SD</t>
  </si>
  <si>
    <t>Macon, GA</t>
  </si>
  <si>
    <t>Gainesville, FL</t>
  </si>
  <si>
    <t>Bakersfield, CA</t>
  </si>
  <si>
    <t>Dothan, AL</t>
  </si>
  <si>
    <t>Corpus Christi, TX</t>
  </si>
  <si>
    <t>Odessa-Midland, TX</t>
  </si>
  <si>
    <t>Duluth, MN-Superior, WI</t>
  </si>
  <si>
    <t>Sherman, TX-Ada, OK</t>
  </si>
  <si>
    <t>Chattanooga, TN</t>
  </si>
  <si>
    <t>Great Falls, MT</t>
  </si>
  <si>
    <t>Idaho Falls-Pocatello, ID</t>
  </si>
  <si>
    <t>Beaumont-Port Arthur, TX</t>
  </si>
  <si>
    <t>Albany, GA</t>
  </si>
  <si>
    <t>New Orleans, LA</t>
  </si>
  <si>
    <t>Yakima-Pasco-Richland-Kennewick, WA</t>
  </si>
  <si>
    <t>Amarillo, TX</t>
  </si>
  <si>
    <t>Mankato, MN</t>
  </si>
  <si>
    <t>Laredo, TX</t>
  </si>
  <si>
    <t>Hattiesburg-Laurel, MS</t>
  </si>
  <si>
    <t>St. Joseph, MO</t>
  </si>
  <si>
    <t>Tyler-Longview(Lufkin &amp; Nacogdoches), TX</t>
  </si>
  <si>
    <t>Columbus-Tupelo-West Point, MS</t>
  </si>
  <si>
    <t>Joplin, MO-Pittsburg, KS</t>
  </si>
  <si>
    <t>Billings, MT</t>
  </si>
  <si>
    <t>Wausau-Rhinelander, WI</t>
  </si>
  <si>
    <t>Juneau, AK</t>
  </si>
  <si>
    <t>Chico-Redding, CA</t>
  </si>
  <si>
    <t>Abilene-Sweetwater, TX</t>
  </si>
  <si>
    <t>Yuma, AZ-El Centro, CA</t>
  </si>
  <si>
    <t>Reno, NV</t>
  </si>
  <si>
    <t>Shreveport, LA</t>
  </si>
  <si>
    <t>Helena, MT</t>
  </si>
  <si>
    <t>Meridian, MS</t>
  </si>
  <si>
    <t>Ft. Smith-Fayetteville-Springdale-Rogers, AR</t>
  </si>
  <si>
    <t>Chicago, IL</t>
  </si>
  <si>
    <t>Ottumwa, IA-Kirksville, MO</t>
  </si>
  <si>
    <t>Baltimore, MD</t>
  </si>
  <si>
    <t>Quincy, IL-Hannibal, MO-Keokuk, IA</t>
  </si>
  <si>
    <t>Greenwood-Greenville, MS</t>
  </si>
  <si>
    <t>Twin Falls, ID</t>
  </si>
  <si>
    <t>San Angelo, TX</t>
  </si>
  <si>
    <t>Eureka, CA</t>
  </si>
  <si>
    <t>Victoria, TX</t>
  </si>
  <si>
    <t>Rockford, IL</t>
  </si>
  <si>
    <t>Omaha, NE</t>
  </si>
  <si>
    <t>Medford-Klamath Falls, OR</t>
  </si>
  <si>
    <t>Glendive, MT</t>
  </si>
  <si>
    <t>Sioux City, IA</t>
  </si>
  <si>
    <t>Wilmington, NC</t>
  </si>
  <si>
    <t>Vancouver Island and Coast / Île de Vancouver et la côte</t>
  </si>
  <si>
    <t>Richmond-Petersburg, VA</t>
  </si>
  <si>
    <t>Nashville, TN</t>
  </si>
  <si>
    <t>Monroe, LA-El Dorado, AR</t>
  </si>
  <si>
    <t>Lake Charles, LA</t>
  </si>
  <si>
    <t>Jonesboro, AR</t>
  </si>
  <si>
    <t>Wichita-Hutchinson, KS Plus</t>
  </si>
  <si>
    <t>Phoenix, AZ</t>
  </si>
  <si>
    <t>Lower Mainland--Southwest / Lower Mainland--Sud-ouest</t>
  </si>
  <si>
    <t>Las Vegas, NV</t>
  </si>
  <si>
    <t>Des Moines-Ames, IA</t>
  </si>
  <si>
    <t>Baton Rouge, 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</si>
</sst>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&quot;$&quot;#,##0;\-&quot;$&quot;#,##0"/>
    <numFmt numFmtId="167" formatCode="_(* #,##0_);_(* \(#,##0\);_(* &quot;-&quot;??_);_(@_)"/>
  </numFmts>
  <fonts count="3" x14ac:knownFonts="1">
    <font>
      <sz val="11"/>
      <name val="Calibri"/>
    </font>
    <font>
      <sz val="9"/>
      <color rgb="FF000000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37" fontId="1" fillId="0" borderId="4" xfId="0" applyNumberFormat="1" applyFont="1" applyBorder="1" applyAlignment="1">
      <alignment vertical="center"/>
    </xf>
    <xf numFmtId="166" fontId="1" fillId="0" borderId="5" xfId="0" applyNumberFormat="1" applyFont="1" applyBorder="1" applyAlignment="1">
      <alignment vertical="center"/>
    </xf>
    <xf numFmtId="3" fontId="1" fillId="0" borderId="6" xfId="0" applyNumberFormat="1" applyFont="1" applyBorder="1" applyAlignment="1">
      <alignment vertical="center"/>
    </xf>
    <xf numFmtId="10" fontId="1" fillId="0" borderId="7" xfId="0" applyNumberFormat="1" applyFont="1" applyBorder="1" applyAlignment="1">
      <alignment vertical="center"/>
    </xf>
    <xf numFmtId="14" fontId="1" fillId="0" borderId="3" xfId="0" applyNumberFormat="1" applyFont="1" applyBorder="1" applyAlignment="1">
      <alignment horizontal="right"/>
    </xf>
    <xf numFmtId="14" fontId="1" fillId="0" borderId="1" xfId="0" applyNumberFormat="1" applyFont="1" applyBorder="1" applyAlignment="1">
      <alignment horizontal="right" vertical="top"/>
    </xf>
    <xf numFmtId="14" fontId="0" fillId="0" borderId="0" xfId="0" applyNumberFormat="1" applyAlignment="1">
      <alignment horizontal="right"/>
    </xf>
    <xf numFmtId="0" fontId="0" fillId="0" borderId="0" xfId="0" pivotButton="1"/>
    <xf numFmtId="14" fontId="0" fillId="0" borderId="0" xfId="0" applyNumberFormat="1" applyAlignment="1">
      <alignment horizontal="left"/>
    </xf>
    <xf numFmtId="167" fontId="0" fillId="0" borderId="0" xfId="1" applyNumberFormat="1" applyFont="1"/>
    <xf numFmtId="164" fontId="0" fillId="0" borderId="0" xfId="2" applyFont="1"/>
    <xf numFmtId="0" fontId="1" fillId="0" borderId="7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7" xfId="0" applyFont="1" applyBorder="1" applyAlignment="1">
      <alignment horizontal="left" vertical="top"/>
    </xf>
    <xf numFmtId="37" fontId="1" fillId="0" borderId="7" xfId="0" applyNumberFormat="1" applyFont="1" applyBorder="1" applyAlignment="1">
      <alignment vertical="center"/>
    </xf>
    <xf numFmtId="166" fontId="1" fillId="0" borderId="7" xfId="0" applyNumberFormat="1" applyFont="1" applyBorder="1" applyAlignment="1">
      <alignment vertical="center"/>
    </xf>
    <xf numFmtId="3" fontId="1" fillId="0" borderId="7" xfId="0" applyNumberFormat="1" applyFont="1" applyBorder="1" applyAlignment="1">
      <alignment vertical="center"/>
    </xf>
  </cellXfs>
  <cellStyles count="3">
    <cellStyle name="Comma" xfId="1" builtinId="3"/>
    <cellStyle name="Currency" xfId="2" builtinId="4"/>
    <cellStyle name="Normal" xfId="0" builtinId="0"/>
  </cellStyles>
  <dxfs count="2">
    <dxf>
      <numFmt numFmtId="167" formatCode="_(* #,##0_);_(* \(#,##0\);_(* &quot;-&quot;??_);_(@_)"/>
    </dxf>
    <dxf>
      <numFmt numFmtId="167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03.66796608796" createdVersion="8" refreshedVersion="8" minRefreshableVersion="3" recordCount="89" xr:uid="{6B8A728E-0FDD-F74E-BFF3-9D8D9BF840C8}">
  <cacheSource type="worksheet">
    <worksheetSource ref="A1:F90" sheet="Creative by Day"/>
  </cacheSource>
  <cacheFields count="6">
    <cacheField name="Day of Date" numFmtId="14">
      <sharedItems containsSemiMixedTypes="0" containsNonDate="0" containsDate="1" containsString="0" minDate="2025-08-01T00:00:00" maxDate="2025-09-01T00:00:00" count="31"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</sharedItems>
    </cacheField>
    <cacheField name="Creative" numFmtId="0">
      <sharedItems/>
    </cacheField>
    <cacheField name="Impressions" numFmtId="37">
      <sharedItems containsSemiMixedTypes="0" containsString="0" containsNumber="1" minValue="1872.2000000000007" maxValue="44895.400000000009"/>
    </cacheField>
    <cacheField name="Spend" numFmtId="166">
      <sharedItems containsSemiMixedTypes="0" containsString="0" containsNumber="1" minValue="34.635699999999993" maxValue="830.56489999999997"/>
    </cacheField>
    <cacheField name="Clicks" numFmtId="3">
      <sharedItems containsSemiMixedTypes="0" containsString="0" containsNumber="1" containsInteger="1" minValue="0" maxValue="222"/>
    </cacheField>
    <cacheField name="Engagement Rate" numFmtId="10">
      <sharedItems containsSemiMixedTypes="0" containsString="0" containsNumber="1" minValue="0" maxValue="3.3393501805054154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BetOnine_BasesLoaded_June2025"/>
    <n v="13184.6"/>
    <n v="243.91509999999994"/>
    <n v="169"/>
    <n v="2.8199566160520606E-2"/>
  </r>
  <r>
    <x v="0"/>
    <s v="BetOnline_MLB_June2025"/>
    <n v="13173.599999999999"/>
    <n v="243.7116"/>
    <n v="0"/>
    <n v="0"/>
  </r>
  <r>
    <x v="0"/>
    <s v="BetOnline_Podcast_July2025"/>
    <n v="13373.800000000001"/>
    <n v="247.4153"/>
    <n v="0"/>
    <n v="0"/>
  </r>
  <r>
    <x v="1"/>
    <s v="BetOnine_BasesLoaded_June2025"/>
    <n v="14946.800000000005"/>
    <n v="276.51580000000001"/>
    <n v="222"/>
    <n v="3.2675890491610245E-2"/>
  </r>
  <r>
    <x v="1"/>
    <s v="BetOnline_MLB_June2025"/>
    <n v="14709.200000000003"/>
    <n v="272.12020000000001"/>
    <n v="0"/>
    <n v="0"/>
  </r>
  <r>
    <x v="1"/>
    <s v="BetOnline_Podcast_July2025"/>
    <n v="14841.199999999995"/>
    <n v="274.56219999999996"/>
    <n v="0"/>
    <n v="0"/>
  </r>
  <r>
    <x v="2"/>
    <s v="BetOnine_BasesLoaded_June2025"/>
    <n v="14735.600000000002"/>
    <n v="272.60860000000002"/>
    <n v="213"/>
    <n v="3.1800537473872799E-2"/>
  </r>
  <r>
    <x v="2"/>
    <s v="BetOnline_MLB_June2025"/>
    <n v="14823.600000000002"/>
    <n v="274.23660000000007"/>
    <n v="0"/>
    <n v="0"/>
  </r>
  <r>
    <x v="2"/>
    <s v="BetOnline_Podcast_July2025"/>
    <n v="15012.800000000001"/>
    <n v="277.73679999999996"/>
    <n v="0"/>
    <n v="0"/>
  </r>
  <r>
    <x v="3"/>
    <s v="BetOnine_BasesLoaded_June2025"/>
    <n v="14834.600000000002"/>
    <n v="274.44010000000003"/>
    <n v="172"/>
    <n v="2.5507934153937418E-2"/>
  </r>
  <r>
    <x v="3"/>
    <s v="BetOnline_MLB_June2025"/>
    <n v="14720.200000000003"/>
    <n v="272.32369999999992"/>
    <n v="0"/>
    <n v="0"/>
  </r>
  <r>
    <x v="3"/>
    <s v="BetOnline_Podcast_July2025"/>
    <n v="14902.800000000001"/>
    <n v="275.70179999999999"/>
    <n v="0"/>
    <n v="0"/>
  </r>
  <r>
    <x v="4"/>
    <s v="BetOnine_BasesLoaded_June2025"/>
    <n v="15096.4"/>
    <n v="279.28340000000003"/>
    <n v="198"/>
    <n v="2.88545613523754E-2"/>
  </r>
  <r>
    <x v="4"/>
    <s v="BetOnline_MLB_June2025"/>
    <n v="14669.600000000002"/>
    <n v="271.38760000000008"/>
    <n v="0"/>
    <n v="0"/>
  </r>
  <r>
    <x v="4"/>
    <s v="BetOnline_Podcast_July2025"/>
    <n v="14665.2"/>
    <n v="271.30619999999999"/>
    <n v="0"/>
    <n v="0"/>
  </r>
  <r>
    <x v="5"/>
    <s v="BetOnine_BasesLoaded_June2025"/>
    <n v="14872.000000000002"/>
    <n v="275.13200000000006"/>
    <n v="172"/>
    <n v="2.5443786982248522E-2"/>
  </r>
  <r>
    <x v="5"/>
    <s v="BetOnline_MLB_June2025"/>
    <n v="15001.800000000005"/>
    <n v="277.53330000000005"/>
    <n v="0"/>
    <n v="0"/>
  </r>
  <r>
    <x v="5"/>
    <s v="BetOnline_Podcast_July2025"/>
    <n v="14506.8"/>
    <n v="268.37580000000003"/>
    <n v="0"/>
    <n v="0"/>
  </r>
  <r>
    <x v="6"/>
    <s v="BetOnine_BasesLoaded_June2025"/>
    <n v="15021.6"/>
    <n v="277.89959999999996"/>
    <n v="196"/>
    <n v="2.8705330990041009E-2"/>
  </r>
  <r>
    <x v="6"/>
    <s v="BetOnline_MLB_June2025"/>
    <n v="14792.8"/>
    <n v="273.66680000000002"/>
    <n v="0"/>
    <n v="0"/>
  </r>
  <r>
    <x v="6"/>
    <s v="BetOnline_Podcast_July2025"/>
    <n v="15039.2"/>
    <n v="278.22520000000003"/>
    <n v="0"/>
    <n v="0"/>
  </r>
  <r>
    <x v="7"/>
    <s v="BetOnine_BasesLoaded_June2025"/>
    <n v="14733.400000000001"/>
    <n v="272.56790000000001"/>
    <n v="163"/>
    <n v="2.4339256383455278E-2"/>
  </r>
  <r>
    <x v="7"/>
    <s v="BetOnline_MLB_June2025"/>
    <n v="14812.6"/>
    <n v="274.0331000000001"/>
    <n v="0"/>
    <n v="0"/>
  </r>
  <r>
    <x v="7"/>
    <s v="BetOnline_Podcast_July2025"/>
    <n v="14878.600000000002"/>
    <n v="275.25409999999999"/>
    <n v="0"/>
    <n v="0"/>
  </r>
  <r>
    <x v="8"/>
    <s v="BetOnine_BasesLoaded_June2025"/>
    <n v="14876.4"/>
    <n v="275.21340000000004"/>
    <n v="210"/>
    <n v="3.1055900621118012E-2"/>
  </r>
  <r>
    <x v="8"/>
    <s v="BetOnline_MLB_June2025"/>
    <n v="14977.599999999999"/>
    <n v="277.08560000000006"/>
    <n v="0"/>
    <n v="0"/>
  </r>
  <r>
    <x v="8"/>
    <s v="BetOnline_Podcast_July2025"/>
    <n v="14962.2"/>
    <n v="276.80069999999989"/>
    <n v="0"/>
    <n v="0"/>
  </r>
  <r>
    <x v="9"/>
    <s v="BetOnine_BasesLoaded_June2025"/>
    <n v="14702.600000000002"/>
    <n v="271.99810000000002"/>
    <n v="209"/>
    <n v="3.1273380218464764E-2"/>
  </r>
  <r>
    <x v="9"/>
    <s v="BetOnline_MLB_June2025"/>
    <n v="14878.600000000006"/>
    <n v="275.25409999999994"/>
    <n v="0"/>
    <n v="0"/>
  </r>
  <r>
    <x v="9"/>
    <s v="BetOnline_Podcast_July2025"/>
    <n v="14744.400000000001"/>
    <n v="272.77139999999997"/>
    <n v="0"/>
    <n v="0"/>
  </r>
  <r>
    <x v="10"/>
    <s v="BetOnine_BasesLoaded_June2025"/>
    <n v="15120.600000000002"/>
    <n v="279.73109999999997"/>
    <n v="168"/>
    <n v="2.4443474465298997E-2"/>
  </r>
  <r>
    <x v="10"/>
    <s v="BetOnline_MLB_June2025"/>
    <n v="14744.4"/>
    <n v="272.77140000000003"/>
    <n v="0"/>
    <n v="0"/>
  </r>
  <r>
    <x v="10"/>
    <s v="BetOnline_Podcast_July2025"/>
    <n v="14636.600000000002"/>
    <n v="270.77710000000002"/>
    <n v="0"/>
    <n v="0"/>
  </r>
  <r>
    <x v="11"/>
    <s v="BetOnine_BasesLoaded_June2025"/>
    <n v="14651.999999999996"/>
    <n v="271.06200000000007"/>
    <n v="131"/>
    <n v="1.9669669669669671E-2"/>
  </r>
  <r>
    <x v="11"/>
    <s v="BetOnline_MLB_June2025"/>
    <n v="14599.200000000003"/>
    <n v="270.08520000000004"/>
    <n v="0"/>
    <n v="0"/>
  </r>
  <r>
    <x v="11"/>
    <s v="BetOnline_Podcast_July2025"/>
    <n v="15074.400000000001"/>
    <n v="278.87639999999999"/>
    <n v="0"/>
    <n v="0"/>
  </r>
  <r>
    <x v="12"/>
    <s v="BetOnine_BasesLoaded_June2025"/>
    <n v="14889.600000000002"/>
    <n v="275.45760000000001"/>
    <n v="164"/>
    <n v="2.4231678486997636E-2"/>
  </r>
  <r>
    <x v="12"/>
    <s v="BetOnline_MLB_June2025"/>
    <n v="14748.800000000003"/>
    <n v="272.85280000000012"/>
    <n v="0"/>
    <n v="0"/>
  </r>
  <r>
    <x v="12"/>
    <s v="BetOnline_Podcast_July2025"/>
    <n v="14902.8"/>
    <n v="275.70179999999993"/>
    <n v="0"/>
    <n v="0"/>
  </r>
  <r>
    <x v="13"/>
    <s v="BetOnine_BasesLoaded_June2025"/>
    <n v="12902.999999999998"/>
    <n v="238.70549999999997"/>
    <n v="147"/>
    <n v="2.5063938618925832E-2"/>
  </r>
  <r>
    <x v="13"/>
    <s v="BetOnline_MLB_June2025"/>
    <n v="13001.999999999996"/>
    <n v="240.53700000000003"/>
    <n v="0"/>
    <n v="0"/>
  </r>
  <r>
    <x v="13"/>
    <s v="BetOnline_Podcast_July2025"/>
    <n v="12960.199999999997"/>
    <n v="239.76370000000003"/>
    <n v="0"/>
    <n v="0"/>
  </r>
  <r>
    <x v="14"/>
    <s v="BetOnine_BasesLoaded_June2025"/>
    <n v="14975.4"/>
    <n v="277.04489999999998"/>
    <n v="202"/>
    <n v="2.9675334214778904E-2"/>
  </r>
  <r>
    <x v="14"/>
    <s v="BetOnline_MLB_June2025"/>
    <n v="14768.600000000006"/>
    <n v="273.21910000000008"/>
    <n v="0"/>
    <n v="0"/>
  </r>
  <r>
    <x v="14"/>
    <s v="BetOnline_Podcast_July2025"/>
    <n v="15100.800000000001"/>
    <n v="279.3648"/>
    <n v="0"/>
    <n v="0"/>
  </r>
  <r>
    <x v="15"/>
    <s v="BetOnine_BasesLoaded_June2025"/>
    <n v="14865.399999999998"/>
    <n v="275.00990000000002"/>
    <n v="196"/>
    <n v="2.9006955749593014E-2"/>
  </r>
  <r>
    <x v="15"/>
    <s v="BetOnline_MLB_June2025"/>
    <n v="14966.600000000002"/>
    <n v="276.88210000000004"/>
    <n v="0"/>
    <n v="0"/>
  </r>
  <r>
    <x v="15"/>
    <s v="BetOnline_Podcast_July2025"/>
    <n v="14948.999999999998"/>
    <n v="276.55649999999997"/>
    <n v="0"/>
    <n v="0"/>
  </r>
  <r>
    <x v="16"/>
    <s v="BetOnine_BasesLoaded_June2025"/>
    <n v="14744.4"/>
    <n v="272.77140000000003"/>
    <n v="199"/>
    <n v="2.9692629065950462E-2"/>
  </r>
  <r>
    <x v="16"/>
    <s v="BetOnline_MLB_June2025"/>
    <n v="15074.400000000001"/>
    <n v="278.87639999999999"/>
    <n v="0"/>
    <n v="0"/>
  </r>
  <r>
    <x v="16"/>
    <s v="BetOnline_Podcast_July2025"/>
    <n v="14665.200000000006"/>
    <n v="271.30619999999999"/>
    <n v="0"/>
    <n v="0"/>
  </r>
  <r>
    <x v="17"/>
    <s v="BetOnine_BasesLoaded_June2025"/>
    <n v="14597"/>
    <n v="270.04450000000003"/>
    <n v="157"/>
    <n v="2.3662396382818387E-2"/>
  </r>
  <r>
    <x v="17"/>
    <s v="BetOnline_MLB_June2025"/>
    <n v="14845.600000000004"/>
    <n v="274.64359999999999"/>
    <n v="0"/>
    <n v="0"/>
  </r>
  <r>
    <x v="17"/>
    <s v="BetOnline_Podcast_July2025"/>
    <n v="15118.399999999998"/>
    <n v="279.69040000000007"/>
    <n v="0"/>
    <n v="0"/>
  </r>
  <r>
    <x v="18"/>
    <s v="BetOnine_BasesLoaded_June2025"/>
    <n v="14850.000000000004"/>
    <n v="274.72500000000002"/>
    <n v="143"/>
    <n v="2.1185185185185185E-2"/>
  </r>
  <r>
    <x v="18"/>
    <s v="BetOnline_MLB_June2025"/>
    <n v="14592.600000000008"/>
    <n v="269.96310000000005"/>
    <n v="0"/>
    <n v="0"/>
  </r>
  <r>
    <x v="18"/>
    <s v="BetOnline_Podcast_July2025"/>
    <n v="14766.399999999998"/>
    <n v="273.17840000000001"/>
    <n v="0"/>
    <n v="0"/>
  </r>
  <r>
    <x v="19"/>
    <s v="BetOnine_BasesLoaded_June2025"/>
    <n v="14920.400000000003"/>
    <n v="276.0274"/>
    <n v="155"/>
    <n v="2.2854615157770569E-2"/>
  </r>
  <r>
    <x v="19"/>
    <s v="BetOnline_MLB_June2025"/>
    <n v="14911.6"/>
    <n v="275.8646"/>
    <n v="0"/>
    <n v="0"/>
  </r>
  <r>
    <x v="19"/>
    <s v="BetOnline_Podcast_July2025"/>
    <n v="14803.800000000001"/>
    <n v="273.87030000000004"/>
    <n v="0"/>
    <n v="0"/>
  </r>
  <r>
    <x v="20"/>
    <s v="BetOnine_BasesLoaded_June2025"/>
    <n v="14762.000000000007"/>
    <n v="273.09700000000004"/>
    <n v="165"/>
    <n v="2.4590163934426229E-2"/>
  </r>
  <r>
    <x v="20"/>
    <s v="BetOnline_MLB_June2025"/>
    <n v="14920.400000000001"/>
    <n v="276.02739999999994"/>
    <n v="0"/>
    <n v="0"/>
  </r>
  <r>
    <x v="20"/>
    <s v="BetOnline_Podcast_July2025"/>
    <n v="15224.000000000005"/>
    <n v="281.64399999999995"/>
    <n v="0"/>
    <n v="0"/>
  </r>
  <r>
    <x v="21"/>
    <s v="BetOnine_BasesLoaded_June2025"/>
    <n v="15169.000000000004"/>
    <n v="280.62649999999996"/>
    <n v="199"/>
    <n v="2.8861493836113125E-2"/>
  </r>
  <r>
    <x v="21"/>
    <s v="BetOnline_MLB_June2025"/>
    <n v="15197.6"/>
    <n v="281.15559999999994"/>
    <n v="0"/>
    <n v="0"/>
  </r>
  <r>
    <x v="21"/>
    <s v="BetOnline_Podcast_July2025"/>
    <n v="14685.000000000005"/>
    <n v="271.67249999999996"/>
    <n v="0"/>
    <n v="0"/>
  </r>
  <r>
    <x v="22"/>
    <s v="BetOnine_BasesLoaded_June2025"/>
    <n v="14625.599999999999"/>
    <n v="270.57360000000006"/>
    <n v="222"/>
    <n v="3.3393501805054154E-2"/>
  </r>
  <r>
    <x v="22"/>
    <s v="BetOnline_MLB_June2025"/>
    <n v="14797.200000000003"/>
    <n v="273.74820000000005"/>
    <n v="0"/>
    <n v="0"/>
  </r>
  <r>
    <x v="22"/>
    <s v="BetOnline_Podcast_July2025"/>
    <n v="15135.999999999998"/>
    <n v="280.01600000000008"/>
    <n v="0"/>
    <n v="0"/>
  </r>
  <r>
    <x v="23"/>
    <s v="BetOnine_BasesLoaded_June2025"/>
    <n v="14775.2"/>
    <n v="273.34120000000001"/>
    <n v="184"/>
    <n v="2.7397260273972601E-2"/>
  </r>
  <r>
    <x v="23"/>
    <s v="BetOnline_MLB_June2025"/>
    <n v="14975.400000000001"/>
    <n v="277.04489999999998"/>
    <n v="0"/>
    <n v="0"/>
  </r>
  <r>
    <x v="23"/>
    <s v="BetOnline_Podcast_July2025"/>
    <n v="15015"/>
    <n v="277.77750000000003"/>
    <n v="0"/>
    <n v="0"/>
  </r>
  <r>
    <x v="24"/>
    <s v="BetOnine_BasesLoaded_June2025"/>
    <n v="14740"/>
    <n v="272.69"/>
    <n v="162"/>
    <n v="2.4179104477611939E-2"/>
  </r>
  <r>
    <x v="24"/>
    <s v="BetOnline_MLB_June2025"/>
    <n v="14834.599999999999"/>
    <n v="274.44009999999997"/>
    <n v="0"/>
    <n v="0"/>
  </r>
  <r>
    <x v="24"/>
    <s v="BetOnline_Podcast_July2025"/>
    <n v="14819.199999999999"/>
    <n v="274.15520000000004"/>
    <n v="0"/>
    <n v="0"/>
  </r>
  <r>
    <x v="25"/>
    <s v="BetOnine_BasesLoaded_June2025"/>
    <n v="14869.800000000003"/>
    <n v="275.09129999999999"/>
    <n v="180"/>
    <n v="2.6631158455392809E-2"/>
  </r>
  <r>
    <x v="25"/>
    <s v="BetOnline_MLB_June2025"/>
    <n v="15004.000000000002"/>
    <n v="277.57400000000001"/>
    <n v="0"/>
    <n v="0"/>
  </r>
  <r>
    <x v="25"/>
    <s v="BetOnline_Podcast_July2025"/>
    <n v="14748.800000000003"/>
    <n v="272.85280000000012"/>
    <n v="0"/>
    <n v="0"/>
  </r>
  <r>
    <x v="26"/>
    <s v="BetOnine_BasesLoaded_June2025"/>
    <n v="14836.800000000001"/>
    <n v="274.48079999999999"/>
    <n v="148"/>
    <n v="2.1945432977461446E-2"/>
  </r>
  <r>
    <x v="26"/>
    <s v="BetOnline_MLB_June2025"/>
    <n v="14935.799999999994"/>
    <n v="276.31230000000005"/>
    <n v="0"/>
    <n v="0"/>
  </r>
  <r>
    <x v="26"/>
    <s v="BetOnline_Podcast_July2025"/>
    <n v="14839.000000000004"/>
    <n v="274.52149999999995"/>
    <n v="0"/>
    <n v="0"/>
  </r>
  <r>
    <x v="27"/>
    <s v="BetOnine_BasesLoaded_June2025"/>
    <n v="9361"/>
    <n v="173.17849999999999"/>
    <n v="85"/>
    <n v="1.9976498237367801E-2"/>
  </r>
  <r>
    <x v="27"/>
    <s v="BetOnline_CollegeFootball2025"/>
    <n v="14339.600000000004"/>
    <n v="265.28260000000012"/>
    <n v="0"/>
    <n v="0"/>
  </r>
  <r>
    <x v="27"/>
    <s v="BetOnline_MLB_June2025"/>
    <n v="9838.4000000000015"/>
    <n v="182.01040000000003"/>
    <n v="0"/>
    <n v="0"/>
  </r>
  <r>
    <x v="27"/>
    <s v="BetOnline_NFL2026"/>
    <n v="1872.2000000000007"/>
    <n v="34.635699999999993"/>
    <n v="0"/>
    <n v="0"/>
  </r>
  <r>
    <x v="27"/>
    <s v="BetOnline_Podcast_July2025"/>
    <n v="9550.2000000000007"/>
    <n v="176.67870000000013"/>
    <n v="0"/>
    <n v="0"/>
  </r>
  <r>
    <x v="28"/>
    <s v="BetOnline_CollegeFootball2025"/>
    <n v="44895.400000000009"/>
    <n v="830.56489999999997"/>
    <n v="0"/>
    <n v="0"/>
  </r>
  <r>
    <x v="29"/>
    <s v="BetOnline_CollegeFootball2025"/>
    <n v="44717.200000000012"/>
    <n v="827.26820000000009"/>
    <n v="0"/>
    <n v="0"/>
  </r>
  <r>
    <x v="30"/>
    <s v="BetOnline_CollegeFootball2025"/>
    <n v="41302.800000000003"/>
    <n v="764.1017999999998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81385E-281C-474A-90A7-2A3D5EC667B5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35" firstHeaderRow="0" firstDataRow="1" firstDataCol="1"/>
  <pivotFields count="6">
    <pivotField axis="axisRow"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dataField="1" numFmtId="37" showAll="0"/>
    <pivotField dataField="1" numFmtId="166" showAll="0"/>
    <pivotField numFmtId="3" showAll="0"/>
    <pivotField numFmtId="10" showAll="0"/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pend" fld="3" baseField="0" baseItem="0" numFmtId="166"/>
    <dataField name="Sum of Impressions" fld="2" baseField="0" baseItem="0" numFmtId="167"/>
  </dataFields>
  <formats count="2"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1429B-A547-0C47-A379-BA1195F2E81D}">
  <dimension ref="A3:C35"/>
  <sheetViews>
    <sheetView workbookViewId="0">
      <selection activeCell="B1" sqref="B1:B1048576"/>
    </sheetView>
  </sheetViews>
  <sheetFormatPr defaultColWidth="11.42578125" defaultRowHeight="15" x14ac:dyDescent="0.25"/>
  <cols>
    <col min="1" max="1" width="12.140625" bestFit="1" customWidth="1"/>
    <col min="2" max="2" width="11.42578125" style="14" bestFit="1" customWidth="1"/>
    <col min="3" max="3" width="15.85546875" style="13" bestFit="1" customWidth="1"/>
  </cols>
  <sheetData>
    <row r="3" spans="1:3" x14ac:dyDescent="0.25">
      <c r="A3" s="11" t="s">
        <v>98</v>
      </c>
      <c r="B3" s="14" t="s">
        <v>101</v>
      </c>
      <c r="C3" s="13" t="s">
        <v>100</v>
      </c>
    </row>
    <row r="4" spans="1:3" x14ac:dyDescent="0.25">
      <c r="A4" s="12">
        <v>45870</v>
      </c>
      <c r="B4" s="14">
        <v>735.04199999999992</v>
      </c>
      <c r="C4" s="13">
        <v>39732</v>
      </c>
    </row>
    <row r="5" spans="1:3" x14ac:dyDescent="0.25">
      <c r="A5" s="12">
        <v>45871</v>
      </c>
      <c r="B5" s="14">
        <v>823.19819999999993</v>
      </c>
      <c r="C5" s="13">
        <v>44497.200000000004</v>
      </c>
    </row>
    <row r="6" spans="1:3" x14ac:dyDescent="0.25">
      <c r="A6" s="12">
        <v>45872</v>
      </c>
      <c r="B6" s="14">
        <v>824.58200000000011</v>
      </c>
      <c r="C6" s="13">
        <v>44572.000000000007</v>
      </c>
    </row>
    <row r="7" spans="1:3" x14ac:dyDescent="0.25">
      <c r="A7" s="12">
        <v>45873</v>
      </c>
      <c r="B7" s="14">
        <v>822.46559999999999</v>
      </c>
      <c r="C7" s="13">
        <v>44457.600000000006</v>
      </c>
    </row>
    <row r="8" spans="1:3" x14ac:dyDescent="0.25">
      <c r="A8" s="12">
        <v>45874</v>
      </c>
      <c r="B8" s="14">
        <v>821.97720000000004</v>
      </c>
      <c r="C8" s="13">
        <v>44431.199999999997</v>
      </c>
    </row>
    <row r="9" spans="1:3" x14ac:dyDescent="0.25">
      <c r="A9" s="12">
        <v>45875</v>
      </c>
      <c r="B9" s="14">
        <v>821.04110000000014</v>
      </c>
      <c r="C9" s="13">
        <v>44380.600000000006</v>
      </c>
    </row>
    <row r="10" spans="1:3" x14ac:dyDescent="0.25">
      <c r="A10" s="12">
        <v>45876</v>
      </c>
      <c r="B10" s="14">
        <v>829.79160000000002</v>
      </c>
      <c r="C10" s="13">
        <v>44853.600000000006</v>
      </c>
    </row>
    <row r="11" spans="1:3" x14ac:dyDescent="0.25">
      <c r="A11" s="12">
        <v>45877</v>
      </c>
      <c r="B11" s="14">
        <v>821.85510000000011</v>
      </c>
      <c r="C11" s="13">
        <v>44424.600000000006</v>
      </c>
    </row>
    <row r="12" spans="1:3" x14ac:dyDescent="0.25">
      <c r="A12" s="12">
        <v>45878</v>
      </c>
      <c r="B12" s="14">
        <v>829.09969999999998</v>
      </c>
      <c r="C12" s="13">
        <v>44816.2</v>
      </c>
    </row>
    <row r="13" spans="1:3" x14ac:dyDescent="0.25">
      <c r="A13" s="12">
        <v>45879</v>
      </c>
      <c r="B13" s="14">
        <v>820.02359999999987</v>
      </c>
      <c r="C13" s="13">
        <v>44325.600000000006</v>
      </c>
    </row>
    <row r="14" spans="1:3" x14ac:dyDescent="0.25">
      <c r="A14" s="12">
        <v>45880</v>
      </c>
      <c r="B14" s="14">
        <v>823.27960000000007</v>
      </c>
      <c r="C14" s="13">
        <v>44501.600000000006</v>
      </c>
    </row>
    <row r="15" spans="1:3" x14ac:dyDescent="0.25">
      <c r="A15" s="12">
        <v>45881</v>
      </c>
      <c r="B15" s="14">
        <v>820.0236000000001</v>
      </c>
      <c r="C15" s="13">
        <v>44325.599999999999</v>
      </c>
    </row>
    <row r="16" spans="1:3" x14ac:dyDescent="0.25">
      <c r="A16" s="12">
        <v>45882</v>
      </c>
      <c r="B16" s="14">
        <v>824.01220000000001</v>
      </c>
      <c r="C16" s="13">
        <v>44541.200000000004</v>
      </c>
    </row>
    <row r="17" spans="1:3" x14ac:dyDescent="0.25">
      <c r="A17" s="12">
        <v>45883</v>
      </c>
      <c r="B17" s="14">
        <v>719.00620000000004</v>
      </c>
      <c r="C17" s="13">
        <v>38865.19999999999</v>
      </c>
    </row>
    <row r="18" spans="1:3" x14ac:dyDescent="0.25">
      <c r="A18" s="12">
        <v>45884</v>
      </c>
      <c r="B18" s="14">
        <v>829.62880000000018</v>
      </c>
      <c r="C18" s="13">
        <v>44844.80000000001</v>
      </c>
    </row>
    <row r="19" spans="1:3" x14ac:dyDescent="0.25">
      <c r="A19" s="12">
        <v>45885</v>
      </c>
      <c r="B19" s="14">
        <v>828.44849999999997</v>
      </c>
      <c r="C19" s="13">
        <v>44781</v>
      </c>
    </row>
    <row r="20" spans="1:3" x14ac:dyDescent="0.25">
      <c r="A20" s="12">
        <v>45886</v>
      </c>
      <c r="B20" s="14">
        <v>822.95399999999995</v>
      </c>
      <c r="C20" s="13">
        <v>44484.000000000007</v>
      </c>
    </row>
    <row r="21" spans="1:3" x14ac:dyDescent="0.25">
      <c r="A21" s="12">
        <v>45887</v>
      </c>
      <c r="B21" s="14">
        <v>824.37850000000014</v>
      </c>
      <c r="C21" s="13">
        <v>44561</v>
      </c>
    </row>
    <row r="22" spans="1:3" x14ac:dyDescent="0.25">
      <c r="A22" s="12">
        <v>45888</v>
      </c>
      <c r="B22" s="14">
        <v>817.86650000000009</v>
      </c>
      <c r="C22" s="13">
        <v>44209.000000000015</v>
      </c>
    </row>
    <row r="23" spans="1:3" x14ac:dyDescent="0.25">
      <c r="A23" s="12">
        <v>45889</v>
      </c>
      <c r="B23" s="14">
        <v>825.7623000000001</v>
      </c>
      <c r="C23" s="13">
        <v>44635.8</v>
      </c>
    </row>
    <row r="24" spans="1:3" x14ac:dyDescent="0.25">
      <c r="A24" s="12">
        <v>45890</v>
      </c>
      <c r="B24" s="14">
        <v>830.76839999999993</v>
      </c>
      <c r="C24" s="13">
        <v>44906.400000000016</v>
      </c>
    </row>
    <row r="25" spans="1:3" x14ac:dyDescent="0.25">
      <c r="A25" s="12">
        <v>45891</v>
      </c>
      <c r="B25" s="14">
        <v>833.4545999999998</v>
      </c>
      <c r="C25" s="13">
        <v>45051.600000000013</v>
      </c>
    </row>
    <row r="26" spans="1:3" x14ac:dyDescent="0.25">
      <c r="A26" s="12">
        <v>45892</v>
      </c>
      <c r="B26" s="14">
        <v>824.33780000000024</v>
      </c>
      <c r="C26" s="13">
        <v>44558.8</v>
      </c>
    </row>
    <row r="27" spans="1:3" x14ac:dyDescent="0.25">
      <c r="A27" s="12">
        <v>45893</v>
      </c>
      <c r="B27" s="14">
        <v>828.16359999999997</v>
      </c>
      <c r="C27" s="13">
        <v>44765.600000000006</v>
      </c>
    </row>
    <row r="28" spans="1:3" x14ac:dyDescent="0.25">
      <c r="A28" s="12">
        <v>45894</v>
      </c>
      <c r="B28" s="14">
        <v>821.28530000000001</v>
      </c>
      <c r="C28" s="13">
        <v>44393.799999999996</v>
      </c>
    </row>
    <row r="29" spans="1:3" x14ac:dyDescent="0.25">
      <c r="A29" s="12">
        <v>45895</v>
      </c>
      <c r="B29" s="14">
        <v>825.51810000000012</v>
      </c>
      <c r="C29" s="13">
        <v>44622.600000000006</v>
      </c>
    </row>
    <row r="30" spans="1:3" x14ac:dyDescent="0.25">
      <c r="A30" s="12">
        <v>45896</v>
      </c>
      <c r="B30" s="14">
        <v>825.31460000000004</v>
      </c>
      <c r="C30" s="13">
        <v>44611.6</v>
      </c>
    </row>
    <row r="31" spans="1:3" x14ac:dyDescent="0.25">
      <c r="A31" s="12">
        <v>45897</v>
      </c>
      <c r="B31" s="14">
        <v>831.78590000000031</v>
      </c>
      <c r="C31" s="13">
        <v>44961.400000000009</v>
      </c>
    </row>
    <row r="32" spans="1:3" x14ac:dyDescent="0.25">
      <c r="A32" s="12">
        <v>45898</v>
      </c>
      <c r="B32" s="14">
        <v>830.56489999999997</v>
      </c>
      <c r="C32" s="13">
        <v>44895.400000000009</v>
      </c>
    </row>
    <row r="33" spans="1:3" x14ac:dyDescent="0.25">
      <c r="A33" s="12">
        <v>45899</v>
      </c>
      <c r="B33" s="14">
        <v>827.26820000000009</v>
      </c>
      <c r="C33" s="13">
        <v>44717.200000000012</v>
      </c>
    </row>
    <row r="34" spans="1:3" x14ac:dyDescent="0.25">
      <c r="A34" s="12">
        <v>45900</v>
      </c>
      <c r="B34" s="14">
        <v>764.1017999999998</v>
      </c>
      <c r="C34" s="13">
        <v>41302.800000000003</v>
      </c>
    </row>
    <row r="35" spans="1:3" x14ac:dyDescent="0.25">
      <c r="A35" s="12" t="s">
        <v>99</v>
      </c>
      <c r="B35" s="14">
        <v>25326.999500000005</v>
      </c>
      <c r="C35" s="13">
        <v>1369027.0000000002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0"/>
  <sheetViews>
    <sheetView tabSelected="1" workbookViewId="0">
      <selection activeCell="E11" sqref="E11"/>
    </sheetView>
  </sheetViews>
  <sheetFormatPr defaultColWidth="8.85546875" defaultRowHeight="15" x14ac:dyDescent="0.25"/>
  <cols>
    <col min="1" max="1" width="10" style="10" bestFit="1" customWidth="1"/>
    <col min="2" max="2" width="30" bestFit="1" customWidth="1"/>
    <col min="6" max="6" width="13.28515625" bestFit="1" customWidth="1"/>
  </cols>
  <sheetData>
    <row r="1" spans="1:6" x14ac:dyDescent="0.25">
      <c r="A1" s="8" t="s">
        <v>95</v>
      </c>
      <c r="B1" s="3" t="s">
        <v>96</v>
      </c>
      <c r="C1" s="2" t="s">
        <v>89</v>
      </c>
      <c r="D1" s="2" t="s">
        <v>90</v>
      </c>
      <c r="E1" s="2" t="s">
        <v>92</v>
      </c>
      <c r="F1" s="2" t="s">
        <v>97</v>
      </c>
    </row>
    <row r="2" spans="1:6" x14ac:dyDescent="0.25">
      <c r="A2" s="9">
        <v>45870</v>
      </c>
      <c r="B2" s="1" t="s">
        <v>0</v>
      </c>
      <c r="C2" s="4">
        <v>13184.6</v>
      </c>
      <c r="D2" s="5">
        <v>243.91509999999994</v>
      </c>
      <c r="E2" s="6">
        <v>169</v>
      </c>
      <c r="F2" s="7">
        <v>2.8199566160520606E-2</v>
      </c>
    </row>
    <row r="3" spans="1:6" x14ac:dyDescent="0.25">
      <c r="A3" s="9">
        <f t="shared" ref="A3:A4" si="0">A2</f>
        <v>45870</v>
      </c>
      <c r="B3" s="1" t="s">
        <v>1</v>
      </c>
      <c r="C3" s="4">
        <v>13173.599999999999</v>
      </c>
      <c r="D3" s="5">
        <v>243.7116</v>
      </c>
      <c r="E3" s="6">
        <v>0</v>
      </c>
      <c r="F3" s="7">
        <v>0</v>
      </c>
    </row>
    <row r="4" spans="1:6" x14ac:dyDescent="0.25">
      <c r="A4" s="9">
        <f t="shared" si="0"/>
        <v>45870</v>
      </c>
      <c r="B4" s="1" t="s">
        <v>2</v>
      </c>
      <c r="C4" s="4">
        <v>13373.800000000001</v>
      </c>
      <c r="D4" s="5">
        <v>247.4153</v>
      </c>
      <c r="E4" s="6">
        <v>0</v>
      </c>
      <c r="F4" s="7">
        <v>0</v>
      </c>
    </row>
    <row r="5" spans="1:6" x14ac:dyDescent="0.25">
      <c r="A5" s="9">
        <v>45871</v>
      </c>
      <c r="B5" s="1" t="s">
        <v>3</v>
      </c>
      <c r="C5" s="4">
        <v>14946.800000000005</v>
      </c>
      <c r="D5" s="5">
        <v>276.51580000000001</v>
      </c>
      <c r="E5" s="6">
        <v>222</v>
      </c>
      <c r="F5" s="7">
        <v>3.2675890491610245E-2</v>
      </c>
    </row>
    <row r="6" spans="1:6" x14ac:dyDescent="0.25">
      <c r="A6" s="9">
        <f t="shared" ref="A6:A7" si="1">A5</f>
        <v>45871</v>
      </c>
      <c r="B6" s="1" t="s">
        <v>4</v>
      </c>
      <c r="C6" s="4">
        <v>14709.200000000003</v>
      </c>
      <c r="D6" s="5">
        <v>272.12020000000001</v>
      </c>
      <c r="E6" s="6">
        <v>0</v>
      </c>
      <c r="F6" s="7">
        <v>0</v>
      </c>
    </row>
    <row r="7" spans="1:6" x14ac:dyDescent="0.25">
      <c r="A7" s="9">
        <f t="shared" si="1"/>
        <v>45871</v>
      </c>
      <c r="B7" s="1" t="s">
        <v>5</v>
      </c>
      <c r="C7" s="4">
        <v>14841.199999999995</v>
      </c>
      <c r="D7" s="5">
        <v>274.56219999999996</v>
      </c>
      <c r="E7" s="6">
        <v>0</v>
      </c>
      <c r="F7" s="7">
        <v>0</v>
      </c>
    </row>
    <row r="8" spans="1:6" x14ac:dyDescent="0.25">
      <c r="A8" s="9">
        <v>45872</v>
      </c>
      <c r="B8" s="1" t="s">
        <v>6</v>
      </c>
      <c r="C8" s="4">
        <v>14735.600000000002</v>
      </c>
      <c r="D8" s="5">
        <v>272.60860000000002</v>
      </c>
      <c r="E8" s="6">
        <v>213</v>
      </c>
      <c r="F8" s="7">
        <v>3.1800537473872799E-2</v>
      </c>
    </row>
    <row r="9" spans="1:6" x14ac:dyDescent="0.25">
      <c r="A9" s="9">
        <f t="shared" ref="A9:A10" si="2">A8</f>
        <v>45872</v>
      </c>
      <c r="B9" s="1" t="s">
        <v>7</v>
      </c>
      <c r="C9" s="4">
        <v>14823.600000000002</v>
      </c>
      <c r="D9" s="5">
        <v>274.23660000000007</v>
      </c>
      <c r="E9" s="6">
        <v>0</v>
      </c>
      <c r="F9" s="7">
        <v>0</v>
      </c>
    </row>
    <row r="10" spans="1:6" x14ac:dyDescent="0.25">
      <c r="A10" s="9">
        <f t="shared" si="2"/>
        <v>45872</v>
      </c>
      <c r="B10" s="1" t="s">
        <v>8</v>
      </c>
      <c r="C10" s="4">
        <v>15012.800000000001</v>
      </c>
      <c r="D10" s="5">
        <v>277.73679999999996</v>
      </c>
      <c r="E10" s="6">
        <v>0</v>
      </c>
      <c r="F10" s="7">
        <v>0</v>
      </c>
    </row>
    <row r="11" spans="1:6" x14ac:dyDescent="0.25">
      <c r="A11" s="9">
        <v>45873</v>
      </c>
      <c r="B11" s="1" t="s">
        <v>9</v>
      </c>
      <c r="C11" s="4">
        <v>14834.600000000002</v>
      </c>
      <c r="D11" s="5">
        <v>274.44010000000003</v>
      </c>
      <c r="E11" s="6">
        <v>172</v>
      </c>
      <c r="F11" s="7">
        <v>2.5507934153937418E-2</v>
      </c>
    </row>
    <row r="12" spans="1:6" x14ac:dyDescent="0.25">
      <c r="A12" s="9">
        <f t="shared" ref="A12:A13" si="3">A11</f>
        <v>45873</v>
      </c>
      <c r="B12" s="1" t="s">
        <v>10</v>
      </c>
      <c r="C12" s="4">
        <v>14720.200000000003</v>
      </c>
      <c r="D12" s="5">
        <v>272.32369999999992</v>
      </c>
      <c r="E12" s="6">
        <v>0</v>
      </c>
      <c r="F12" s="7">
        <v>0</v>
      </c>
    </row>
    <row r="13" spans="1:6" x14ac:dyDescent="0.25">
      <c r="A13" s="9">
        <f t="shared" si="3"/>
        <v>45873</v>
      </c>
      <c r="B13" s="1" t="s">
        <v>11</v>
      </c>
      <c r="C13" s="4">
        <v>14902.800000000001</v>
      </c>
      <c r="D13" s="5">
        <v>275.70179999999999</v>
      </c>
      <c r="E13" s="6">
        <v>0</v>
      </c>
      <c r="F13" s="7">
        <v>0</v>
      </c>
    </row>
    <row r="14" spans="1:6" x14ac:dyDescent="0.25">
      <c r="A14" s="9">
        <v>45874</v>
      </c>
      <c r="B14" s="1" t="s">
        <v>12</v>
      </c>
      <c r="C14" s="4">
        <v>15096.4</v>
      </c>
      <c r="D14" s="5">
        <v>279.28340000000003</v>
      </c>
      <c r="E14" s="6">
        <v>198</v>
      </c>
      <c r="F14" s="7">
        <v>2.88545613523754E-2</v>
      </c>
    </row>
    <row r="15" spans="1:6" x14ac:dyDescent="0.25">
      <c r="A15" s="9">
        <f t="shared" ref="A15:A16" si="4">A14</f>
        <v>45874</v>
      </c>
      <c r="B15" s="1" t="s">
        <v>13</v>
      </c>
      <c r="C15" s="4">
        <v>14669.600000000002</v>
      </c>
      <c r="D15" s="5">
        <v>271.38760000000008</v>
      </c>
      <c r="E15" s="6">
        <v>0</v>
      </c>
      <c r="F15" s="7">
        <v>0</v>
      </c>
    </row>
    <row r="16" spans="1:6" x14ac:dyDescent="0.25">
      <c r="A16" s="9">
        <f t="shared" si="4"/>
        <v>45874</v>
      </c>
      <c r="B16" s="1" t="s">
        <v>14</v>
      </c>
      <c r="C16" s="4">
        <v>14665.2</v>
      </c>
      <c r="D16" s="5">
        <v>271.30619999999999</v>
      </c>
      <c r="E16" s="6">
        <v>0</v>
      </c>
      <c r="F16" s="7">
        <v>0</v>
      </c>
    </row>
    <row r="17" spans="1:6" x14ac:dyDescent="0.25">
      <c r="A17" s="9">
        <v>45875</v>
      </c>
      <c r="B17" s="1" t="s">
        <v>15</v>
      </c>
      <c r="C17" s="4">
        <v>14872.000000000002</v>
      </c>
      <c r="D17" s="5">
        <v>275.13200000000006</v>
      </c>
      <c r="E17" s="6">
        <v>172</v>
      </c>
      <c r="F17" s="7">
        <v>2.5443786982248522E-2</v>
      </c>
    </row>
    <row r="18" spans="1:6" x14ac:dyDescent="0.25">
      <c r="A18" s="9">
        <f t="shared" ref="A18:A19" si="5">A17</f>
        <v>45875</v>
      </c>
      <c r="B18" s="1" t="s">
        <v>16</v>
      </c>
      <c r="C18" s="4">
        <v>15001.800000000005</v>
      </c>
      <c r="D18" s="5">
        <v>277.53330000000005</v>
      </c>
      <c r="E18" s="6">
        <v>0</v>
      </c>
      <c r="F18" s="7">
        <v>0</v>
      </c>
    </row>
    <row r="19" spans="1:6" x14ac:dyDescent="0.25">
      <c r="A19" s="9">
        <f t="shared" si="5"/>
        <v>45875</v>
      </c>
      <c r="B19" s="1" t="s">
        <v>17</v>
      </c>
      <c r="C19" s="4">
        <v>14506.8</v>
      </c>
      <c r="D19" s="5">
        <v>268.37580000000003</v>
      </c>
      <c r="E19" s="6">
        <v>0</v>
      </c>
      <c r="F19" s="7">
        <v>0</v>
      </c>
    </row>
    <row r="20" spans="1:6" x14ac:dyDescent="0.25">
      <c r="A20" s="9">
        <v>45876</v>
      </c>
      <c r="B20" s="1" t="s">
        <v>18</v>
      </c>
      <c r="C20" s="4">
        <v>15021.6</v>
      </c>
      <c r="D20" s="5">
        <v>277.89959999999996</v>
      </c>
      <c r="E20" s="6">
        <v>196</v>
      </c>
      <c r="F20" s="7">
        <v>2.8705330990041009E-2</v>
      </c>
    </row>
    <row r="21" spans="1:6" x14ac:dyDescent="0.25">
      <c r="A21" s="9">
        <f t="shared" ref="A21:A22" si="6">A20</f>
        <v>45876</v>
      </c>
      <c r="B21" s="1" t="s">
        <v>19</v>
      </c>
      <c r="C21" s="4">
        <v>14792.8</v>
      </c>
      <c r="D21" s="5">
        <v>273.66680000000002</v>
      </c>
      <c r="E21" s="6">
        <v>0</v>
      </c>
      <c r="F21" s="7">
        <v>0</v>
      </c>
    </row>
    <row r="22" spans="1:6" x14ac:dyDescent="0.25">
      <c r="A22" s="9">
        <f t="shared" si="6"/>
        <v>45876</v>
      </c>
      <c r="B22" s="1" t="s">
        <v>20</v>
      </c>
      <c r="C22" s="4">
        <v>15039.2</v>
      </c>
      <c r="D22" s="5">
        <v>278.22520000000003</v>
      </c>
      <c r="E22" s="6">
        <v>0</v>
      </c>
      <c r="F22" s="7">
        <v>0</v>
      </c>
    </row>
    <row r="23" spans="1:6" x14ac:dyDescent="0.25">
      <c r="A23" s="9">
        <v>45877</v>
      </c>
      <c r="B23" s="1" t="s">
        <v>21</v>
      </c>
      <c r="C23" s="4">
        <v>14733.400000000001</v>
      </c>
      <c r="D23" s="5">
        <v>272.56790000000001</v>
      </c>
      <c r="E23" s="6">
        <v>163</v>
      </c>
      <c r="F23" s="7">
        <v>2.4339256383455278E-2</v>
      </c>
    </row>
    <row r="24" spans="1:6" x14ac:dyDescent="0.25">
      <c r="A24" s="9">
        <f t="shared" ref="A24:A25" si="7">A23</f>
        <v>45877</v>
      </c>
      <c r="B24" s="1" t="s">
        <v>22</v>
      </c>
      <c r="C24" s="4">
        <v>14812.6</v>
      </c>
      <c r="D24" s="5">
        <v>274.0331000000001</v>
      </c>
      <c r="E24" s="6">
        <v>0</v>
      </c>
      <c r="F24" s="7">
        <v>0</v>
      </c>
    </row>
    <row r="25" spans="1:6" x14ac:dyDescent="0.25">
      <c r="A25" s="9">
        <f t="shared" si="7"/>
        <v>45877</v>
      </c>
      <c r="B25" s="1" t="s">
        <v>23</v>
      </c>
      <c r="C25" s="4">
        <v>14878.600000000002</v>
      </c>
      <c r="D25" s="5">
        <v>275.25409999999999</v>
      </c>
      <c r="E25" s="6">
        <v>0</v>
      </c>
      <c r="F25" s="7">
        <v>0</v>
      </c>
    </row>
    <row r="26" spans="1:6" x14ac:dyDescent="0.25">
      <c r="A26" s="9">
        <v>45878</v>
      </c>
      <c r="B26" s="1" t="s">
        <v>24</v>
      </c>
      <c r="C26" s="4">
        <v>14876.4</v>
      </c>
      <c r="D26" s="5">
        <v>275.21340000000004</v>
      </c>
      <c r="E26" s="6">
        <v>210</v>
      </c>
      <c r="F26" s="7">
        <v>3.1055900621118012E-2</v>
      </c>
    </row>
    <row r="27" spans="1:6" x14ac:dyDescent="0.25">
      <c r="A27" s="9">
        <f t="shared" ref="A27:A28" si="8">A26</f>
        <v>45878</v>
      </c>
      <c r="B27" s="1" t="s">
        <v>25</v>
      </c>
      <c r="C27" s="4">
        <v>14977.599999999999</v>
      </c>
      <c r="D27" s="5">
        <v>277.08560000000006</v>
      </c>
      <c r="E27" s="6">
        <v>0</v>
      </c>
      <c r="F27" s="7">
        <v>0</v>
      </c>
    </row>
    <row r="28" spans="1:6" x14ac:dyDescent="0.25">
      <c r="A28" s="9">
        <f t="shared" si="8"/>
        <v>45878</v>
      </c>
      <c r="B28" s="1" t="s">
        <v>26</v>
      </c>
      <c r="C28" s="4">
        <v>14962.2</v>
      </c>
      <c r="D28" s="5">
        <v>276.80069999999989</v>
      </c>
      <c r="E28" s="6">
        <v>0</v>
      </c>
      <c r="F28" s="7">
        <v>0</v>
      </c>
    </row>
    <row r="29" spans="1:6" x14ac:dyDescent="0.25">
      <c r="A29" s="9">
        <v>45879</v>
      </c>
      <c r="B29" s="1" t="s">
        <v>27</v>
      </c>
      <c r="C29" s="4">
        <v>14702.600000000002</v>
      </c>
      <c r="D29" s="5">
        <v>271.99810000000002</v>
      </c>
      <c r="E29" s="6">
        <v>209</v>
      </c>
      <c r="F29" s="7">
        <v>3.1273380218464764E-2</v>
      </c>
    </row>
    <row r="30" spans="1:6" x14ac:dyDescent="0.25">
      <c r="A30" s="9">
        <f t="shared" ref="A30:A31" si="9">A29</f>
        <v>45879</v>
      </c>
      <c r="B30" s="1" t="s">
        <v>28</v>
      </c>
      <c r="C30" s="4">
        <v>14878.600000000006</v>
      </c>
      <c r="D30" s="5">
        <v>275.25409999999994</v>
      </c>
      <c r="E30" s="6">
        <v>0</v>
      </c>
      <c r="F30" s="7">
        <v>0</v>
      </c>
    </row>
    <row r="31" spans="1:6" x14ac:dyDescent="0.25">
      <c r="A31" s="9">
        <f t="shared" si="9"/>
        <v>45879</v>
      </c>
      <c r="B31" s="1" t="s">
        <v>29</v>
      </c>
      <c r="C31" s="4">
        <v>14744.400000000001</v>
      </c>
      <c r="D31" s="5">
        <v>272.77139999999997</v>
      </c>
      <c r="E31" s="6">
        <v>0</v>
      </c>
      <c r="F31" s="7">
        <v>0</v>
      </c>
    </row>
    <row r="32" spans="1:6" x14ac:dyDescent="0.25">
      <c r="A32" s="9">
        <v>45880</v>
      </c>
      <c r="B32" s="1" t="s">
        <v>30</v>
      </c>
      <c r="C32" s="4">
        <v>15120.600000000002</v>
      </c>
      <c r="D32" s="5">
        <v>279.73109999999997</v>
      </c>
      <c r="E32" s="6">
        <v>168</v>
      </c>
      <c r="F32" s="7">
        <v>2.4443474465298997E-2</v>
      </c>
    </row>
    <row r="33" spans="1:6" x14ac:dyDescent="0.25">
      <c r="A33" s="9">
        <f t="shared" ref="A33:A34" si="10">A32</f>
        <v>45880</v>
      </c>
      <c r="B33" s="1" t="s">
        <v>31</v>
      </c>
      <c r="C33" s="4">
        <v>14744.4</v>
      </c>
      <c r="D33" s="5">
        <v>272.77140000000003</v>
      </c>
      <c r="E33" s="6">
        <v>0</v>
      </c>
      <c r="F33" s="7">
        <v>0</v>
      </c>
    </row>
    <row r="34" spans="1:6" x14ac:dyDescent="0.25">
      <c r="A34" s="9">
        <f t="shared" si="10"/>
        <v>45880</v>
      </c>
      <c r="B34" s="1" t="s">
        <v>32</v>
      </c>
      <c r="C34" s="4">
        <v>14636.600000000002</v>
      </c>
      <c r="D34" s="5">
        <v>270.77710000000002</v>
      </c>
      <c r="E34" s="6">
        <v>0</v>
      </c>
      <c r="F34" s="7">
        <v>0</v>
      </c>
    </row>
    <row r="35" spans="1:6" x14ac:dyDescent="0.25">
      <c r="A35" s="9">
        <v>45881</v>
      </c>
      <c r="B35" s="1" t="s">
        <v>33</v>
      </c>
      <c r="C35" s="4">
        <v>14651.999999999996</v>
      </c>
      <c r="D35" s="5">
        <v>271.06200000000007</v>
      </c>
      <c r="E35" s="6">
        <v>131</v>
      </c>
      <c r="F35" s="7">
        <v>1.9669669669669671E-2</v>
      </c>
    </row>
    <row r="36" spans="1:6" x14ac:dyDescent="0.25">
      <c r="A36" s="9">
        <f t="shared" ref="A36:A37" si="11">A35</f>
        <v>45881</v>
      </c>
      <c r="B36" s="1" t="s">
        <v>34</v>
      </c>
      <c r="C36" s="4">
        <v>14599.200000000003</v>
      </c>
      <c r="D36" s="5">
        <v>270.08520000000004</v>
      </c>
      <c r="E36" s="6">
        <v>0</v>
      </c>
      <c r="F36" s="7">
        <v>0</v>
      </c>
    </row>
    <row r="37" spans="1:6" x14ac:dyDescent="0.25">
      <c r="A37" s="9">
        <f t="shared" si="11"/>
        <v>45881</v>
      </c>
      <c r="B37" s="1" t="s">
        <v>35</v>
      </c>
      <c r="C37" s="4">
        <v>15074.400000000001</v>
      </c>
      <c r="D37" s="5">
        <v>278.87639999999999</v>
      </c>
      <c r="E37" s="6">
        <v>0</v>
      </c>
      <c r="F37" s="7">
        <v>0</v>
      </c>
    </row>
    <row r="38" spans="1:6" x14ac:dyDescent="0.25">
      <c r="A38" s="9">
        <v>45882</v>
      </c>
      <c r="B38" s="1" t="s">
        <v>36</v>
      </c>
      <c r="C38" s="4">
        <v>14889.600000000002</v>
      </c>
      <c r="D38" s="5">
        <v>275.45760000000001</v>
      </c>
      <c r="E38" s="6">
        <v>164</v>
      </c>
      <c r="F38" s="7">
        <v>2.4231678486997636E-2</v>
      </c>
    </row>
    <row r="39" spans="1:6" x14ac:dyDescent="0.25">
      <c r="A39" s="9">
        <f t="shared" ref="A39:A40" si="12">A38</f>
        <v>45882</v>
      </c>
      <c r="B39" s="1" t="s">
        <v>37</v>
      </c>
      <c r="C39" s="4">
        <v>14748.800000000003</v>
      </c>
      <c r="D39" s="5">
        <v>272.85280000000012</v>
      </c>
      <c r="E39" s="6">
        <v>0</v>
      </c>
      <c r="F39" s="7">
        <v>0</v>
      </c>
    </row>
    <row r="40" spans="1:6" x14ac:dyDescent="0.25">
      <c r="A40" s="9">
        <f t="shared" si="12"/>
        <v>45882</v>
      </c>
      <c r="B40" s="1" t="s">
        <v>38</v>
      </c>
      <c r="C40" s="4">
        <v>14902.8</v>
      </c>
      <c r="D40" s="5">
        <v>275.70179999999993</v>
      </c>
      <c r="E40" s="6">
        <v>0</v>
      </c>
      <c r="F40" s="7">
        <v>0</v>
      </c>
    </row>
    <row r="41" spans="1:6" x14ac:dyDescent="0.25">
      <c r="A41" s="9">
        <v>45883</v>
      </c>
      <c r="B41" s="1" t="s">
        <v>39</v>
      </c>
      <c r="C41" s="4">
        <v>12902.999999999998</v>
      </c>
      <c r="D41" s="5">
        <v>238.70549999999997</v>
      </c>
      <c r="E41" s="6">
        <v>147</v>
      </c>
      <c r="F41" s="7">
        <v>2.5063938618925832E-2</v>
      </c>
    </row>
    <row r="42" spans="1:6" x14ac:dyDescent="0.25">
      <c r="A42" s="9">
        <f t="shared" ref="A42:A43" si="13">A41</f>
        <v>45883</v>
      </c>
      <c r="B42" s="1" t="s">
        <v>40</v>
      </c>
      <c r="C42" s="4">
        <v>13001.999999999996</v>
      </c>
      <c r="D42" s="5">
        <v>240.53700000000003</v>
      </c>
      <c r="E42" s="6">
        <v>0</v>
      </c>
      <c r="F42" s="7">
        <v>0</v>
      </c>
    </row>
    <row r="43" spans="1:6" x14ac:dyDescent="0.25">
      <c r="A43" s="9">
        <f t="shared" si="13"/>
        <v>45883</v>
      </c>
      <c r="B43" s="1" t="s">
        <v>41</v>
      </c>
      <c r="C43" s="4">
        <v>12960.199999999997</v>
      </c>
      <c r="D43" s="5">
        <v>239.76370000000003</v>
      </c>
      <c r="E43" s="6">
        <v>0</v>
      </c>
      <c r="F43" s="7">
        <v>0</v>
      </c>
    </row>
    <row r="44" spans="1:6" x14ac:dyDescent="0.25">
      <c r="A44" s="9">
        <v>45884</v>
      </c>
      <c r="B44" s="1" t="s">
        <v>42</v>
      </c>
      <c r="C44" s="4">
        <v>14975.4</v>
      </c>
      <c r="D44" s="5">
        <v>277.04489999999998</v>
      </c>
      <c r="E44" s="6">
        <v>202</v>
      </c>
      <c r="F44" s="7">
        <v>2.9675334214778904E-2</v>
      </c>
    </row>
    <row r="45" spans="1:6" x14ac:dyDescent="0.25">
      <c r="A45" s="9">
        <f t="shared" ref="A45:A46" si="14">A44</f>
        <v>45884</v>
      </c>
      <c r="B45" s="1" t="s">
        <v>43</v>
      </c>
      <c r="C45" s="4">
        <v>14768.600000000006</v>
      </c>
      <c r="D45" s="5">
        <v>273.21910000000008</v>
      </c>
      <c r="E45" s="6">
        <v>0</v>
      </c>
      <c r="F45" s="7">
        <v>0</v>
      </c>
    </row>
    <row r="46" spans="1:6" x14ac:dyDescent="0.25">
      <c r="A46" s="9">
        <f t="shared" si="14"/>
        <v>45884</v>
      </c>
      <c r="B46" s="1" t="s">
        <v>44</v>
      </c>
      <c r="C46" s="4">
        <v>15100.800000000001</v>
      </c>
      <c r="D46" s="5">
        <v>279.3648</v>
      </c>
      <c r="E46" s="6">
        <v>0</v>
      </c>
      <c r="F46" s="7">
        <v>0</v>
      </c>
    </row>
    <row r="47" spans="1:6" x14ac:dyDescent="0.25">
      <c r="A47" s="9">
        <v>45885</v>
      </c>
      <c r="B47" s="1" t="s">
        <v>45</v>
      </c>
      <c r="C47" s="4">
        <v>14865.399999999998</v>
      </c>
      <c r="D47" s="5">
        <v>275.00990000000002</v>
      </c>
      <c r="E47" s="6">
        <v>196</v>
      </c>
      <c r="F47" s="7">
        <v>2.9006955749593014E-2</v>
      </c>
    </row>
    <row r="48" spans="1:6" x14ac:dyDescent="0.25">
      <c r="A48" s="9">
        <f t="shared" ref="A48:A49" si="15">A47</f>
        <v>45885</v>
      </c>
      <c r="B48" s="1" t="s">
        <v>46</v>
      </c>
      <c r="C48" s="4">
        <v>14966.600000000002</v>
      </c>
      <c r="D48" s="5">
        <v>276.88210000000004</v>
      </c>
      <c r="E48" s="6">
        <v>0</v>
      </c>
      <c r="F48" s="7">
        <v>0</v>
      </c>
    </row>
    <row r="49" spans="1:6" x14ac:dyDescent="0.25">
      <c r="A49" s="9">
        <f t="shared" si="15"/>
        <v>45885</v>
      </c>
      <c r="B49" s="1" t="s">
        <v>47</v>
      </c>
      <c r="C49" s="4">
        <v>14948.999999999998</v>
      </c>
      <c r="D49" s="5">
        <v>276.55649999999997</v>
      </c>
      <c r="E49" s="6">
        <v>0</v>
      </c>
      <c r="F49" s="7">
        <v>0</v>
      </c>
    </row>
    <row r="50" spans="1:6" x14ac:dyDescent="0.25">
      <c r="A50" s="9">
        <v>45886</v>
      </c>
      <c r="B50" s="1" t="s">
        <v>48</v>
      </c>
      <c r="C50" s="4">
        <v>14744.4</v>
      </c>
      <c r="D50" s="5">
        <v>272.77140000000003</v>
      </c>
      <c r="E50" s="6">
        <v>199</v>
      </c>
      <c r="F50" s="7">
        <v>2.9692629065950462E-2</v>
      </c>
    </row>
    <row r="51" spans="1:6" x14ac:dyDescent="0.25">
      <c r="A51" s="9">
        <f t="shared" ref="A51:A52" si="16">A50</f>
        <v>45886</v>
      </c>
      <c r="B51" s="1" t="s">
        <v>49</v>
      </c>
      <c r="C51" s="4">
        <v>15074.400000000001</v>
      </c>
      <c r="D51" s="5">
        <v>278.87639999999999</v>
      </c>
      <c r="E51" s="6">
        <v>0</v>
      </c>
      <c r="F51" s="7">
        <v>0</v>
      </c>
    </row>
    <row r="52" spans="1:6" x14ac:dyDescent="0.25">
      <c r="A52" s="9">
        <f t="shared" si="16"/>
        <v>45886</v>
      </c>
      <c r="B52" s="1" t="s">
        <v>50</v>
      </c>
      <c r="C52" s="4">
        <v>14665.200000000006</v>
      </c>
      <c r="D52" s="5">
        <v>271.30619999999999</v>
      </c>
      <c r="E52" s="6">
        <v>0</v>
      </c>
      <c r="F52" s="7">
        <v>0</v>
      </c>
    </row>
    <row r="53" spans="1:6" x14ac:dyDescent="0.25">
      <c r="A53" s="9">
        <v>45887</v>
      </c>
      <c r="B53" s="1" t="s">
        <v>51</v>
      </c>
      <c r="C53" s="4">
        <v>14597</v>
      </c>
      <c r="D53" s="5">
        <v>270.04450000000003</v>
      </c>
      <c r="E53" s="6">
        <v>157</v>
      </c>
      <c r="F53" s="7">
        <v>2.3662396382818387E-2</v>
      </c>
    </row>
    <row r="54" spans="1:6" x14ac:dyDescent="0.25">
      <c r="A54" s="9">
        <f t="shared" ref="A54:A55" si="17">A53</f>
        <v>45887</v>
      </c>
      <c r="B54" s="1" t="s">
        <v>52</v>
      </c>
      <c r="C54" s="4">
        <v>14845.600000000004</v>
      </c>
      <c r="D54" s="5">
        <v>274.64359999999999</v>
      </c>
      <c r="E54" s="6">
        <v>0</v>
      </c>
      <c r="F54" s="7">
        <v>0</v>
      </c>
    </row>
    <row r="55" spans="1:6" x14ac:dyDescent="0.25">
      <c r="A55" s="9">
        <f t="shared" si="17"/>
        <v>45887</v>
      </c>
      <c r="B55" s="1" t="s">
        <v>53</v>
      </c>
      <c r="C55" s="4">
        <v>15118.399999999998</v>
      </c>
      <c r="D55" s="5">
        <v>279.69040000000007</v>
      </c>
      <c r="E55" s="6">
        <v>0</v>
      </c>
      <c r="F55" s="7">
        <v>0</v>
      </c>
    </row>
    <row r="56" spans="1:6" x14ac:dyDescent="0.25">
      <c r="A56" s="9">
        <v>45888</v>
      </c>
      <c r="B56" s="1" t="s">
        <v>54</v>
      </c>
      <c r="C56" s="4">
        <v>14850.000000000004</v>
      </c>
      <c r="D56" s="5">
        <v>274.72500000000002</v>
      </c>
      <c r="E56" s="6">
        <v>143</v>
      </c>
      <c r="F56" s="7">
        <v>2.1185185185185185E-2</v>
      </c>
    </row>
    <row r="57" spans="1:6" x14ac:dyDescent="0.25">
      <c r="A57" s="9">
        <f t="shared" ref="A57:A58" si="18">A56</f>
        <v>45888</v>
      </c>
      <c r="B57" s="1" t="s">
        <v>55</v>
      </c>
      <c r="C57" s="4">
        <v>14592.600000000008</v>
      </c>
      <c r="D57" s="5">
        <v>269.96310000000005</v>
      </c>
      <c r="E57" s="6">
        <v>0</v>
      </c>
      <c r="F57" s="7">
        <v>0</v>
      </c>
    </row>
    <row r="58" spans="1:6" x14ac:dyDescent="0.25">
      <c r="A58" s="9">
        <f t="shared" si="18"/>
        <v>45888</v>
      </c>
      <c r="B58" s="1" t="s">
        <v>56</v>
      </c>
      <c r="C58" s="4">
        <v>14766.399999999998</v>
      </c>
      <c r="D58" s="5">
        <v>273.17840000000001</v>
      </c>
      <c r="E58" s="6">
        <v>0</v>
      </c>
      <c r="F58" s="7">
        <v>0</v>
      </c>
    </row>
    <row r="59" spans="1:6" x14ac:dyDescent="0.25">
      <c r="A59" s="9">
        <v>45889</v>
      </c>
      <c r="B59" s="1" t="s">
        <v>57</v>
      </c>
      <c r="C59" s="4">
        <v>14920.400000000003</v>
      </c>
      <c r="D59" s="5">
        <v>276.0274</v>
      </c>
      <c r="E59" s="6">
        <v>155</v>
      </c>
      <c r="F59" s="7">
        <v>2.2854615157770569E-2</v>
      </c>
    </row>
    <row r="60" spans="1:6" x14ac:dyDescent="0.25">
      <c r="A60" s="9">
        <f t="shared" ref="A60:A61" si="19">A59</f>
        <v>45889</v>
      </c>
      <c r="B60" s="1" t="s">
        <v>58</v>
      </c>
      <c r="C60" s="4">
        <v>14911.6</v>
      </c>
      <c r="D60" s="5">
        <v>275.8646</v>
      </c>
      <c r="E60" s="6">
        <v>0</v>
      </c>
      <c r="F60" s="7">
        <v>0</v>
      </c>
    </row>
    <row r="61" spans="1:6" x14ac:dyDescent="0.25">
      <c r="A61" s="9">
        <f t="shared" si="19"/>
        <v>45889</v>
      </c>
      <c r="B61" s="1" t="s">
        <v>59</v>
      </c>
      <c r="C61" s="4">
        <v>14803.800000000001</v>
      </c>
      <c r="D61" s="5">
        <v>273.87030000000004</v>
      </c>
      <c r="E61" s="6">
        <v>0</v>
      </c>
      <c r="F61" s="7">
        <v>0</v>
      </c>
    </row>
    <row r="62" spans="1:6" x14ac:dyDescent="0.25">
      <c r="A62" s="9">
        <v>45890</v>
      </c>
      <c r="B62" s="1" t="s">
        <v>60</v>
      </c>
      <c r="C62" s="4">
        <v>14762.000000000007</v>
      </c>
      <c r="D62" s="5">
        <v>273.09700000000004</v>
      </c>
      <c r="E62" s="6">
        <v>165</v>
      </c>
      <c r="F62" s="7">
        <v>2.4590163934426229E-2</v>
      </c>
    </row>
    <row r="63" spans="1:6" x14ac:dyDescent="0.25">
      <c r="A63" s="9">
        <f t="shared" ref="A63:A64" si="20">A62</f>
        <v>45890</v>
      </c>
      <c r="B63" s="1" t="s">
        <v>61</v>
      </c>
      <c r="C63" s="4">
        <v>14920.400000000001</v>
      </c>
      <c r="D63" s="5">
        <v>276.02739999999994</v>
      </c>
      <c r="E63" s="6">
        <v>0</v>
      </c>
      <c r="F63" s="7">
        <v>0</v>
      </c>
    </row>
    <row r="64" spans="1:6" x14ac:dyDescent="0.25">
      <c r="A64" s="9">
        <f t="shared" si="20"/>
        <v>45890</v>
      </c>
      <c r="B64" s="1" t="s">
        <v>62</v>
      </c>
      <c r="C64" s="4">
        <v>15224.000000000005</v>
      </c>
      <c r="D64" s="5">
        <v>281.64399999999995</v>
      </c>
      <c r="E64" s="6">
        <v>0</v>
      </c>
      <c r="F64" s="7">
        <v>0</v>
      </c>
    </row>
    <row r="65" spans="1:6" x14ac:dyDescent="0.25">
      <c r="A65" s="9">
        <v>45891</v>
      </c>
      <c r="B65" s="1" t="s">
        <v>63</v>
      </c>
      <c r="C65" s="4">
        <v>15169.000000000004</v>
      </c>
      <c r="D65" s="5">
        <v>280.62649999999996</v>
      </c>
      <c r="E65" s="6">
        <v>199</v>
      </c>
      <c r="F65" s="7">
        <v>2.8861493836113125E-2</v>
      </c>
    </row>
    <row r="66" spans="1:6" x14ac:dyDescent="0.25">
      <c r="A66" s="9">
        <f t="shared" ref="A66:A67" si="21">A65</f>
        <v>45891</v>
      </c>
      <c r="B66" s="1" t="s">
        <v>64</v>
      </c>
      <c r="C66" s="4">
        <v>15197.6</v>
      </c>
      <c r="D66" s="5">
        <v>281.15559999999994</v>
      </c>
      <c r="E66" s="6">
        <v>0</v>
      </c>
      <c r="F66" s="7">
        <v>0</v>
      </c>
    </row>
    <row r="67" spans="1:6" x14ac:dyDescent="0.25">
      <c r="A67" s="9">
        <f t="shared" si="21"/>
        <v>45891</v>
      </c>
      <c r="B67" s="1" t="s">
        <v>65</v>
      </c>
      <c r="C67" s="4">
        <v>14685.000000000005</v>
      </c>
      <c r="D67" s="5">
        <v>271.67249999999996</v>
      </c>
      <c r="E67" s="6">
        <v>0</v>
      </c>
      <c r="F67" s="7">
        <v>0</v>
      </c>
    </row>
    <row r="68" spans="1:6" x14ac:dyDescent="0.25">
      <c r="A68" s="9">
        <v>45892</v>
      </c>
      <c r="B68" s="1" t="s">
        <v>66</v>
      </c>
      <c r="C68" s="4">
        <v>14625.599999999999</v>
      </c>
      <c r="D68" s="5">
        <v>270.57360000000006</v>
      </c>
      <c r="E68" s="6">
        <v>222</v>
      </c>
      <c r="F68" s="7">
        <v>3.3393501805054154E-2</v>
      </c>
    </row>
    <row r="69" spans="1:6" x14ac:dyDescent="0.25">
      <c r="A69" s="9">
        <f t="shared" ref="A69:A70" si="22">A68</f>
        <v>45892</v>
      </c>
      <c r="B69" s="1" t="s">
        <v>67</v>
      </c>
      <c r="C69" s="4">
        <v>14797.200000000003</v>
      </c>
      <c r="D69" s="5">
        <v>273.74820000000005</v>
      </c>
      <c r="E69" s="6">
        <v>0</v>
      </c>
      <c r="F69" s="7">
        <v>0</v>
      </c>
    </row>
    <row r="70" spans="1:6" x14ac:dyDescent="0.25">
      <c r="A70" s="9">
        <f t="shared" si="22"/>
        <v>45892</v>
      </c>
      <c r="B70" s="1" t="s">
        <v>68</v>
      </c>
      <c r="C70" s="4">
        <v>15135.999999999998</v>
      </c>
      <c r="D70" s="5">
        <v>280.01600000000008</v>
      </c>
      <c r="E70" s="6">
        <v>0</v>
      </c>
      <c r="F70" s="7">
        <v>0</v>
      </c>
    </row>
    <row r="71" spans="1:6" x14ac:dyDescent="0.25">
      <c r="A71" s="9">
        <v>45893</v>
      </c>
      <c r="B71" s="1" t="s">
        <v>69</v>
      </c>
      <c r="C71" s="4">
        <v>14775.2</v>
      </c>
      <c r="D71" s="5">
        <v>273.34120000000001</v>
      </c>
      <c r="E71" s="6">
        <v>184</v>
      </c>
      <c r="F71" s="7">
        <v>2.7397260273972601E-2</v>
      </c>
    </row>
    <row r="72" spans="1:6" x14ac:dyDescent="0.25">
      <c r="A72" s="9">
        <f t="shared" ref="A72:A73" si="23">A71</f>
        <v>45893</v>
      </c>
      <c r="B72" s="1" t="s">
        <v>70</v>
      </c>
      <c r="C72" s="4">
        <v>14975.400000000001</v>
      </c>
      <c r="D72" s="5">
        <v>277.04489999999998</v>
      </c>
      <c r="E72" s="6">
        <v>0</v>
      </c>
      <c r="F72" s="7">
        <v>0</v>
      </c>
    </row>
    <row r="73" spans="1:6" x14ac:dyDescent="0.25">
      <c r="A73" s="9">
        <f t="shared" si="23"/>
        <v>45893</v>
      </c>
      <c r="B73" s="1" t="s">
        <v>71</v>
      </c>
      <c r="C73" s="4">
        <v>15015</v>
      </c>
      <c r="D73" s="5">
        <v>277.77750000000003</v>
      </c>
      <c r="E73" s="6">
        <v>0</v>
      </c>
      <c r="F73" s="7">
        <v>0</v>
      </c>
    </row>
    <row r="74" spans="1:6" x14ac:dyDescent="0.25">
      <c r="A74" s="9">
        <v>45894</v>
      </c>
      <c r="B74" s="1" t="s">
        <v>72</v>
      </c>
      <c r="C74" s="4">
        <v>14740</v>
      </c>
      <c r="D74" s="5">
        <v>272.69</v>
      </c>
      <c r="E74" s="6">
        <v>162</v>
      </c>
      <c r="F74" s="7">
        <v>2.4179104477611939E-2</v>
      </c>
    </row>
    <row r="75" spans="1:6" x14ac:dyDescent="0.25">
      <c r="A75" s="9">
        <f t="shared" ref="A75:A76" si="24">A74</f>
        <v>45894</v>
      </c>
      <c r="B75" s="1" t="s">
        <v>73</v>
      </c>
      <c r="C75" s="4">
        <v>14834.599999999999</v>
      </c>
      <c r="D75" s="5">
        <v>274.44009999999997</v>
      </c>
      <c r="E75" s="6">
        <v>0</v>
      </c>
      <c r="F75" s="7">
        <v>0</v>
      </c>
    </row>
    <row r="76" spans="1:6" x14ac:dyDescent="0.25">
      <c r="A76" s="9">
        <f t="shared" si="24"/>
        <v>45894</v>
      </c>
      <c r="B76" s="1" t="s">
        <v>74</v>
      </c>
      <c r="C76" s="4">
        <v>14819.199999999999</v>
      </c>
      <c r="D76" s="5">
        <v>274.15520000000004</v>
      </c>
      <c r="E76" s="6">
        <v>0</v>
      </c>
      <c r="F76" s="7">
        <v>0</v>
      </c>
    </row>
    <row r="77" spans="1:6" x14ac:dyDescent="0.25">
      <c r="A77" s="9">
        <v>45895</v>
      </c>
      <c r="B77" s="1" t="s">
        <v>75</v>
      </c>
      <c r="C77" s="4">
        <v>14869.800000000003</v>
      </c>
      <c r="D77" s="5">
        <v>275.09129999999999</v>
      </c>
      <c r="E77" s="6">
        <v>180</v>
      </c>
      <c r="F77" s="7">
        <v>2.6631158455392809E-2</v>
      </c>
    </row>
    <row r="78" spans="1:6" x14ac:dyDescent="0.25">
      <c r="A78" s="9">
        <f t="shared" ref="A78:A79" si="25">A77</f>
        <v>45895</v>
      </c>
      <c r="B78" s="1" t="s">
        <v>76</v>
      </c>
      <c r="C78" s="4">
        <v>15004.000000000002</v>
      </c>
      <c r="D78" s="5">
        <v>277.57400000000001</v>
      </c>
      <c r="E78" s="6">
        <v>0</v>
      </c>
      <c r="F78" s="7">
        <v>0</v>
      </c>
    </row>
    <row r="79" spans="1:6" x14ac:dyDescent="0.25">
      <c r="A79" s="9">
        <f t="shared" si="25"/>
        <v>45895</v>
      </c>
      <c r="B79" s="1" t="s">
        <v>77</v>
      </c>
      <c r="C79" s="4">
        <v>14748.800000000003</v>
      </c>
      <c r="D79" s="5">
        <v>272.85280000000012</v>
      </c>
      <c r="E79" s="6">
        <v>0</v>
      </c>
      <c r="F79" s="7">
        <v>0</v>
      </c>
    </row>
    <row r="80" spans="1:6" x14ac:dyDescent="0.25">
      <c r="A80" s="9">
        <v>45896</v>
      </c>
      <c r="B80" s="1" t="s">
        <v>78</v>
      </c>
      <c r="C80" s="4">
        <v>14836.800000000001</v>
      </c>
      <c r="D80" s="5">
        <v>274.48079999999999</v>
      </c>
      <c r="E80" s="6">
        <v>148</v>
      </c>
      <c r="F80" s="7">
        <v>2.1945432977461446E-2</v>
      </c>
    </row>
    <row r="81" spans="1:6" x14ac:dyDescent="0.25">
      <c r="A81" s="9">
        <f t="shared" ref="A81:A82" si="26">A80</f>
        <v>45896</v>
      </c>
      <c r="B81" s="1" t="s">
        <v>79</v>
      </c>
      <c r="C81" s="4">
        <v>14935.799999999994</v>
      </c>
      <c r="D81" s="5">
        <v>276.31230000000005</v>
      </c>
      <c r="E81" s="6">
        <v>0</v>
      </c>
      <c r="F81" s="7">
        <v>0</v>
      </c>
    </row>
    <row r="82" spans="1:6" x14ac:dyDescent="0.25">
      <c r="A82" s="9">
        <f t="shared" si="26"/>
        <v>45896</v>
      </c>
      <c r="B82" s="1" t="s">
        <v>80</v>
      </c>
      <c r="C82" s="4">
        <v>14839.000000000004</v>
      </c>
      <c r="D82" s="5">
        <v>274.52149999999995</v>
      </c>
      <c r="E82" s="6">
        <v>0</v>
      </c>
      <c r="F82" s="7">
        <v>0</v>
      </c>
    </row>
    <row r="83" spans="1:6" x14ac:dyDescent="0.25">
      <c r="A83" s="9">
        <v>45897</v>
      </c>
      <c r="B83" s="1" t="s">
        <v>81</v>
      </c>
      <c r="C83" s="4">
        <v>9361</v>
      </c>
      <c r="D83" s="5">
        <v>173.17849999999999</v>
      </c>
      <c r="E83" s="6">
        <v>85</v>
      </c>
      <c r="F83" s="7">
        <v>1.9976498237367801E-2</v>
      </c>
    </row>
    <row r="84" spans="1:6" x14ac:dyDescent="0.25">
      <c r="A84" s="9">
        <f t="shared" ref="A84:A87" si="27">A83</f>
        <v>45897</v>
      </c>
      <c r="B84" s="1" t="s">
        <v>82</v>
      </c>
      <c r="C84" s="4">
        <v>14339.600000000004</v>
      </c>
      <c r="D84" s="5">
        <v>265.28260000000012</v>
      </c>
      <c r="E84" s="6">
        <v>0</v>
      </c>
      <c r="F84" s="7">
        <v>0</v>
      </c>
    </row>
    <row r="85" spans="1:6" x14ac:dyDescent="0.25">
      <c r="A85" s="9">
        <f t="shared" si="27"/>
        <v>45897</v>
      </c>
      <c r="B85" s="1" t="s">
        <v>83</v>
      </c>
      <c r="C85" s="4">
        <v>9838.4000000000015</v>
      </c>
      <c r="D85" s="5">
        <v>182.01040000000003</v>
      </c>
      <c r="E85" s="6">
        <v>0</v>
      </c>
      <c r="F85" s="7">
        <v>0</v>
      </c>
    </row>
    <row r="86" spans="1:6" x14ac:dyDescent="0.25">
      <c r="A86" s="9">
        <f t="shared" si="27"/>
        <v>45897</v>
      </c>
      <c r="B86" s="1" t="s">
        <v>84</v>
      </c>
      <c r="C86" s="4">
        <v>1872.2000000000007</v>
      </c>
      <c r="D86" s="5">
        <v>34.635699999999993</v>
      </c>
      <c r="E86" s="6">
        <v>0</v>
      </c>
      <c r="F86" s="7">
        <v>0</v>
      </c>
    </row>
    <row r="87" spans="1:6" x14ac:dyDescent="0.25">
      <c r="A87" s="9">
        <f t="shared" si="27"/>
        <v>45897</v>
      </c>
      <c r="B87" s="1" t="s">
        <v>85</v>
      </c>
      <c r="C87" s="4">
        <v>9550.2000000000007</v>
      </c>
      <c r="D87" s="5">
        <v>176.67870000000013</v>
      </c>
      <c r="E87" s="6">
        <v>0</v>
      </c>
      <c r="F87" s="7">
        <v>0</v>
      </c>
    </row>
    <row r="88" spans="1:6" x14ac:dyDescent="0.25">
      <c r="A88" s="9">
        <v>45898</v>
      </c>
      <c r="B88" s="1" t="s">
        <v>86</v>
      </c>
      <c r="C88" s="4">
        <v>44895.400000000009</v>
      </c>
      <c r="D88" s="5">
        <v>830.56489999999997</v>
      </c>
      <c r="E88" s="6">
        <v>0</v>
      </c>
      <c r="F88" s="7">
        <v>0</v>
      </c>
    </row>
    <row r="89" spans="1:6" x14ac:dyDescent="0.25">
      <c r="A89" s="9">
        <v>45899</v>
      </c>
      <c r="B89" s="1" t="s">
        <v>87</v>
      </c>
      <c r="C89" s="4">
        <v>44717.200000000012</v>
      </c>
      <c r="D89" s="5">
        <v>827.26820000000009</v>
      </c>
      <c r="E89" s="6">
        <v>0</v>
      </c>
      <c r="F89" s="7">
        <v>0</v>
      </c>
    </row>
    <row r="90" spans="1:6" x14ac:dyDescent="0.25">
      <c r="A90" s="9">
        <v>45900</v>
      </c>
      <c r="B90" s="1" t="s">
        <v>88</v>
      </c>
      <c r="C90" s="4">
        <v>41302.800000000003</v>
      </c>
      <c r="D90" s="5">
        <v>764.1017999999998</v>
      </c>
      <c r="E90" s="6">
        <v>0</v>
      </c>
      <c r="F90" s="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08166-9687-224F-AB1E-9CDECDE8023B}">
  <dimension ref="A1:F133"/>
  <sheetViews>
    <sheetView workbookViewId="0">
      <selection activeCell="F24" sqref="F24"/>
    </sheetView>
  </sheetViews>
  <sheetFormatPr defaultColWidth="8.85546875" defaultRowHeight="15" x14ac:dyDescent="0.25"/>
  <cols>
    <col min="5" max="5" width="15" bestFit="1" customWidth="1"/>
  </cols>
  <sheetData>
    <row r="1" spans="1:6" x14ac:dyDescent="0.25">
      <c r="A1" s="15" t="s">
        <v>102</v>
      </c>
      <c r="B1" s="16" t="s">
        <v>89</v>
      </c>
      <c r="C1" s="16" t="s">
        <v>90</v>
      </c>
      <c r="D1" s="16" t="s">
        <v>91</v>
      </c>
      <c r="E1" s="16" t="s">
        <v>93</v>
      </c>
      <c r="F1" s="16" t="s">
        <v>94</v>
      </c>
    </row>
    <row r="2" spans="1:6" x14ac:dyDescent="0.25">
      <c r="A2" s="17" t="s">
        <v>103</v>
      </c>
      <c r="B2" s="18">
        <v>123820.4</v>
      </c>
      <c r="C2" s="19">
        <v>2290.6774</v>
      </c>
      <c r="D2" s="20">
        <v>56282</v>
      </c>
      <c r="E2" s="20">
        <v>1735</v>
      </c>
      <c r="F2" s="7">
        <v>1.5408388913064714E-2</v>
      </c>
    </row>
    <row r="3" spans="1:6" x14ac:dyDescent="0.25">
      <c r="A3" s="17" t="s">
        <v>104</v>
      </c>
      <c r="B3" s="18">
        <v>113275.79999999997</v>
      </c>
      <c r="C3" s="19">
        <v>2095.6023000000005</v>
      </c>
      <c r="D3" s="20">
        <v>51489</v>
      </c>
      <c r="E3" s="20">
        <v>1242</v>
      </c>
      <c r="F3" s="7">
        <v>1.1917670201026723E-2</v>
      </c>
    </row>
    <row r="4" spans="1:6" x14ac:dyDescent="0.25">
      <c r="A4" s="17" t="s">
        <v>105</v>
      </c>
      <c r="B4" s="18">
        <v>80612.400000000009</v>
      </c>
      <c r="C4" s="19">
        <v>1491.3294000000005</v>
      </c>
      <c r="D4" s="20">
        <v>36642</v>
      </c>
      <c r="E4" s="20">
        <v>1122</v>
      </c>
      <c r="F4" s="7">
        <v>1.7954298150163223E-2</v>
      </c>
    </row>
    <row r="5" spans="1:6" x14ac:dyDescent="0.25">
      <c r="A5" s="17" t="s">
        <v>106</v>
      </c>
      <c r="B5" s="18">
        <v>75497.400000000009</v>
      </c>
      <c r="C5" s="19">
        <v>1396.7019000000007</v>
      </c>
      <c r="D5" s="20">
        <v>34317</v>
      </c>
      <c r="E5" s="20">
        <v>1145</v>
      </c>
      <c r="F5" s="7">
        <v>1.512649448444415E-2</v>
      </c>
    </row>
    <row r="6" spans="1:6" x14ac:dyDescent="0.25">
      <c r="A6" s="17" t="s">
        <v>107</v>
      </c>
      <c r="B6" s="18">
        <v>69044.800000000003</v>
      </c>
      <c r="C6" s="19">
        <v>1277.3288000000002</v>
      </c>
      <c r="D6" s="20">
        <v>31384</v>
      </c>
      <c r="E6" s="20">
        <v>866</v>
      </c>
      <c r="F6" s="7">
        <v>1.2805536250314224E-2</v>
      </c>
    </row>
    <row r="7" spans="1:6" x14ac:dyDescent="0.25">
      <c r="A7" s="17" t="s">
        <v>108</v>
      </c>
      <c r="B7" s="18">
        <v>64385.200000000004</v>
      </c>
      <c r="C7" s="19">
        <v>1191.1262000000004</v>
      </c>
      <c r="D7" s="20">
        <v>29266</v>
      </c>
      <c r="E7" s="20">
        <v>788</v>
      </c>
      <c r="F7" s="7">
        <v>1.3219036754961333E-2</v>
      </c>
    </row>
    <row r="8" spans="1:6" x14ac:dyDescent="0.25">
      <c r="A8" s="17" t="s">
        <v>109</v>
      </c>
      <c r="B8" s="18">
        <v>56062.600000000006</v>
      </c>
      <c r="C8" s="19">
        <v>1037.1581000000003</v>
      </c>
      <c r="D8" s="20">
        <v>25483</v>
      </c>
      <c r="E8" s="20">
        <v>634</v>
      </c>
      <c r="F8" s="7">
        <v>1.2718664740812069E-2</v>
      </c>
    </row>
    <row r="9" spans="1:6" x14ac:dyDescent="0.25">
      <c r="A9" s="17" t="s">
        <v>110</v>
      </c>
      <c r="B9" s="18">
        <v>54216.80000000001</v>
      </c>
      <c r="C9" s="19">
        <v>1003.0108</v>
      </c>
      <c r="D9" s="20">
        <v>24644</v>
      </c>
      <c r="E9" s="20">
        <v>803</v>
      </c>
      <c r="F9" s="7">
        <v>1.6255060728744938E-2</v>
      </c>
    </row>
    <row r="10" spans="1:6" x14ac:dyDescent="0.25">
      <c r="A10" s="17" t="s">
        <v>111</v>
      </c>
      <c r="B10" s="18">
        <v>48305.400000000023</v>
      </c>
      <c r="C10" s="19">
        <v>893.64990000000023</v>
      </c>
      <c r="D10" s="20">
        <v>21957</v>
      </c>
      <c r="E10" s="20">
        <v>648</v>
      </c>
      <c r="F10" s="7">
        <v>1.4615662215806569E-2</v>
      </c>
    </row>
    <row r="11" spans="1:6" x14ac:dyDescent="0.25">
      <c r="A11" s="17" t="s">
        <v>112</v>
      </c>
      <c r="B11" s="18">
        <v>43148.600000000006</v>
      </c>
      <c r="C11" s="19">
        <v>798.24910000000011</v>
      </c>
      <c r="D11" s="20">
        <v>19613</v>
      </c>
      <c r="E11" s="20">
        <v>531</v>
      </c>
      <c r="F11" s="7">
        <v>1.2949008705830711E-2</v>
      </c>
    </row>
    <row r="12" spans="1:6" x14ac:dyDescent="0.25">
      <c r="A12" s="17" t="s">
        <v>113</v>
      </c>
      <c r="B12" s="18">
        <v>42565.599999999999</v>
      </c>
      <c r="C12" s="19">
        <v>787.46359999999993</v>
      </c>
      <c r="D12" s="20">
        <v>19348</v>
      </c>
      <c r="E12" s="20">
        <v>745</v>
      </c>
      <c r="F12" s="7">
        <v>1.9949657240788347E-2</v>
      </c>
    </row>
    <row r="13" spans="1:6" x14ac:dyDescent="0.25">
      <c r="A13" s="17" t="s">
        <v>114</v>
      </c>
      <c r="B13" s="18">
        <v>41302.80000000001</v>
      </c>
      <c r="C13" s="19">
        <v>764.10180000000025</v>
      </c>
      <c r="D13" s="20">
        <v>18774</v>
      </c>
      <c r="E13" s="20">
        <v>704</v>
      </c>
      <c r="F13" s="7">
        <v>1.8799903864127967E-2</v>
      </c>
    </row>
    <row r="14" spans="1:6" x14ac:dyDescent="0.25">
      <c r="A14" s="17" t="s">
        <v>115</v>
      </c>
      <c r="B14" s="18">
        <v>38669.400000000016</v>
      </c>
      <c r="C14" s="19">
        <v>715.38390000000004</v>
      </c>
      <c r="D14" s="20">
        <v>17577</v>
      </c>
      <c r="E14" s="20">
        <v>473</v>
      </c>
      <c r="F14" s="7">
        <v>1.247889404812157E-2</v>
      </c>
    </row>
    <row r="15" spans="1:6" x14ac:dyDescent="0.25">
      <c r="A15" s="17" t="s">
        <v>116</v>
      </c>
      <c r="B15" s="18">
        <v>36172.400000000009</v>
      </c>
      <c r="C15" s="19">
        <v>669.18940000000009</v>
      </c>
      <c r="D15" s="20">
        <v>16442</v>
      </c>
      <c r="E15" s="20">
        <v>698</v>
      </c>
      <c r="F15" s="7">
        <v>2.1863743148003132E-2</v>
      </c>
    </row>
    <row r="16" spans="1:6" x14ac:dyDescent="0.25">
      <c r="A16" s="17" t="s">
        <v>117</v>
      </c>
      <c r="B16" s="18">
        <v>36036.000000000015</v>
      </c>
      <c r="C16" s="19">
        <v>666.66600000000017</v>
      </c>
      <c r="D16" s="20">
        <v>16380</v>
      </c>
      <c r="E16" s="20">
        <v>566</v>
      </c>
      <c r="F16" s="7">
        <v>1.6059926793973271E-2</v>
      </c>
    </row>
    <row r="17" spans="1:6" x14ac:dyDescent="0.25">
      <c r="A17" s="17" t="s">
        <v>118</v>
      </c>
      <c r="B17" s="18">
        <v>29103.80000000001</v>
      </c>
      <c r="C17" s="19">
        <v>538.4203</v>
      </c>
      <c r="D17" s="20">
        <v>13229</v>
      </c>
      <c r="E17" s="20">
        <v>439</v>
      </c>
      <c r="F17" s="7">
        <v>1.607940810197055E-2</v>
      </c>
    </row>
    <row r="18" spans="1:6" x14ac:dyDescent="0.25">
      <c r="A18" s="17" t="s">
        <v>119</v>
      </c>
      <c r="B18" s="18">
        <v>23348.6</v>
      </c>
      <c r="C18" s="19">
        <v>431.94910000000004</v>
      </c>
      <c r="D18" s="20">
        <v>10613</v>
      </c>
      <c r="E18" s="20">
        <v>299</v>
      </c>
      <c r="F18" s="7">
        <v>1.4184733621139523E-2</v>
      </c>
    </row>
    <row r="19" spans="1:6" x14ac:dyDescent="0.25">
      <c r="A19" s="17" t="s">
        <v>120</v>
      </c>
      <c r="B19" s="18">
        <v>21700.800000000003</v>
      </c>
      <c r="C19" s="19">
        <v>401.46479999999997</v>
      </c>
      <c r="D19" s="20">
        <v>9864</v>
      </c>
      <c r="E19" s="20">
        <v>239</v>
      </c>
      <c r="F19" s="7">
        <v>1.2314509480626545E-2</v>
      </c>
    </row>
    <row r="20" spans="1:6" x14ac:dyDescent="0.25">
      <c r="A20" s="17" t="s">
        <v>121</v>
      </c>
      <c r="B20" s="18">
        <v>21322.400000000005</v>
      </c>
      <c r="C20" s="19">
        <v>394.46439999999996</v>
      </c>
      <c r="D20" s="20">
        <v>9692</v>
      </c>
      <c r="E20" s="20">
        <v>299</v>
      </c>
      <c r="F20" s="7">
        <v>1.464609355865785E-2</v>
      </c>
    </row>
    <row r="21" spans="1:6" x14ac:dyDescent="0.25">
      <c r="A21" s="17" t="s">
        <v>122</v>
      </c>
      <c r="B21" s="18">
        <v>21298.200000000004</v>
      </c>
      <c r="C21" s="19">
        <v>394.01670000000001</v>
      </c>
      <c r="D21" s="20">
        <v>9681</v>
      </c>
      <c r="E21" s="20">
        <v>335</v>
      </c>
      <c r="F21" s="7">
        <v>1.5613348247576436E-2</v>
      </c>
    </row>
    <row r="22" spans="1:6" x14ac:dyDescent="0.25">
      <c r="A22" s="17" t="s">
        <v>123</v>
      </c>
      <c r="B22" s="18">
        <v>20561.2</v>
      </c>
      <c r="C22" s="19">
        <v>380.38219999999995</v>
      </c>
      <c r="D22" s="20">
        <v>9346</v>
      </c>
      <c r="E22" s="20">
        <v>413</v>
      </c>
      <c r="F22" s="7">
        <v>2.2569539319088474E-2</v>
      </c>
    </row>
    <row r="23" spans="1:6" x14ac:dyDescent="0.25">
      <c r="A23" s="17" t="s">
        <v>124</v>
      </c>
      <c r="B23" s="18">
        <v>18213.800000000003</v>
      </c>
      <c r="C23" s="19">
        <v>336.95530000000014</v>
      </c>
      <c r="D23" s="20">
        <v>8279</v>
      </c>
      <c r="E23" s="20">
        <v>325</v>
      </c>
      <c r="F23" s="7">
        <v>1.9066056552856977E-2</v>
      </c>
    </row>
    <row r="24" spans="1:6" x14ac:dyDescent="0.25">
      <c r="A24" s="17" t="s">
        <v>125</v>
      </c>
      <c r="B24" s="18">
        <v>16827.800000000003</v>
      </c>
      <c r="C24" s="19">
        <v>311.31430000000006</v>
      </c>
      <c r="D24" s="20">
        <v>7649</v>
      </c>
      <c r="E24" s="20">
        <v>284</v>
      </c>
      <c r="F24" s="7">
        <v>1.5955952581605707E-2</v>
      </c>
    </row>
    <row r="25" spans="1:6" x14ac:dyDescent="0.25">
      <c r="A25" s="17" t="s">
        <v>126</v>
      </c>
      <c r="B25" s="18">
        <v>15045.800000000003</v>
      </c>
      <c r="C25" s="19">
        <v>278.34730000000002</v>
      </c>
      <c r="D25" s="20">
        <v>6839</v>
      </c>
      <c r="E25" s="20">
        <v>208</v>
      </c>
      <c r="F25" s="7">
        <v>1.4617006324666199E-2</v>
      </c>
    </row>
    <row r="26" spans="1:6" x14ac:dyDescent="0.25">
      <c r="A26" s="17" t="s">
        <v>127</v>
      </c>
      <c r="B26" s="18">
        <v>14665.2</v>
      </c>
      <c r="C26" s="19">
        <v>271.30619999999999</v>
      </c>
      <c r="D26" s="20">
        <v>6666</v>
      </c>
      <c r="E26" s="20">
        <v>259</v>
      </c>
      <c r="F26" s="7">
        <v>1.8745024245494679E-2</v>
      </c>
    </row>
    <row r="27" spans="1:6" x14ac:dyDescent="0.25">
      <c r="A27" s="17" t="s">
        <v>128</v>
      </c>
      <c r="B27" s="18">
        <v>14141.6</v>
      </c>
      <c r="C27" s="19">
        <v>261.61960000000005</v>
      </c>
      <c r="D27" s="20">
        <v>6428</v>
      </c>
      <c r="E27" s="20">
        <v>241</v>
      </c>
      <c r="F27" s="7">
        <v>1.8380109823062842E-2</v>
      </c>
    </row>
    <row r="28" spans="1:6" x14ac:dyDescent="0.25">
      <c r="A28" s="17" t="s">
        <v>129</v>
      </c>
      <c r="B28" s="18">
        <v>12623.6</v>
      </c>
      <c r="C28" s="19">
        <v>233.53660000000002</v>
      </c>
      <c r="D28" s="20">
        <v>5738</v>
      </c>
      <c r="E28" s="20">
        <v>202</v>
      </c>
      <c r="F28" s="7">
        <v>1.8586676481413322E-2</v>
      </c>
    </row>
    <row r="29" spans="1:6" x14ac:dyDescent="0.25">
      <c r="A29" s="17" t="s">
        <v>130</v>
      </c>
      <c r="B29" s="18">
        <v>12179.199999999999</v>
      </c>
      <c r="C29" s="19">
        <v>225.31520000000003</v>
      </c>
      <c r="D29" s="20">
        <v>5536</v>
      </c>
      <c r="E29" s="20">
        <v>194</v>
      </c>
      <c r="F29" s="7">
        <v>1.5984180604762296E-2</v>
      </c>
    </row>
    <row r="30" spans="1:6" x14ac:dyDescent="0.25">
      <c r="A30" s="17" t="s">
        <v>131</v>
      </c>
      <c r="B30" s="18">
        <v>12130.800000000001</v>
      </c>
      <c r="C30" s="19">
        <v>224.41979999999995</v>
      </c>
      <c r="D30" s="20">
        <v>5514</v>
      </c>
      <c r="E30" s="20">
        <v>138</v>
      </c>
      <c r="F30" s="7">
        <v>1.2184354582376832E-2</v>
      </c>
    </row>
    <row r="31" spans="1:6" x14ac:dyDescent="0.25">
      <c r="A31" s="17" t="s">
        <v>132</v>
      </c>
      <c r="B31" s="18">
        <v>12040.599999999995</v>
      </c>
      <c r="C31" s="19">
        <v>222.75110000000006</v>
      </c>
      <c r="D31" s="20">
        <v>5473</v>
      </c>
      <c r="E31" s="20">
        <v>127</v>
      </c>
      <c r="F31" s="7">
        <v>1.2558093542964501E-2</v>
      </c>
    </row>
    <row r="32" spans="1:6" x14ac:dyDescent="0.25">
      <c r="A32" s="17" t="s">
        <v>133</v>
      </c>
      <c r="B32" s="18">
        <v>9875.8000000000011</v>
      </c>
      <c r="C32" s="19">
        <v>182.70230000000006</v>
      </c>
      <c r="D32" s="20">
        <v>4489</v>
      </c>
      <c r="E32" s="20">
        <v>154</v>
      </c>
      <c r="F32" s="7">
        <v>1.5069967707212056E-2</v>
      </c>
    </row>
    <row r="33" spans="1:6" x14ac:dyDescent="0.25">
      <c r="A33" s="17" t="s">
        <v>134</v>
      </c>
      <c r="B33" s="18">
        <v>9506.2000000000025</v>
      </c>
      <c r="C33" s="19">
        <v>175.86470000000006</v>
      </c>
      <c r="D33" s="20">
        <v>4321</v>
      </c>
      <c r="E33" s="20">
        <v>146</v>
      </c>
      <c r="F33" s="7">
        <v>1.6022827041264266E-2</v>
      </c>
    </row>
    <row r="34" spans="1:6" x14ac:dyDescent="0.25">
      <c r="A34" s="17" t="s">
        <v>135</v>
      </c>
      <c r="B34" s="18">
        <v>9262.0000000000018</v>
      </c>
      <c r="C34" s="19">
        <v>171.34700000000004</v>
      </c>
      <c r="D34" s="20">
        <v>4210</v>
      </c>
      <c r="E34" s="20">
        <v>91</v>
      </c>
      <c r="F34" s="7">
        <v>9.6062493402301278E-3</v>
      </c>
    </row>
    <row r="35" spans="1:6" x14ac:dyDescent="0.25">
      <c r="A35" s="17" t="s">
        <v>136</v>
      </c>
      <c r="B35" s="18">
        <v>8762.5999999999985</v>
      </c>
      <c r="C35" s="19">
        <v>162.10810000000004</v>
      </c>
      <c r="D35" s="20">
        <v>3983</v>
      </c>
      <c r="E35" s="20">
        <v>115</v>
      </c>
      <c r="F35" s="7">
        <v>1.4498234997478567E-2</v>
      </c>
    </row>
    <row r="36" spans="1:6" x14ac:dyDescent="0.25">
      <c r="A36" s="17" t="s">
        <v>137</v>
      </c>
      <c r="B36" s="18">
        <v>8665.7999999999975</v>
      </c>
      <c r="C36" s="19">
        <v>160.31730000000005</v>
      </c>
      <c r="D36" s="20">
        <v>3939</v>
      </c>
      <c r="E36" s="20">
        <v>300</v>
      </c>
      <c r="F36" s="7">
        <v>3.7448508301086009E-2</v>
      </c>
    </row>
    <row r="37" spans="1:6" x14ac:dyDescent="0.25">
      <c r="A37" s="17" t="s">
        <v>138</v>
      </c>
      <c r="B37" s="18">
        <v>8639.4</v>
      </c>
      <c r="C37" s="19">
        <v>159.82889999999998</v>
      </c>
      <c r="D37" s="20">
        <v>3927</v>
      </c>
      <c r="E37" s="20">
        <v>97</v>
      </c>
      <c r="F37" s="7">
        <v>1.114686279016318E-2</v>
      </c>
    </row>
    <row r="38" spans="1:6" x14ac:dyDescent="0.25">
      <c r="A38" s="17" t="s">
        <v>139</v>
      </c>
      <c r="B38" s="18">
        <v>8322.6000000000022</v>
      </c>
      <c r="C38" s="19">
        <v>153.96809999999996</v>
      </c>
      <c r="D38" s="20">
        <v>3783</v>
      </c>
      <c r="E38" s="20">
        <v>112</v>
      </c>
      <c r="F38" s="7">
        <v>1.2397609032543723E-2</v>
      </c>
    </row>
    <row r="39" spans="1:6" x14ac:dyDescent="0.25">
      <c r="A39" s="17" t="s">
        <v>140</v>
      </c>
      <c r="B39" s="18">
        <v>7842.9999999999982</v>
      </c>
      <c r="C39" s="19">
        <v>145.09550000000002</v>
      </c>
      <c r="D39" s="20">
        <v>3565</v>
      </c>
      <c r="E39" s="20">
        <v>64</v>
      </c>
      <c r="F39" s="7">
        <v>9.1967236671935629E-3</v>
      </c>
    </row>
    <row r="40" spans="1:6" x14ac:dyDescent="0.25">
      <c r="A40" s="17" t="s">
        <v>141</v>
      </c>
      <c r="B40" s="18">
        <v>7039.9999999999991</v>
      </c>
      <c r="C40" s="19">
        <v>130.24000000000007</v>
      </c>
      <c r="D40" s="20">
        <v>3200</v>
      </c>
      <c r="E40" s="20">
        <v>72</v>
      </c>
      <c r="F40" s="7">
        <v>1.0462074978204011E-2</v>
      </c>
    </row>
    <row r="41" spans="1:6" x14ac:dyDescent="0.25">
      <c r="A41" s="17" t="s">
        <v>142</v>
      </c>
      <c r="B41" s="18">
        <v>6657.2000000000007</v>
      </c>
      <c r="C41" s="19">
        <v>123.15820000000004</v>
      </c>
      <c r="D41" s="20">
        <v>3026</v>
      </c>
      <c r="E41" s="20">
        <v>89</v>
      </c>
      <c r="F41" s="7">
        <v>1.3967357187696171E-2</v>
      </c>
    </row>
    <row r="42" spans="1:6" x14ac:dyDescent="0.25">
      <c r="A42" s="17" t="s">
        <v>143</v>
      </c>
      <c r="B42" s="18">
        <v>5803.6000000000013</v>
      </c>
      <c r="C42" s="19">
        <v>107.36659999999998</v>
      </c>
      <c r="D42" s="20">
        <v>2638</v>
      </c>
      <c r="E42" s="20">
        <v>82</v>
      </c>
      <c r="F42" s="7">
        <v>1.7861032454802875E-2</v>
      </c>
    </row>
    <row r="43" spans="1:6" x14ac:dyDescent="0.25">
      <c r="A43" s="17" t="s">
        <v>144</v>
      </c>
      <c r="B43" s="18">
        <v>5596.8</v>
      </c>
      <c r="C43" s="19">
        <v>103.54080000000002</v>
      </c>
      <c r="D43" s="20">
        <v>2544</v>
      </c>
      <c r="E43" s="20">
        <v>68</v>
      </c>
      <c r="F43" s="7">
        <v>1.2005649717514125E-2</v>
      </c>
    </row>
    <row r="44" spans="1:6" x14ac:dyDescent="0.25">
      <c r="A44" s="17" t="s">
        <v>145</v>
      </c>
      <c r="B44" s="18">
        <v>5521.9999999999991</v>
      </c>
      <c r="C44" s="19">
        <v>102.15700000000001</v>
      </c>
      <c r="D44" s="20">
        <v>2510</v>
      </c>
      <c r="E44" s="20">
        <v>114</v>
      </c>
      <c r="F44" s="7">
        <v>2.5537634408602152E-2</v>
      </c>
    </row>
    <row r="45" spans="1:6" x14ac:dyDescent="0.25">
      <c r="A45" s="17" t="s">
        <v>146</v>
      </c>
      <c r="B45" s="18">
        <v>5449.4</v>
      </c>
      <c r="C45" s="19">
        <v>100.8139</v>
      </c>
      <c r="D45" s="20">
        <v>2477</v>
      </c>
      <c r="E45" s="20">
        <v>73</v>
      </c>
      <c r="F45" s="7">
        <v>1.4062801001733769E-2</v>
      </c>
    </row>
    <row r="46" spans="1:6" x14ac:dyDescent="0.25">
      <c r="A46" s="17" t="s">
        <v>147</v>
      </c>
      <c r="B46" s="18">
        <v>5048.9999999999991</v>
      </c>
      <c r="C46" s="19">
        <v>93.406500000000023</v>
      </c>
      <c r="D46" s="20">
        <v>2295</v>
      </c>
      <c r="E46" s="20">
        <v>55</v>
      </c>
      <c r="F46" s="7">
        <v>1.3098356751607526E-2</v>
      </c>
    </row>
    <row r="47" spans="1:6" x14ac:dyDescent="0.25">
      <c r="A47" s="17" t="s">
        <v>148</v>
      </c>
      <c r="B47" s="18">
        <v>5046.7999999999993</v>
      </c>
      <c r="C47" s="19">
        <v>93.365800000000007</v>
      </c>
      <c r="D47" s="20">
        <v>2294</v>
      </c>
      <c r="E47" s="20">
        <v>165</v>
      </c>
      <c r="F47" s="7">
        <v>3.0720536212995718E-2</v>
      </c>
    </row>
    <row r="48" spans="1:6" x14ac:dyDescent="0.25">
      <c r="A48" s="17" t="s">
        <v>149</v>
      </c>
      <c r="B48" s="18">
        <v>4947.8</v>
      </c>
      <c r="C48" s="19">
        <v>91.534300000000002</v>
      </c>
      <c r="D48" s="20">
        <v>2249</v>
      </c>
      <c r="E48" s="20">
        <v>79</v>
      </c>
      <c r="F48" s="7">
        <v>1.6288659793814431E-2</v>
      </c>
    </row>
    <row r="49" spans="1:6" x14ac:dyDescent="0.25">
      <c r="A49" s="17" t="s">
        <v>150</v>
      </c>
      <c r="B49" s="18">
        <v>4494.6000000000004</v>
      </c>
      <c r="C49" s="19">
        <v>83.150099999999981</v>
      </c>
      <c r="D49" s="20">
        <v>2043</v>
      </c>
      <c r="E49" s="20">
        <v>72</v>
      </c>
      <c r="F49" s="7">
        <v>1.4879107253564786E-2</v>
      </c>
    </row>
    <row r="50" spans="1:6" x14ac:dyDescent="0.25">
      <c r="A50" s="17" t="s">
        <v>151</v>
      </c>
      <c r="B50" s="18">
        <v>4213.0000000000009</v>
      </c>
      <c r="C50" s="19">
        <v>77.940499999999986</v>
      </c>
      <c r="D50" s="20">
        <v>1915</v>
      </c>
      <c r="E50" s="20">
        <v>45</v>
      </c>
      <c r="F50" s="7">
        <v>1.0954235637779941E-2</v>
      </c>
    </row>
    <row r="51" spans="1:6" x14ac:dyDescent="0.25">
      <c r="A51" s="17" t="s">
        <v>152</v>
      </c>
      <c r="B51" s="18">
        <v>3535.4000000000005</v>
      </c>
      <c r="C51" s="19">
        <v>65.404900000000012</v>
      </c>
      <c r="D51" s="20">
        <v>1607</v>
      </c>
      <c r="E51" s="20">
        <v>61</v>
      </c>
      <c r="F51" s="7">
        <v>1.7329545454545455E-2</v>
      </c>
    </row>
    <row r="52" spans="1:6" x14ac:dyDescent="0.25">
      <c r="A52" s="17" t="s">
        <v>153</v>
      </c>
      <c r="B52" s="18">
        <v>3194.4000000000005</v>
      </c>
      <c r="C52" s="19">
        <v>59.096399999999996</v>
      </c>
      <c r="D52" s="20">
        <v>1452</v>
      </c>
      <c r="E52" s="20">
        <v>27</v>
      </c>
      <c r="F52" s="7">
        <v>8.7890625E-3</v>
      </c>
    </row>
    <row r="53" spans="1:6" x14ac:dyDescent="0.25">
      <c r="A53" s="17" t="s">
        <v>154</v>
      </c>
      <c r="B53" s="18">
        <v>2697.2000000000003</v>
      </c>
      <c r="C53" s="19">
        <v>49.898199999999996</v>
      </c>
      <c r="D53" s="20">
        <v>1226</v>
      </c>
      <c r="E53" s="20">
        <v>26</v>
      </c>
      <c r="F53" s="7">
        <v>9.0940888422525352E-3</v>
      </c>
    </row>
    <row r="54" spans="1:6" x14ac:dyDescent="0.25">
      <c r="A54" s="17" t="s">
        <v>155</v>
      </c>
      <c r="B54" s="18">
        <v>2290.1999999999998</v>
      </c>
      <c r="C54" s="19">
        <v>42.368700000000011</v>
      </c>
      <c r="D54" s="20">
        <v>1041</v>
      </c>
      <c r="E54" s="20">
        <v>26</v>
      </c>
      <c r="F54" s="7">
        <v>1.2676743052169674E-2</v>
      </c>
    </row>
    <row r="55" spans="1:6" x14ac:dyDescent="0.25">
      <c r="A55" s="17" t="s">
        <v>156</v>
      </c>
      <c r="B55" s="18">
        <v>2070.1999999999998</v>
      </c>
      <c r="C55" s="19">
        <v>38.298700000000011</v>
      </c>
      <c r="D55" s="20">
        <v>941</v>
      </c>
      <c r="E55" s="20">
        <v>29</v>
      </c>
      <c r="F55" s="7">
        <v>1.4363546310054482E-2</v>
      </c>
    </row>
    <row r="56" spans="1:6" x14ac:dyDescent="0.25">
      <c r="A56" s="17" t="s">
        <v>157</v>
      </c>
      <c r="B56" s="18">
        <v>1933.8000000000002</v>
      </c>
      <c r="C56" s="19">
        <v>35.775300000000001</v>
      </c>
      <c r="D56" s="20">
        <v>879</v>
      </c>
      <c r="E56" s="20">
        <v>31</v>
      </c>
      <c r="F56" s="7">
        <v>1.3938848920863309E-2</v>
      </c>
    </row>
    <row r="57" spans="1:6" x14ac:dyDescent="0.25">
      <c r="A57" s="17" t="s">
        <v>158</v>
      </c>
      <c r="B57" s="18">
        <v>1883.2000000000007</v>
      </c>
      <c r="C57" s="19">
        <v>34.839200000000012</v>
      </c>
      <c r="D57" s="20">
        <v>856</v>
      </c>
      <c r="E57" s="20">
        <v>56</v>
      </c>
      <c r="F57" s="7">
        <v>3.4504004929143559E-2</v>
      </c>
    </row>
    <row r="58" spans="1:6" x14ac:dyDescent="0.25">
      <c r="A58" s="17" t="s">
        <v>159</v>
      </c>
      <c r="B58" s="18">
        <v>1733.6</v>
      </c>
      <c r="C58" s="19">
        <v>32.071600000000004</v>
      </c>
      <c r="D58" s="20">
        <v>788</v>
      </c>
      <c r="E58" s="20">
        <v>31</v>
      </c>
      <c r="F58" s="7">
        <v>1.9053472649047325E-2</v>
      </c>
    </row>
    <row r="59" spans="1:6" x14ac:dyDescent="0.25">
      <c r="A59" s="17" t="s">
        <v>160</v>
      </c>
      <c r="B59" s="18">
        <v>1652.2000000000003</v>
      </c>
      <c r="C59" s="19">
        <v>30.565700000000003</v>
      </c>
      <c r="D59" s="20">
        <v>751</v>
      </c>
      <c r="E59" s="20">
        <v>6</v>
      </c>
      <c r="F59" s="7">
        <v>3.1762837480148226E-3</v>
      </c>
    </row>
    <row r="60" spans="1:6" x14ac:dyDescent="0.25">
      <c r="A60" s="17" t="s">
        <v>161</v>
      </c>
      <c r="B60" s="18">
        <v>1595.0000000000002</v>
      </c>
      <c r="C60" s="19">
        <v>29.5075</v>
      </c>
      <c r="D60" s="20">
        <v>725</v>
      </c>
      <c r="E60" s="20">
        <v>17</v>
      </c>
      <c r="F60" s="7">
        <v>1.1288180610889775E-2</v>
      </c>
    </row>
    <row r="61" spans="1:6" x14ac:dyDescent="0.25">
      <c r="A61" s="17" t="s">
        <v>162</v>
      </c>
      <c r="B61" s="18">
        <v>1465.1999999999998</v>
      </c>
      <c r="C61" s="19">
        <v>27.106199999999998</v>
      </c>
      <c r="D61" s="20">
        <v>666</v>
      </c>
      <c r="E61" s="20">
        <v>22</v>
      </c>
      <c r="F61" s="7">
        <v>1.5895953757225433E-2</v>
      </c>
    </row>
    <row r="62" spans="1:6" x14ac:dyDescent="0.25">
      <c r="A62" s="17" t="s">
        <v>163</v>
      </c>
      <c r="B62" s="18">
        <v>1392.6</v>
      </c>
      <c r="C62" s="19">
        <v>25.763099999999994</v>
      </c>
      <c r="D62" s="20">
        <v>633</v>
      </c>
      <c r="E62" s="20">
        <v>34</v>
      </c>
      <c r="F62" s="7">
        <v>2.3192360163710776E-2</v>
      </c>
    </row>
    <row r="63" spans="1:6" x14ac:dyDescent="0.25">
      <c r="A63" s="17" t="s">
        <v>164</v>
      </c>
      <c r="B63" s="18">
        <v>1280.4000000000001</v>
      </c>
      <c r="C63" s="19">
        <v>23.6874</v>
      </c>
      <c r="D63" s="20">
        <v>582</v>
      </c>
      <c r="E63" s="20">
        <v>15</v>
      </c>
      <c r="F63" s="7">
        <v>1.4177693761814745E-2</v>
      </c>
    </row>
    <row r="64" spans="1:6" x14ac:dyDescent="0.25">
      <c r="A64" s="17" t="s">
        <v>165</v>
      </c>
      <c r="B64" s="18">
        <v>1262.8000000000002</v>
      </c>
      <c r="C64" s="19">
        <v>23.361799999999999</v>
      </c>
      <c r="D64" s="20">
        <v>574</v>
      </c>
      <c r="E64" s="20">
        <v>22</v>
      </c>
      <c r="F64" s="7">
        <v>1.8456375838926176E-2</v>
      </c>
    </row>
    <row r="65" spans="1:6" x14ac:dyDescent="0.25">
      <c r="A65" s="17" t="s">
        <v>166</v>
      </c>
      <c r="B65" s="18">
        <v>1214.4000000000003</v>
      </c>
      <c r="C65" s="19">
        <v>22.466399999999993</v>
      </c>
      <c r="D65" s="20">
        <v>552</v>
      </c>
      <c r="E65" s="20">
        <v>36</v>
      </c>
      <c r="F65" s="7">
        <v>2.8753993610223641E-2</v>
      </c>
    </row>
    <row r="66" spans="1:6" x14ac:dyDescent="0.25">
      <c r="A66" s="17" t="s">
        <v>167</v>
      </c>
      <c r="B66" s="18">
        <v>1207.8000000000004</v>
      </c>
      <c r="C66" s="19">
        <v>22.3443</v>
      </c>
      <c r="D66" s="20">
        <v>549</v>
      </c>
      <c r="E66" s="20">
        <v>14</v>
      </c>
      <c r="F66" s="7">
        <v>1.4358974358974359E-2</v>
      </c>
    </row>
    <row r="67" spans="1:6" x14ac:dyDescent="0.25">
      <c r="A67" s="17" t="s">
        <v>168</v>
      </c>
      <c r="B67" s="18">
        <v>1157.2</v>
      </c>
      <c r="C67" s="19">
        <v>21.408199999999997</v>
      </c>
      <c r="D67" s="20">
        <v>526</v>
      </c>
      <c r="E67" s="20">
        <v>12</v>
      </c>
      <c r="F67" s="7">
        <v>9.6540627514078835E-3</v>
      </c>
    </row>
    <row r="68" spans="1:6" x14ac:dyDescent="0.25">
      <c r="A68" s="17" t="s">
        <v>169</v>
      </c>
      <c r="B68" s="18">
        <v>1146.2000000000003</v>
      </c>
      <c r="C68" s="19">
        <v>21.204700000000003</v>
      </c>
      <c r="D68" s="20">
        <v>521</v>
      </c>
      <c r="E68" s="20">
        <v>16</v>
      </c>
      <c r="F68" s="7">
        <v>1.5655577299412915E-2</v>
      </c>
    </row>
    <row r="69" spans="1:6" x14ac:dyDescent="0.25">
      <c r="A69" s="17" t="s">
        <v>170</v>
      </c>
      <c r="B69" s="18">
        <v>1139.5999999999999</v>
      </c>
      <c r="C69" s="19">
        <v>21.082600000000003</v>
      </c>
      <c r="D69" s="20">
        <v>518</v>
      </c>
      <c r="E69" s="20">
        <v>12</v>
      </c>
      <c r="F69" s="7">
        <v>1.1396011396011397E-2</v>
      </c>
    </row>
    <row r="70" spans="1:6" x14ac:dyDescent="0.25">
      <c r="A70" s="17" t="s">
        <v>171</v>
      </c>
      <c r="B70" s="18">
        <v>1130.8</v>
      </c>
      <c r="C70" s="19">
        <v>20.919800000000002</v>
      </c>
      <c r="D70" s="20">
        <v>514</v>
      </c>
      <c r="E70" s="20">
        <v>25</v>
      </c>
      <c r="F70" s="7">
        <v>2.4271844660194174E-2</v>
      </c>
    </row>
    <row r="71" spans="1:6" x14ac:dyDescent="0.25">
      <c r="A71" s="17" t="s">
        <v>172</v>
      </c>
      <c r="B71" s="18">
        <v>959.20000000000027</v>
      </c>
      <c r="C71" s="19">
        <v>17.745200000000001</v>
      </c>
      <c r="D71" s="20">
        <v>436</v>
      </c>
      <c r="E71" s="20">
        <v>9</v>
      </c>
      <c r="F71" s="7">
        <v>1.0250569476082005E-2</v>
      </c>
    </row>
    <row r="72" spans="1:6" x14ac:dyDescent="0.25">
      <c r="A72" s="17" t="s">
        <v>173</v>
      </c>
      <c r="B72" s="18">
        <v>789.80000000000007</v>
      </c>
      <c r="C72" s="19">
        <v>14.6113</v>
      </c>
      <c r="D72" s="20">
        <v>359</v>
      </c>
      <c r="E72" s="20">
        <v>12</v>
      </c>
      <c r="F72" s="7">
        <v>1.6282225237449117E-2</v>
      </c>
    </row>
    <row r="73" spans="1:6" x14ac:dyDescent="0.25">
      <c r="A73" s="17" t="s">
        <v>174</v>
      </c>
      <c r="B73" s="18">
        <v>783.19999999999993</v>
      </c>
      <c r="C73" s="19">
        <v>14.489200000000002</v>
      </c>
      <c r="D73" s="20">
        <v>356</v>
      </c>
      <c r="E73" s="20">
        <v>10</v>
      </c>
      <c r="F73" s="7">
        <v>1.2315270935960592E-2</v>
      </c>
    </row>
    <row r="74" spans="1:6" x14ac:dyDescent="0.25">
      <c r="A74" s="17" t="s">
        <v>175</v>
      </c>
      <c r="B74" s="18">
        <v>778.79999999999984</v>
      </c>
      <c r="C74" s="19">
        <v>14.407800000000003</v>
      </c>
      <c r="D74" s="20">
        <v>354</v>
      </c>
      <c r="E74" s="20">
        <v>20</v>
      </c>
      <c r="F74" s="7">
        <v>2.8571428571428571E-2</v>
      </c>
    </row>
    <row r="75" spans="1:6" x14ac:dyDescent="0.25">
      <c r="A75" s="17" t="s">
        <v>176</v>
      </c>
      <c r="B75" s="18">
        <v>726.00000000000011</v>
      </c>
      <c r="C75" s="19">
        <v>13.430999999999999</v>
      </c>
      <c r="D75" s="20">
        <v>330</v>
      </c>
      <c r="E75" s="20">
        <v>11</v>
      </c>
      <c r="F75" s="7">
        <v>1.4844804318488529E-2</v>
      </c>
    </row>
    <row r="76" spans="1:6" x14ac:dyDescent="0.25">
      <c r="A76" s="17" t="s">
        <v>177</v>
      </c>
      <c r="B76" s="18">
        <v>719.39999999999986</v>
      </c>
      <c r="C76" s="19">
        <v>13.308900000000001</v>
      </c>
      <c r="D76" s="20">
        <v>327</v>
      </c>
      <c r="E76" s="20">
        <v>5</v>
      </c>
      <c r="F76" s="7">
        <v>5.6882821387940841E-3</v>
      </c>
    </row>
    <row r="77" spans="1:6" x14ac:dyDescent="0.25">
      <c r="A77" s="17" t="s">
        <v>178</v>
      </c>
      <c r="B77" s="18">
        <v>712.80000000000007</v>
      </c>
      <c r="C77" s="19">
        <v>13.1868</v>
      </c>
      <c r="D77" s="20">
        <v>324</v>
      </c>
      <c r="E77" s="20">
        <v>17</v>
      </c>
      <c r="F77" s="7">
        <v>2.7070063694267517E-2</v>
      </c>
    </row>
    <row r="78" spans="1:6" x14ac:dyDescent="0.25">
      <c r="A78" s="17" t="s">
        <v>179</v>
      </c>
      <c r="B78" s="18">
        <v>684.19999999999993</v>
      </c>
      <c r="C78" s="19">
        <v>12.657700000000002</v>
      </c>
      <c r="D78" s="20">
        <v>311</v>
      </c>
      <c r="E78" s="20">
        <v>21</v>
      </c>
      <c r="F78" s="7">
        <v>2.6348808030112924E-2</v>
      </c>
    </row>
    <row r="79" spans="1:6" x14ac:dyDescent="0.25">
      <c r="A79" s="17" t="s">
        <v>180</v>
      </c>
      <c r="B79" s="18">
        <v>618.20000000000016</v>
      </c>
      <c r="C79" s="19">
        <v>11.436699999999998</v>
      </c>
      <c r="D79" s="20">
        <v>281</v>
      </c>
      <c r="E79" s="20">
        <v>14</v>
      </c>
      <c r="F79" s="7">
        <v>2.1705426356589147E-2</v>
      </c>
    </row>
    <row r="80" spans="1:6" x14ac:dyDescent="0.25">
      <c r="A80" s="17" t="s">
        <v>181</v>
      </c>
      <c r="B80" s="18">
        <v>613.79999999999995</v>
      </c>
      <c r="C80" s="19">
        <v>11.355300000000002</v>
      </c>
      <c r="D80" s="20">
        <v>279</v>
      </c>
      <c r="E80" s="20">
        <v>10</v>
      </c>
      <c r="F80" s="7">
        <v>1.4792899408284023E-2</v>
      </c>
    </row>
    <row r="81" spans="1:6" x14ac:dyDescent="0.25">
      <c r="A81" s="17" t="s">
        <v>182</v>
      </c>
      <c r="B81" s="18">
        <v>583</v>
      </c>
      <c r="C81" s="19">
        <v>10.785499999999999</v>
      </c>
      <c r="D81" s="20">
        <v>265</v>
      </c>
      <c r="E81" s="20">
        <v>8</v>
      </c>
      <c r="F81" s="7">
        <v>1.2500000000000001E-2</v>
      </c>
    </row>
    <row r="82" spans="1:6" x14ac:dyDescent="0.25">
      <c r="A82" s="17" t="s">
        <v>183</v>
      </c>
      <c r="B82" s="18">
        <v>514.80000000000007</v>
      </c>
      <c r="C82" s="19">
        <v>9.5237999999999996</v>
      </c>
      <c r="D82" s="20">
        <v>234</v>
      </c>
      <c r="E82" s="20">
        <v>6</v>
      </c>
      <c r="F82" s="7">
        <v>9.4637223974763408E-3</v>
      </c>
    </row>
    <row r="83" spans="1:6" x14ac:dyDescent="0.25">
      <c r="A83" s="17" t="s">
        <v>184</v>
      </c>
      <c r="B83" s="18">
        <v>492.7999999999999</v>
      </c>
      <c r="C83" s="19">
        <v>9.1167999999999996</v>
      </c>
      <c r="D83" s="20">
        <v>224</v>
      </c>
      <c r="E83" s="20">
        <v>3</v>
      </c>
      <c r="F83" s="7">
        <v>4.87012987012987E-3</v>
      </c>
    </row>
    <row r="84" spans="1:6" x14ac:dyDescent="0.25">
      <c r="A84" s="17" t="s">
        <v>185</v>
      </c>
      <c r="B84" s="18">
        <v>484.00000000000006</v>
      </c>
      <c r="C84" s="19">
        <v>8.9540000000000006</v>
      </c>
      <c r="D84" s="20">
        <v>220</v>
      </c>
      <c r="E84" s="20">
        <v>9</v>
      </c>
      <c r="F84" s="7">
        <v>2.2900763358778626E-2</v>
      </c>
    </row>
    <row r="85" spans="1:6" x14ac:dyDescent="0.25">
      <c r="A85" s="17" t="s">
        <v>186</v>
      </c>
      <c r="B85" s="18">
        <v>400.4</v>
      </c>
      <c r="C85" s="19">
        <v>7.4074000000000009</v>
      </c>
      <c r="D85" s="20">
        <v>182</v>
      </c>
      <c r="E85" s="20">
        <v>7</v>
      </c>
      <c r="F85" s="7">
        <v>1.6786570743405275E-2</v>
      </c>
    </row>
    <row r="86" spans="1:6" x14ac:dyDescent="0.25">
      <c r="A86" s="17" t="s">
        <v>187</v>
      </c>
      <c r="B86" s="18">
        <v>387.2</v>
      </c>
      <c r="C86" s="19">
        <v>7.1632000000000025</v>
      </c>
      <c r="D86" s="20">
        <v>176</v>
      </c>
      <c r="E86" s="20">
        <v>6</v>
      </c>
      <c r="F86" s="7">
        <v>1.6216216216216217E-2</v>
      </c>
    </row>
    <row r="87" spans="1:6" x14ac:dyDescent="0.25">
      <c r="A87" s="17" t="s">
        <v>188</v>
      </c>
      <c r="B87" s="18">
        <v>378.40000000000003</v>
      </c>
      <c r="C87" s="19">
        <v>7.0003999999999991</v>
      </c>
      <c r="D87" s="20">
        <v>172</v>
      </c>
      <c r="E87" s="20">
        <v>11</v>
      </c>
      <c r="F87" s="7">
        <v>3.1428571428571431E-2</v>
      </c>
    </row>
    <row r="88" spans="1:6" x14ac:dyDescent="0.25">
      <c r="A88" s="17" t="s">
        <v>189</v>
      </c>
      <c r="B88" s="18">
        <v>347.59999999999997</v>
      </c>
      <c r="C88" s="19">
        <v>6.4306000000000019</v>
      </c>
      <c r="D88" s="20">
        <v>158</v>
      </c>
      <c r="E88" s="20">
        <v>9</v>
      </c>
      <c r="F88" s="7">
        <v>2.2222222222222223E-2</v>
      </c>
    </row>
    <row r="89" spans="1:6" x14ac:dyDescent="0.25">
      <c r="A89" s="17" t="s">
        <v>190</v>
      </c>
      <c r="B89" s="18">
        <v>343.20000000000005</v>
      </c>
      <c r="C89" s="19">
        <v>6.3491999999999997</v>
      </c>
      <c r="D89" s="20">
        <v>156</v>
      </c>
      <c r="E89" s="20">
        <v>9</v>
      </c>
      <c r="F89" s="7">
        <v>2.1479713603818614E-2</v>
      </c>
    </row>
    <row r="90" spans="1:6" x14ac:dyDescent="0.25">
      <c r="A90" s="17" t="s">
        <v>191</v>
      </c>
      <c r="B90" s="18">
        <v>319</v>
      </c>
      <c r="C90" s="19">
        <v>5.9015000000000004</v>
      </c>
      <c r="D90" s="20">
        <v>145</v>
      </c>
      <c r="E90" s="20">
        <v>2</v>
      </c>
      <c r="F90" s="7">
        <v>7.6335877862595417E-3</v>
      </c>
    </row>
    <row r="91" spans="1:6" x14ac:dyDescent="0.25">
      <c r="A91" s="17" t="s">
        <v>192</v>
      </c>
      <c r="B91" s="18">
        <v>312.40000000000003</v>
      </c>
      <c r="C91" s="19">
        <v>5.7793999999999999</v>
      </c>
      <c r="D91" s="20">
        <v>142</v>
      </c>
      <c r="E91" s="20">
        <v>7</v>
      </c>
      <c r="F91" s="7">
        <v>2.7777777777777776E-2</v>
      </c>
    </row>
    <row r="92" spans="1:6" x14ac:dyDescent="0.25">
      <c r="A92" s="17" t="s">
        <v>193</v>
      </c>
      <c r="B92" s="18">
        <v>272.79999999999995</v>
      </c>
      <c r="C92" s="19">
        <v>5.0468000000000011</v>
      </c>
      <c r="D92" s="20">
        <v>124</v>
      </c>
      <c r="E92" s="20">
        <v>8</v>
      </c>
      <c r="F92" s="7">
        <v>1.7429193899782137E-2</v>
      </c>
    </row>
    <row r="93" spans="1:6" x14ac:dyDescent="0.25">
      <c r="A93" s="17" t="s">
        <v>194</v>
      </c>
      <c r="B93" s="18">
        <v>250.80000000000004</v>
      </c>
      <c r="C93" s="19">
        <v>4.6397999999999993</v>
      </c>
      <c r="D93" s="20">
        <v>114</v>
      </c>
      <c r="E93" s="20">
        <v>0</v>
      </c>
      <c r="F93" s="7">
        <v>0</v>
      </c>
    </row>
    <row r="94" spans="1:6" x14ac:dyDescent="0.25">
      <c r="A94" s="17" t="s">
        <v>195</v>
      </c>
      <c r="B94" s="18">
        <v>250.79999999999995</v>
      </c>
      <c r="C94" s="19">
        <v>4.6398000000000019</v>
      </c>
      <c r="D94" s="20">
        <v>114</v>
      </c>
      <c r="E94" s="20">
        <v>5</v>
      </c>
      <c r="F94" s="7">
        <v>1.0460251046025104E-2</v>
      </c>
    </row>
    <row r="95" spans="1:6" x14ac:dyDescent="0.25">
      <c r="A95" s="17" t="s">
        <v>196</v>
      </c>
      <c r="B95" s="18">
        <v>230.99999999999997</v>
      </c>
      <c r="C95" s="19">
        <v>4.2735000000000012</v>
      </c>
      <c r="D95" s="20">
        <v>105</v>
      </c>
      <c r="E95" s="20">
        <v>5</v>
      </c>
      <c r="F95" s="7">
        <v>2.0491803278688523E-2</v>
      </c>
    </row>
    <row r="96" spans="1:6" x14ac:dyDescent="0.25">
      <c r="A96" s="17" t="s">
        <v>197</v>
      </c>
      <c r="B96" s="18">
        <v>217.79999999999995</v>
      </c>
      <c r="C96" s="19">
        <v>4.029300000000001</v>
      </c>
      <c r="D96" s="20">
        <v>99</v>
      </c>
      <c r="E96" s="20">
        <v>1</v>
      </c>
      <c r="F96" s="7">
        <v>3.5587188612099642E-3</v>
      </c>
    </row>
    <row r="97" spans="1:6" x14ac:dyDescent="0.25">
      <c r="A97" s="17" t="s">
        <v>198</v>
      </c>
      <c r="B97" s="18">
        <v>206.8</v>
      </c>
      <c r="C97" s="19">
        <v>3.8258000000000001</v>
      </c>
      <c r="D97" s="20">
        <v>94</v>
      </c>
      <c r="E97" s="20">
        <v>2</v>
      </c>
      <c r="F97" s="7">
        <v>8.8495575221238937E-3</v>
      </c>
    </row>
    <row r="98" spans="1:6" x14ac:dyDescent="0.25">
      <c r="A98" s="17" t="s">
        <v>199</v>
      </c>
      <c r="B98" s="18">
        <v>195.79999999999998</v>
      </c>
      <c r="C98" s="19">
        <v>3.6223000000000005</v>
      </c>
      <c r="D98" s="20">
        <v>89</v>
      </c>
      <c r="E98" s="20">
        <v>3</v>
      </c>
      <c r="F98" s="7">
        <v>2.5210084033613446E-2</v>
      </c>
    </row>
    <row r="99" spans="1:6" x14ac:dyDescent="0.25">
      <c r="A99" s="17" t="s">
        <v>200</v>
      </c>
      <c r="B99" s="18">
        <v>171.60000000000002</v>
      </c>
      <c r="C99" s="19">
        <v>3.1746000000000003</v>
      </c>
      <c r="D99" s="20">
        <v>78</v>
      </c>
      <c r="E99" s="20">
        <v>4</v>
      </c>
      <c r="F99" s="7">
        <v>0.02</v>
      </c>
    </row>
    <row r="100" spans="1:6" x14ac:dyDescent="0.25">
      <c r="A100" s="17" t="s">
        <v>201</v>
      </c>
      <c r="B100" s="18">
        <v>147.39999999999998</v>
      </c>
      <c r="C100" s="19">
        <v>2.7269000000000005</v>
      </c>
      <c r="D100" s="20">
        <v>67</v>
      </c>
      <c r="E100" s="20">
        <v>4</v>
      </c>
      <c r="F100" s="7">
        <v>2.1505376344086023E-2</v>
      </c>
    </row>
    <row r="101" spans="1:6" x14ac:dyDescent="0.25">
      <c r="A101" s="17" t="s">
        <v>202</v>
      </c>
      <c r="B101" s="18">
        <v>140.79999999999998</v>
      </c>
      <c r="C101" s="19">
        <v>2.6048000000000013</v>
      </c>
      <c r="D101" s="20">
        <v>64</v>
      </c>
      <c r="E101" s="20">
        <v>0</v>
      </c>
      <c r="F101" s="7">
        <v>0</v>
      </c>
    </row>
    <row r="102" spans="1:6" x14ac:dyDescent="0.25">
      <c r="A102" s="17" t="s">
        <v>203</v>
      </c>
      <c r="B102" s="18">
        <v>136.40000000000003</v>
      </c>
      <c r="C102" s="19">
        <v>2.5234000000000005</v>
      </c>
      <c r="D102" s="20">
        <v>62</v>
      </c>
      <c r="E102" s="20">
        <v>0</v>
      </c>
      <c r="F102" s="7">
        <v>0</v>
      </c>
    </row>
    <row r="103" spans="1:6" x14ac:dyDescent="0.25">
      <c r="A103" s="17" t="s">
        <v>204</v>
      </c>
      <c r="B103" s="18">
        <v>110.00000000000003</v>
      </c>
      <c r="C103" s="19">
        <v>2.0349999999999997</v>
      </c>
      <c r="D103" s="20">
        <v>50</v>
      </c>
      <c r="E103" s="20">
        <v>3</v>
      </c>
      <c r="F103" s="7">
        <v>2.0134228187919462E-2</v>
      </c>
    </row>
    <row r="104" spans="1:6" x14ac:dyDescent="0.25">
      <c r="A104" s="17" t="s">
        <v>205</v>
      </c>
      <c r="B104" s="18">
        <v>105.60000000000002</v>
      </c>
      <c r="C104" s="19">
        <v>1.9535999999999998</v>
      </c>
      <c r="D104" s="20">
        <v>48</v>
      </c>
      <c r="E104" s="20">
        <v>0</v>
      </c>
      <c r="F104" s="7">
        <v>0</v>
      </c>
    </row>
    <row r="105" spans="1:6" x14ac:dyDescent="0.25">
      <c r="A105" s="17" t="s">
        <v>206</v>
      </c>
      <c r="B105" s="18">
        <v>103.40000000000002</v>
      </c>
      <c r="C105" s="19">
        <v>1.9129</v>
      </c>
      <c r="D105" s="20">
        <v>47</v>
      </c>
      <c r="E105" s="20">
        <v>5</v>
      </c>
      <c r="F105" s="7">
        <v>3.2894736842105261E-2</v>
      </c>
    </row>
    <row r="106" spans="1:6" x14ac:dyDescent="0.25">
      <c r="A106" s="17" t="s">
        <v>207</v>
      </c>
      <c r="B106" s="18">
        <v>88</v>
      </c>
      <c r="C106" s="19">
        <v>1.6280000000000001</v>
      </c>
      <c r="D106" s="20">
        <v>40</v>
      </c>
      <c r="E106" s="20">
        <v>2</v>
      </c>
      <c r="F106" s="7">
        <v>2.2222222222222223E-2</v>
      </c>
    </row>
    <row r="107" spans="1:6" x14ac:dyDescent="0.25">
      <c r="A107" s="17" t="s">
        <v>208</v>
      </c>
      <c r="B107" s="18">
        <v>74.800000000000026</v>
      </c>
      <c r="C107" s="19">
        <v>1.3837999999999995</v>
      </c>
      <c r="D107" s="20">
        <v>34</v>
      </c>
      <c r="E107" s="20">
        <v>2</v>
      </c>
      <c r="F107" s="7">
        <v>3.125E-2</v>
      </c>
    </row>
    <row r="108" spans="1:6" x14ac:dyDescent="0.25">
      <c r="A108" s="17" t="s">
        <v>209</v>
      </c>
      <c r="B108" s="18">
        <v>66.000000000000014</v>
      </c>
      <c r="C108" s="19">
        <v>1.2210000000000001</v>
      </c>
      <c r="D108" s="20">
        <v>30</v>
      </c>
      <c r="E108" s="20">
        <v>1</v>
      </c>
      <c r="F108" s="7">
        <v>1.1363636363636364E-2</v>
      </c>
    </row>
    <row r="109" spans="1:6" x14ac:dyDescent="0.25">
      <c r="A109" s="17" t="s">
        <v>210</v>
      </c>
      <c r="B109" s="18">
        <v>61.600000000000023</v>
      </c>
      <c r="C109" s="19">
        <v>1.1395999999999997</v>
      </c>
      <c r="D109" s="20">
        <v>28</v>
      </c>
      <c r="E109" s="20">
        <v>2</v>
      </c>
      <c r="F109" s="7">
        <v>3.0769230769230771E-2</v>
      </c>
    </row>
    <row r="110" spans="1:6" x14ac:dyDescent="0.25">
      <c r="A110" s="17" t="s">
        <v>211</v>
      </c>
      <c r="B110" s="18">
        <v>48.400000000000006</v>
      </c>
      <c r="C110" s="19">
        <v>0.89539999999999997</v>
      </c>
      <c r="D110" s="20">
        <v>22</v>
      </c>
      <c r="E110" s="20">
        <v>0</v>
      </c>
      <c r="F110" s="7">
        <v>0</v>
      </c>
    </row>
    <row r="111" spans="1:6" x14ac:dyDescent="0.25">
      <c r="A111" s="17" t="s">
        <v>212</v>
      </c>
      <c r="B111" s="18">
        <v>35.200000000000003</v>
      </c>
      <c r="C111" s="19">
        <v>0.6512</v>
      </c>
      <c r="D111" s="20">
        <v>16</v>
      </c>
      <c r="E111" s="20">
        <v>1</v>
      </c>
      <c r="F111" s="7">
        <v>3.125E-2</v>
      </c>
    </row>
    <row r="112" spans="1:6" x14ac:dyDescent="0.25">
      <c r="A112" s="17" t="s">
        <v>213</v>
      </c>
      <c r="B112" s="18">
        <v>35.199999999999996</v>
      </c>
      <c r="C112" s="19">
        <v>0.6512</v>
      </c>
      <c r="D112" s="20">
        <v>16</v>
      </c>
      <c r="E112" s="20">
        <v>0</v>
      </c>
      <c r="F112" s="7">
        <v>0</v>
      </c>
    </row>
    <row r="113" spans="1:6" x14ac:dyDescent="0.25">
      <c r="A113" s="17" t="s">
        <v>214</v>
      </c>
      <c r="B113" s="18">
        <v>24.2</v>
      </c>
      <c r="C113" s="19">
        <v>0.44770000000000004</v>
      </c>
      <c r="D113" s="20">
        <v>11</v>
      </c>
      <c r="E113" s="20">
        <v>1</v>
      </c>
      <c r="F113" s="7">
        <v>3.125E-2</v>
      </c>
    </row>
    <row r="114" spans="1:6" x14ac:dyDescent="0.25">
      <c r="A114" s="17" t="s">
        <v>215</v>
      </c>
      <c r="B114" s="18">
        <v>22</v>
      </c>
      <c r="C114" s="19">
        <v>0.40700000000000008</v>
      </c>
      <c r="D114" s="20">
        <v>10</v>
      </c>
      <c r="E114" s="20">
        <v>0</v>
      </c>
      <c r="F114" s="7">
        <v>0</v>
      </c>
    </row>
    <row r="115" spans="1:6" x14ac:dyDescent="0.25">
      <c r="A115" s="17" t="s">
        <v>216</v>
      </c>
      <c r="B115" s="18">
        <v>13.2</v>
      </c>
      <c r="C115" s="19">
        <v>0.24420000000000003</v>
      </c>
      <c r="D115" s="20">
        <v>6</v>
      </c>
      <c r="E115" s="20">
        <v>0</v>
      </c>
      <c r="F115" s="7">
        <v>0</v>
      </c>
    </row>
    <row r="116" spans="1:6" x14ac:dyDescent="0.25">
      <c r="A116" s="17" t="s">
        <v>217</v>
      </c>
      <c r="B116" s="18">
        <v>13.2</v>
      </c>
      <c r="C116" s="19">
        <v>0.24420000000000003</v>
      </c>
      <c r="D116" s="20">
        <v>6</v>
      </c>
      <c r="E116" s="20">
        <v>1</v>
      </c>
      <c r="F116" s="7">
        <v>8.3333333333333329E-2</v>
      </c>
    </row>
    <row r="117" spans="1:6" x14ac:dyDescent="0.25">
      <c r="A117" s="17" t="s">
        <v>218</v>
      </c>
      <c r="B117" s="18">
        <v>13.2</v>
      </c>
      <c r="C117" s="19">
        <v>0.24420000000000003</v>
      </c>
      <c r="D117" s="20">
        <v>6</v>
      </c>
      <c r="E117" s="20">
        <v>1</v>
      </c>
      <c r="F117" s="7">
        <v>0.1111111111111111</v>
      </c>
    </row>
    <row r="118" spans="1:6" x14ac:dyDescent="0.25">
      <c r="A118" s="17" t="s">
        <v>219</v>
      </c>
      <c r="B118" s="18">
        <v>13.2</v>
      </c>
      <c r="C118" s="19">
        <v>0.24420000000000003</v>
      </c>
      <c r="D118" s="20">
        <v>6</v>
      </c>
      <c r="E118" s="20">
        <v>0</v>
      </c>
      <c r="F118" s="7">
        <v>0</v>
      </c>
    </row>
    <row r="119" spans="1:6" x14ac:dyDescent="0.25">
      <c r="A119" s="17" t="s">
        <v>220</v>
      </c>
      <c r="B119" s="18">
        <v>8.8000000000000007</v>
      </c>
      <c r="C119" s="19">
        <v>0.1628</v>
      </c>
      <c r="D119" s="20">
        <v>4</v>
      </c>
      <c r="E119" s="20">
        <v>0</v>
      </c>
      <c r="F119" s="7">
        <v>0</v>
      </c>
    </row>
    <row r="120" spans="1:6" x14ac:dyDescent="0.25">
      <c r="A120" s="17" t="s">
        <v>221</v>
      </c>
      <c r="B120" s="18">
        <v>6.6000000000000005</v>
      </c>
      <c r="C120" s="19">
        <v>0.1221</v>
      </c>
      <c r="D120" s="20">
        <v>3</v>
      </c>
      <c r="E120" s="20">
        <v>0</v>
      </c>
      <c r="F120" s="7">
        <v>0</v>
      </c>
    </row>
    <row r="121" spans="1:6" x14ac:dyDescent="0.25">
      <c r="A121" s="17" t="s">
        <v>222</v>
      </c>
      <c r="B121" s="18">
        <v>2.2000000000000002</v>
      </c>
      <c r="C121" s="19">
        <v>4.07E-2</v>
      </c>
      <c r="D121" s="20">
        <v>1</v>
      </c>
      <c r="E121" s="20">
        <v>0</v>
      </c>
      <c r="F121" s="7">
        <v>0</v>
      </c>
    </row>
    <row r="122" spans="1:6" x14ac:dyDescent="0.25">
      <c r="A122" s="17" t="s">
        <v>223</v>
      </c>
      <c r="B122" s="18">
        <v>2.2000000000000002</v>
      </c>
      <c r="C122" s="19">
        <v>4.07E-2</v>
      </c>
      <c r="D122" s="20">
        <v>1</v>
      </c>
      <c r="E122" s="20">
        <v>0</v>
      </c>
      <c r="F122" s="7">
        <v>0</v>
      </c>
    </row>
    <row r="123" spans="1:6" x14ac:dyDescent="0.25">
      <c r="A123" s="17" t="s">
        <v>224</v>
      </c>
      <c r="B123" s="18">
        <v>2.2000000000000002</v>
      </c>
      <c r="C123" s="19">
        <v>4.07E-2</v>
      </c>
      <c r="D123" s="20">
        <v>1</v>
      </c>
      <c r="E123" s="20">
        <v>0</v>
      </c>
      <c r="F123" s="7">
        <v>0</v>
      </c>
    </row>
    <row r="124" spans="1:6" x14ac:dyDescent="0.25">
      <c r="A124" s="17" t="s">
        <v>225</v>
      </c>
      <c r="B124" s="18">
        <v>2.2000000000000002</v>
      </c>
      <c r="C124" s="19">
        <v>4.07E-2</v>
      </c>
      <c r="D124" s="20">
        <v>1</v>
      </c>
      <c r="E124" s="20">
        <v>0</v>
      </c>
      <c r="F124" s="7">
        <v>0</v>
      </c>
    </row>
    <row r="125" spans="1:6" x14ac:dyDescent="0.25">
      <c r="A125" s="17" t="s">
        <v>226</v>
      </c>
      <c r="B125" s="18">
        <v>2.2000000000000002</v>
      </c>
      <c r="C125" s="19">
        <v>4.07E-2</v>
      </c>
      <c r="D125" s="20">
        <v>1</v>
      </c>
      <c r="E125" s="20">
        <v>0</v>
      </c>
      <c r="F125" s="7">
        <v>0</v>
      </c>
    </row>
    <row r="126" spans="1:6" x14ac:dyDescent="0.25">
      <c r="A126" s="17" t="s">
        <v>227</v>
      </c>
      <c r="B126" s="18">
        <v>2.2000000000000002</v>
      </c>
      <c r="C126" s="19">
        <v>4.07E-2</v>
      </c>
      <c r="D126" s="20">
        <v>1</v>
      </c>
      <c r="E126" s="20">
        <v>0</v>
      </c>
      <c r="F126" s="7">
        <v>0</v>
      </c>
    </row>
    <row r="127" spans="1:6" x14ac:dyDescent="0.25">
      <c r="A127" s="17" t="s">
        <v>228</v>
      </c>
      <c r="B127" s="18">
        <v>2.2000000000000002</v>
      </c>
      <c r="C127" s="19">
        <v>4.07E-2</v>
      </c>
      <c r="D127" s="20">
        <v>1</v>
      </c>
      <c r="E127" s="20">
        <v>0</v>
      </c>
      <c r="F127" s="7">
        <v>0</v>
      </c>
    </row>
    <row r="128" spans="1:6" x14ac:dyDescent="0.25">
      <c r="A128" s="17" t="s">
        <v>229</v>
      </c>
      <c r="B128" s="18">
        <v>0</v>
      </c>
      <c r="C128" s="19">
        <v>0</v>
      </c>
      <c r="D128" s="20">
        <v>0</v>
      </c>
      <c r="E128" s="20">
        <v>0</v>
      </c>
      <c r="F128" s="7">
        <v>0</v>
      </c>
    </row>
    <row r="129" spans="1:6" x14ac:dyDescent="0.25">
      <c r="A129" s="17" t="s">
        <v>230</v>
      </c>
      <c r="B129" s="18">
        <v>0</v>
      </c>
      <c r="C129" s="19">
        <v>0</v>
      </c>
      <c r="D129" s="20">
        <v>0</v>
      </c>
      <c r="E129" s="20">
        <v>0</v>
      </c>
      <c r="F129" s="7">
        <v>0</v>
      </c>
    </row>
    <row r="130" spans="1:6" x14ac:dyDescent="0.25">
      <c r="A130" s="17" t="s">
        <v>231</v>
      </c>
      <c r="B130" s="18">
        <v>0</v>
      </c>
      <c r="C130" s="19">
        <v>0</v>
      </c>
      <c r="D130" s="20">
        <v>0</v>
      </c>
      <c r="E130" s="20">
        <v>0</v>
      </c>
      <c r="F130" s="7">
        <v>0</v>
      </c>
    </row>
    <row r="131" spans="1:6" x14ac:dyDescent="0.25">
      <c r="A131" s="17" t="s">
        <v>232</v>
      </c>
      <c r="B131" s="18">
        <v>0</v>
      </c>
      <c r="C131" s="19">
        <v>0</v>
      </c>
      <c r="D131" s="20">
        <v>0</v>
      </c>
      <c r="E131" s="20">
        <v>0</v>
      </c>
      <c r="F131" s="7">
        <v>0</v>
      </c>
    </row>
    <row r="132" spans="1:6" x14ac:dyDescent="0.25">
      <c r="A132" s="17" t="s">
        <v>233</v>
      </c>
      <c r="B132" s="18">
        <v>0</v>
      </c>
      <c r="C132" s="19">
        <v>0</v>
      </c>
      <c r="D132" s="20">
        <v>0</v>
      </c>
      <c r="E132" s="20">
        <v>0</v>
      </c>
      <c r="F132" s="7">
        <v>0</v>
      </c>
    </row>
    <row r="133" spans="1:6" x14ac:dyDescent="0.25">
      <c r="A133" s="17" t="s">
        <v>234</v>
      </c>
      <c r="B133" s="18">
        <v>0</v>
      </c>
      <c r="C133" s="19">
        <v>0</v>
      </c>
      <c r="D133" s="20">
        <v>0</v>
      </c>
      <c r="E133" s="20">
        <v>0</v>
      </c>
      <c r="F133" s="7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af72c41-31f4-4d40-a6d0-808117dc4d77}" enabled="1" method="Standard" siteId="{be0f980b-dd99-4b19-bd7b-bc71a09b026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Spend</vt:lpstr>
      <vt:lpstr>Creative by Day</vt:lpstr>
      <vt:lpstr>DMA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Ingleston</cp:lastModifiedBy>
  <dcterms:created xsi:type="dcterms:W3CDTF">2025-09-03T20:04:20Z</dcterms:created>
  <dcterms:modified xsi:type="dcterms:W3CDTF">2025-12-09T14:58:30Z</dcterms:modified>
</cp:coreProperties>
</file>