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rs170/Downloads/"/>
    </mc:Choice>
  </mc:AlternateContent>
  <xr:revisionPtr revIDLastSave="0" documentId="8_{0C384827-BB86-124E-B6B2-556C3ABC911E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Daily Spend" sheetId="2" r:id="rId1"/>
    <sheet name="Creative by Date" sheetId="1" r:id="rId2"/>
    <sheet name="DMA" sheetId="3" r:id="rId3"/>
  </sheets>
  <calcPr calcId="191029"/>
  <pivotCaches>
    <pivotCache cacheId="4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6" i="1"/>
  <c r="A7" i="1" s="1"/>
  <c r="A8" i="1" s="1"/>
  <c r="A10" i="1"/>
  <c r="A11" i="1" s="1"/>
  <c r="A12" i="1" s="1"/>
  <c r="A14" i="1"/>
  <c r="A15" i="1"/>
  <c r="A16" i="1" s="1"/>
  <c r="A18" i="1"/>
  <c r="A19" i="1"/>
  <c r="A20" i="1" s="1"/>
  <c r="A22" i="1"/>
  <c r="A23" i="1" s="1"/>
  <c r="A24" i="1" s="1"/>
  <c r="A26" i="1"/>
  <c r="A27" i="1" s="1"/>
  <c r="A28" i="1" s="1"/>
  <c r="A30" i="1"/>
  <c r="A31" i="1" s="1"/>
  <c r="A32" i="1" s="1"/>
  <c r="A34" i="1"/>
  <c r="A35" i="1"/>
  <c r="A36" i="1"/>
  <c r="A38" i="1"/>
  <c r="A39" i="1"/>
  <c r="A40" i="1" s="1"/>
  <c r="A42" i="1"/>
  <c r="A43" i="1" s="1"/>
  <c r="A44" i="1" s="1"/>
  <c r="A46" i="1"/>
  <c r="A47" i="1"/>
  <c r="A48" i="1" s="1"/>
  <c r="A50" i="1"/>
  <c r="A51" i="1"/>
  <c r="A52" i="1" s="1"/>
  <c r="A54" i="1"/>
  <c r="A55" i="1"/>
  <c r="A56" i="1" s="1"/>
  <c r="A58" i="1"/>
  <c r="A59" i="1" s="1"/>
  <c r="A61" i="1"/>
  <c r="A62" i="1" s="1"/>
  <c r="A64" i="1"/>
  <c r="A65" i="1" s="1"/>
  <c r="A66" i="1" s="1"/>
  <c r="A68" i="1"/>
  <c r="A69" i="1" s="1"/>
  <c r="A70" i="1" s="1"/>
  <c r="A72" i="1"/>
  <c r="A73" i="1"/>
  <c r="A74" i="1" s="1"/>
  <c r="A76" i="1"/>
  <c r="A77" i="1"/>
  <c r="A78" i="1" s="1"/>
  <c r="A80" i="1"/>
  <c r="A81" i="1" s="1"/>
  <c r="A82" i="1" s="1"/>
  <c r="A84" i="1"/>
  <c r="A85" i="1" s="1"/>
  <c r="A87" i="1"/>
  <c r="A88" i="1"/>
  <c r="A90" i="1"/>
  <c r="A91" i="1"/>
  <c r="A93" i="1"/>
  <c r="A94" i="1" s="1"/>
  <c r="A96" i="1"/>
  <c r="A97" i="1" s="1"/>
  <c r="A99" i="1"/>
  <c r="A100" i="1" s="1"/>
  <c r="A102" i="1"/>
  <c r="A103" i="1"/>
  <c r="A105" i="1"/>
  <c r="A106" i="1"/>
  <c r="A108" i="1"/>
  <c r="A109" i="1" s="1"/>
  <c r="A111" i="1"/>
  <c r="A112" i="1"/>
</calcChain>
</file>

<file path=xl/sharedStrings.xml><?xml version="1.0" encoding="utf-8"?>
<sst xmlns="http://schemas.openxmlformats.org/spreadsheetml/2006/main" count="264" uniqueCount="262">
  <si>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</si>
  <si>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</si>
  <si>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</si>
  <si>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</si>
  <si>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</si>
  <si>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</si>
  <si>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</si>
  <si>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</si>
  <si>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</si>
  <si>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</si>
  <si>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</si>
  <si>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</si>
  <si>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</si>
  <si>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</si>
  <si>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</si>
  <si>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</si>
  <si>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</si>
  <si>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</si>
  <si>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</si>
  <si>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</si>
  <si>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</si>
  <si>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</si>
  <si>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</si>
  <si>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</si>
  <si>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</si>
  <si>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</si>
  <si>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</si>
  <si>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</si>
  <si>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</si>
  <si>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</si>
  <si>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</si>
  <si>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</si>
  <si>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</si>
  <si>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</si>
  <si>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</si>
  <si>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</si>
  <si>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</si>
  <si>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</si>
  <si>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</si>
  <si>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</si>
  <si>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</si>
  <si>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</si>
  <si>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</si>
  <si>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</si>
  <si>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</si>
  <si>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</si>
  <si>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</si>
  <si>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</si>
  <si>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</si>
  <si>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</si>
  <si>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</si>
  <si>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</si>
  <si>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</si>
  <si>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</si>
  <si>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BetOnline_Wimbledon2025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</si>
  <si>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</si>
  <si>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</si>
  <si>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</si>
  <si>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</si>
  <si>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</si>
  <si>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</si>
  <si>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</si>
  <si>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BetOnline_Golf_July2025</t>
  </si>
  <si>
    <t>BetOnline_MLB_June2025</t>
  </si>
  <si>
    <t>BetOnline_Podcast_July2025</t>
  </si>
  <si>
    <t>BetOnine_BasesLoaded_June2025</t>
  </si>
  <si>
    <t>BetOnline_Golf_July2025</t>
  </si>
  <si>
    <t>BetOnline_MLB_June2025</t>
  </si>
  <si>
    <t>BetOnline_Podcast_July2025</t>
  </si>
  <si>
    <t>BetOnine_BasesLoaded_June2025</t>
  </si>
  <si>
    <t>BetOnline_Golf_July2025</t>
  </si>
  <si>
    <t>BetOnline_MLB_June2025</t>
  </si>
  <si>
    <t>BetOnline_Podcast_July2025</t>
  </si>
  <si>
    <t>BetOnine_BasesLoaded_June2025</t>
  </si>
  <si>
    <t>BetOnline_Golf_July2025</t>
  </si>
  <si>
    <t>BetOnline_MLB_June2025</t>
  </si>
  <si>
    <t>BetOnline_Podcast_July2025</t>
  </si>
  <si>
    <t>BetOnine_BasesLoaded_June2025</t>
  </si>
  <si>
    <t>BetOnline_Golf_July2025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</si>
  <si>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</si>
  <si>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</si>
  <si>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</si>
  <si>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</si>
  <si>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</si>
  <si>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</si>
  <si>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</si>
  <si>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</si>
  <si>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</si>
  <si>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</si>
  <si>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</si>
  <si>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</si>
  <si>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</si>
  <si>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</si>
  <si>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</si>
  <si>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</si>
  <si>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</si>
  <si>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</si>
  <si>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</si>
  <si>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</si>
  <si>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</si>
  <si>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</si>
  <si>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</si>
  <si>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</si>
  <si>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</si>
  <si>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</si>
  <si>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</si>
  <si>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</si>
  <si>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</si>
  <si>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</si>
  <si>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</si>
  <si>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</si>
  <si>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Impressions</t>
  </si>
  <si>
    <t>Spend</t>
  </si>
  <si>
    <t>AdPlays</t>
  </si>
  <si>
    <t>Clicks</t>
  </si>
  <si>
    <t>Game Enagagement</t>
  </si>
  <si>
    <t>Game Engagement Rate</t>
  </si>
  <si>
    <t>Creative</t>
  </si>
  <si>
    <t>Engagement Rate</t>
  </si>
  <si>
    <t>Date</t>
  </si>
  <si>
    <t>Row Labels</t>
  </si>
  <si>
    <t>(blank)</t>
  </si>
  <si>
    <t>Grand Total</t>
  </si>
  <si>
    <t>Sum of Impressions</t>
  </si>
  <si>
    <t>Sum of Spend</t>
  </si>
  <si>
    <t>DMA</t>
  </si>
  <si>
    <t>Miami-Fort Lauderdale, FL</t>
  </si>
  <si>
    <t>Atlanta, GA</t>
  </si>
  <si>
    <t>Los Angeles, CA</t>
  </si>
  <si>
    <t>Orlando-Daytona Beach-Melbourne, FL</t>
  </si>
  <si>
    <t>Houston, TX</t>
  </si>
  <si>
    <t>Seattle-Tacoma, WA</t>
  </si>
  <si>
    <t>Dallas-Ft. Worth, TX</t>
  </si>
  <si>
    <t>San Francisco-Oakland-San Jose, CA</t>
  </si>
  <si>
    <t>Washington, DC (Hagerstown, MD)</t>
  </si>
  <si>
    <t>Tampa-St. Petersburg (Sarasota), FL</t>
  </si>
  <si>
    <t>Minneapolis-St. Paul, MN</t>
  </si>
  <si>
    <t>Salt Lake City, UT</t>
  </si>
  <si>
    <t>St. Louis, MO</t>
  </si>
  <si>
    <t>Austin, TX</t>
  </si>
  <si>
    <t>San Diego, CA</t>
  </si>
  <si>
    <t>Milwaukee, WI</t>
  </si>
  <si>
    <t>Charleston, SC</t>
  </si>
  <si>
    <t>San Antonio, TX</t>
  </si>
  <si>
    <t>Oklahoma City, OK</t>
  </si>
  <si>
    <t>West Palm Beach-Ft. Pierce, FL</t>
  </si>
  <si>
    <t>Kansas City, MO</t>
  </si>
  <si>
    <t>Philadelphia, PA</t>
  </si>
  <si>
    <t>Sacramento-Stockton-Modesto, CA</t>
  </si>
  <si>
    <t>Jacksonville, FL</t>
  </si>
  <si>
    <t>Ft. Myers-Naples, FL</t>
  </si>
  <si>
    <t>Greenville-Spartanburg, SC-Asheville, NC-Anderson,SC</t>
  </si>
  <si>
    <t>Tulsa, OK</t>
  </si>
  <si>
    <t>Albuquerque-Santa Fe, NM</t>
  </si>
  <si>
    <t>Savannah, GA</t>
  </si>
  <si>
    <t>Columbia, SC</t>
  </si>
  <si>
    <t>Mobile, AL-Pensacola (Ft. Walton Beach), FL</t>
  </si>
  <si>
    <t>Myrtle Beach-Florence, SC</t>
  </si>
  <si>
    <t>Other</t>
  </si>
  <si>
    <t>Honolulu, HI</t>
  </si>
  <si>
    <t>Spokane, WA</t>
  </si>
  <si>
    <t>Birmingham (Anniston and Tuscaloosa), AL</t>
  </si>
  <si>
    <t>Madison, WI</t>
  </si>
  <si>
    <t>Springfield, MO</t>
  </si>
  <si>
    <t>Portland, OR</t>
  </si>
  <si>
    <t>Boise, ID</t>
  </si>
  <si>
    <t>Salisbury, MD</t>
  </si>
  <si>
    <t>Huntsville-Decatur (Florence), AL</t>
  </si>
  <si>
    <t>Panama City, FL</t>
  </si>
  <si>
    <t>Green Bay-Appleton, WI</t>
  </si>
  <si>
    <t>Biloxi-Gulfport, MS</t>
  </si>
  <si>
    <t>Charlotte, NC</t>
  </si>
  <si>
    <t>Fargo-Valley City, ND</t>
  </si>
  <si>
    <t>Waco-Temple-Bryan, TX</t>
  </si>
  <si>
    <t>Tallahassee, FL-Thomasville, GA</t>
  </si>
  <si>
    <t>Jackson, MS</t>
  </si>
  <si>
    <t>Memphis, TN</t>
  </si>
  <si>
    <t>El Paso, TX</t>
  </si>
  <si>
    <t>Columbus, GA</t>
  </si>
  <si>
    <t>Harlingen-Weslaco-Brownsville-McAllen, TX</t>
  </si>
  <si>
    <t>Rochester, NY</t>
  </si>
  <si>
    <t>Fresno-Visalia, CA</t>
  </si>
  <si>
    <t>Monterey-Salinas, CA</t>
  </si>
  <si>
    <t>Santa Barbara-Santa Maria-San Luis Obispo, CA</t>
  </si>
  <si>
    <t>Gainesville, FL</t>
  </si>
  <si>
    <t>Montgomery-Selma, AL</t>
  </si>
  <si>
    <t>Odessa-Midland, TX</t>
  </si>
  <si>
    <t>Sioux Falls (Mitchell), SD</t>
  </si>
  <si>
    <t>Columbia-Jefferson City, MO</t>
  </si>
  <si>
    <t>Lubbock, TX</t>
  </si>
  <si>
    <t>Palm Springs, CA</t>
  </si>
  <si>
    <t>La Crosse-Eau Claire, WI</t>
  </si>
  <si>
    <t>Corpus Christi, TX</t>
  </si>
  <si>
    <t>Augusta, GA</t>
  </si>
  <si>
    <t>Macon, GA</t>
  </si>
  <si>
    <t>Wichita Falls, TX-Lawton, OK</t>
  </si>
  <si>
    <t>Paducah, KY-Cape Girardeau, MO-Harrisburg, IL</t>
  </si>
  <si>
    <t>Bakersfield, CA</t>
  </si>
  <si>
    <t>Missoula, MT</t>
  </si>
  <si>
    <t>Butte-Bozeman, MT</t>
  </si>
  <si>
    <t>Minot-Bismarck-Dickinson(Williston), ND</t>
  </si>
  <si>
    <t>Beaumont-Port Arthur, TX</t>
  </si>
  <si>
    <t>Albany, GA</t>
  </si>
  <si>
    <t>Dothan, AL</t>
  </si>
  <si>
    <t>Amarillo, TX</t>
  </si>
  <si>
    <t>Rapid City, SD</t>
  </si>
  <si>
    <t>Sherman, TX-Ada, OK</t>
  </si>
  <si>
    <t>Chattanooga, TN</t>
  </si>
  <si>
    <t>Duluth, MN-Superior, WI</t>
  </si>
  <si>
    <t>Laredo, TX</t>
  </si>
  <si>
    <t>Yakima-Pasco-Richland-Kennewick, WA</t>
  </si>
  <si>
    <t>Billings, MT</t>
  </si>
  <si>
    <t>Idaho Falls-Pocatello, ID</t>
  </si>
  <si>
    <t>Reno, NV</t>
  </si>
  <si>
    <t>Chico-Redding, CA</t>
  </si>
  <si>
    <t>Tyler-Longview(Lufkin &amp; Nacogdoches), TX</t>
  </si>
  <si>
    <t>Yuma, AZ-El Centro, CA</t>
  </si>
  <si>
    <t>Great Falls, MT</t>
  </si>
  <si>
    <t>Shreveport, LA</t>
  </si>
  <si>
    <t>New Orleans, LA</t>
  </si>
  <si>
    <t>Mankato, MN</t>
  </si>
  <si>
    <t>Abilene-Sweetwater, TX</t>
  </si>
  <si>
    <t>St. Joseph, MO</t>
  </si>
  <si>
    <t>Joplin, MO-Pittsburg, KS</t>
  </si>
  <si>
    <t>Columbus-Tupelo-West Point, MS</t>
  </si>
  <si>
    <t>Wausau-Rhinelander, WI</t>
  </si>
  <si>
    <t>Hattiesburg-Laurel, MS</t>
  </si>
  <si>
    <t>Meridian, MS</t>
  </si>
  <si>
    <t>San Angelo, TX</t>
  </si>
  <si>
    <t>Juneau, AK</t>
  </si>
  <si>
    <t>Twin Falls, ID</t>
  </si>
  <si>
    <t>Ft. Smith-Fayetteville-Springdale-Rogers, AR</t>
  </si>
  <si>
    <t>Eureka, CA</t>
  </si>
  <si>
    <t>Chicago, IL</t>
  </si>
  <si>
    <t>Baltimore, MD</t>
  </si>
  <si>
    <t>Victoria, TX</t>
  </si>
  <si>
    <t>Quincy, IL-Hannibal, MO-Keokuk, IA</t>
  </si>
  <si>
    <t>Greenwood-Greenville, MS</t>
  </si>
  <si>
    <t>Helena, MT</t>
  </si>
  <si>
    <t>Ottumwa, IA-Kirksville, MO</t>
  </si>
  <si>
    <t>Rockford, IL</t>
  </si>
  <si>
    <t>Sioux City, IA</t>
  </si>
  <si>
    <t>Wilmington, NC</t>
  </si>
  <si>
    <t>Omaha, NE</t>
  </si>
  <si>
    <t>Medford-Klamath Falls, OR</t>
  </si>
  <si>
    <t>Las Vegas, NV</t>
  </si>
  <si>
    <t>Regina--Moose Mountain</t>
  </si>
  <si>
    <t>Phoenix, AZ</t>
  </si>
  <si>
    <t>Nashville, TN</t>
  </si>
  <si>
    <t>Monroe, LA-El Dorado, AR</t>
  </si>
  <si>
    <t>Jonesboro, AR</t>
  </si>
  <si>
    <t>Glendive, MT</t>
  </si>
  <si>
    <t>Wichita-Hutchinson, KS Plus</t>
  </si>
  <si>
    <t>Tucson (Sierra Vista), AZ</t>
  </si>
  <si>
    <t>New York, NY</t>
  </si>
  <si>
    <t>Lower Mainland--Southwest / Lower Mainland--Sud-ouest</t>
  </si>
  <si>
    <t>Lake Charles, LA</t>
  </si>
  <si>
    <t>Grand Junction-Montrose, CO</t>
  </si>
  <si>
    <t>Des Moines-Ames, IA</t>
  </si>
  <si>
    <t>Denver, CO</t>
  </si>
  <si>
    <t>Cedar Rapids-Waterloo-Iowa City &amp; Dubuque, IA</t>
  </si>
  <si>
    <t>Baton Rouge,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</si>
</sst>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-#,##0"/>
    <numFmt numFmtId="165" formatCode="&quot;$&quot;#,##0;\-&quot;$&quot;#,##0"/>
    <numFmt numFmtId="168" formatCode="_(* #,##0_);_(* \(#,##0\);_(* &quot;-&quot;??_);_(@_)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10" fontId="1" fillId="0" borderId="7" xfId="0" applyNumberFormat="1" applyFont="1" applyBorder="1" applyAlignment="1">
      <alignment vertical="center"/>
    </xf>
    <xf numFmtId="14" fontId="1" fillId="0" borderId="3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vertical="top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2" applyFont="1"/>
    <xf numFmtId="168" fontId="0" fillId="0" borderId="0" xfId="1" applyNumberFormat="1" applyFont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164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14">
    <dxf>
      <numFmt numFmtId="167" formatCode="_(* #,##0.0_);_(* \(#,##0.0\);_(* &quot;-&quot;??_);_(@_)"/>
    </dxf>
    <dxf>
      <numFmt numFmtId="168" formatCode="_(* #,##0_);_(* \(#,##0\);_(* &quot;-&quot;??_);_(@_)"/>
    </dxf>
    <dxf>
      <numFmt numFmtId="167" formatCode="_(* #,##0.0_);_(* \(#,##0.0\);_(* &quot;-&quot;??_);_(@_)"/>
    </dxf>
    <dxf>
      <numFmt numFmtId="168" formatCode="_(* #,##0_);_(* \(#,##0\);_(* &quot;-&quot;??_);_(@_)"/>
    </dxf>
    <dxf>
      <numFmt numFmtId="167" formatCode="_(* #,##0.0_);_(* \(#,##0.0\);_(* &quot;-&quot;??_);_(@_)"/>
    </dxf>
    <dxf>
      <numFmt numFmtId="167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_(* #,##0.000_);_(* \(#,##0.000\);_(* &quot;-&quot;??_);_(@_)"/>
    </dxf>
    <dxf>
      <numFmt numFmtId="166" formatCode="_(* #,##0.000_);_(* \(#,##0.000\);_(* &quot;-&quot;??_);_(@_)"/>
    </dxf>
    <dxf>
      <numFmt numFmtId="166" formatCode="_(* #,##0.000_);_(* \(#,##0.000\);_(* &quot;-&quot;??_);_(@_)"/>
    </dxf>
    <dxf>
      <numFmt numFmtId="166" formatCode="_(* #,##0.000_);_(* \(#,##0.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70.440038773151" createdVersion="8" refreshedVersion="8" minRefreshableVersion="3" recordCount="112" xr:uid="{6E0C2913-D624-D247-AF70-67F7FD8FCDD9}">
  <cacheSource type="worksheet">
    <worksheetSource ref="A1:F1048576" sheet="Creative by Date"/>
  </cacheSource>
  <cacheFields count="6">
    <cacheField name="Date" numFmtId="14">
      <sharedItems containsNonDate="0" containsDate="1" containsString="0" containsBlank="1" minDate="2025-07-01T00:00:00" maxDate="2025-08-01T00:00:00" count="32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m/>
      </sharedItems>
    </cacheField>
    <cacheField name="Creative" numFmtId="0">
      <sharedItems containsBlank="1"/>
    </cacheField>
    <cacheField name="Impressions" numFmtId="0">
      <sharedItems containsString="0" containsBlank="1" containsNumber="1" minValue="0" maxValue="50831.000000000029"/>
    </cacheField>
    <cacheField name="Spend" numFmtId="0">
      <sharedItems containsString="0" containsBlank="1" containsNumber="1" minValue="0" maxValue="940.37350000000038"/>
    </cacheField>
    <cacheField name="Clicks" numFmtId="0">
      <sharedItems containsString="0" containsBlank="1" containsNumber="1" containsInteger="1" minValue="0" maxValue="470"/>
    </cacheField>
    <cacheField name="Engagement Rate" numFmtId="0">
      <sharedItems containsBlank="1" containsMixedTypes="1" containsNumber="1" minValue="0" maxValue="3.691099476439790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BetOnine_BasesLoaded_June2025"/>
    <n v="40741.80000000001"/>
    <n v="753.72329999999988"/>
    <n v="446"/>
    <n v="2.4083373832280361E-2"/>
  </r>
  <r>
    <x v="0"/>
    <s v="BetOnline_MLB_June2025"/>
    <n v="40708.80000000001"/>
    <n v="753.11280000000011"/>
    <n v="0"/>
    <n v="0"/>
  </r>
  <r>
    <x v="0"/>
    <s v="BetOnline_Podcast_July2025"/>
    <n v="18682.400000000005"/>
    <n v="345.62440000000015"/>
    <n v="0"/>
    <n v="0"/>
  </r>
  <r>
    <x v="1"/>
    <s v="BetOnine_BasesLoaded_June2025"/>
    <n v="25073.4"/>
    <n v="463.85790000000003"/>
    <n v="305"/>
    <n v="2.6761428446082303E-2"/>
  </r>
  <r>
    <x v="1"/>
    <s v="BetOnline_MLB_June2025"/>
    <n v="25029.399999999998"/>
    <n v="463.04390000000012"/>
    <n v="0"/>
    <n v="0"/>
  </r>
  <r>
    <x v="1"/>
    <s v="BetOnline_Podcast_July2025"/>
    <n v="38715.600000000006"/>
    <n v="716.23860000000013"/>
    <n v="0"/>
    <n v="0"/>
  </r>
  <r>
    <x v="1"/>
    <s v="BetOnline_Wimbledon2025"/>
    <n v="10443.4"/>
    <n v="193.20290000000003"/>
    <n v="0"/>
    <n v="0"/>
  </r>
  <r>
    <x v="2"/>
    <s v="BetOnine_BasesLoaded_June2025"/>
    <n v="25535.399999999998"/>
    <n v="472.4049"/>
    <n v="340"/>
    <n v="2.9292668217454985E-2"/>
  </r>
  <r>
    <x v="2"/>
    <s v="BetOnline_MLB_June2025"/>
    <n v="25847.799999999996"/>
    <n v="478.18430000000006"/>
    <n v="0"/>
    <n v="0"/>
  </r>
  <r>
    <x v="2"/>
    <s v="BetOnline_Podcast_July2025"/>
    <n v="25220.800000000003"/>
    <n v="466.58480000000003"/>
    <n v="0"/>
    <n v="0"/>
  </r>
  <r>
    <x v="2"/>
    <s v="BetOnline_Wimbledon2025"/>
    <n v="25748.800000000007"/>
    <n v="476.35280000000006"/>
    <n v="0"/>
    <n v="0"/>
  </r>
  <r>
    <x v="3"/>
    <s v="BetOnine_BasesLoaded_June2025"/>
    <n v="25212.000000000007"/>
    <n v="466.42200000000008"/>
    <n v="423"/>
    <n v="3.6910994764397909E-2"/>
  </r>
  <r>
    <x v="3"/>
    <s v="BetOnline_MLB_June2025"/>
    <n v="25275.800000000003"/>
    <n v="467.60230000000001"/>
    <n v="0"/>
    <n v="0"/>
  </r>
  <r>
    <x v="3"/>
    <s v="BetOnline_Podcast_July2025"/>
    <n v="25066.800000000014"/>
    <n v="463.73580000000015"/>
    <n v="0"/>
    <n v="0"/>
  </r>
  <r>
    <x v="3"/>
    <s v="BetOnline_Wimbledon2025"/>
    <n v="25443.000000000007"/>
    <n v="470.6955000000001"/>
    <n v="0"/>
    <n v="0"/>
  </r>
  <r>
    <x v="4"/>
    <s v="BetOnine_BasesLoaded_June2025"/>
    <n v="25066.799999999999"/>
    <n v="463.73580000000021"/>
    <n v="401"/>
    <n v="3.5193961734246097E-2"/>
  </r>
  <r>
    <x v="4"/>
    <s v="BetOnline_MLB_June2025"/>
    <n v="24820.399999999998"/>
    <n v="459.1774000000002"/>
    <n v="0"/>
    <n v="0"/>
  </r>
  <r>
    <x v="4"/>
    <s v="BetOnline_Podcast_July2025"/>
    <n v="25036.000000000004"/>
    <n v="463.16599999999994"/>
    <n v="0"/>
    <n v="0"/>
  </r>
  <r>
    <x v="4"/>
    <s v="BetOnline_Wimbledon2025"/>
    <n v="24882"/>
    <n v="460.31700000000006"/>
    <n v="0"/>
    <n v="0"/>
  </r>
  <r>
    <x v="5"/>
    <s v="BetOnine_BasesLoaded_June2025"/>
    <n v="25141.600000000002"/>
    <n v="465.11959999999993"/>
    <n v="341"/>
    <n v="2.9838991949597479E-2"/>
  </r>
  <r>
    <x v="5"/>
    <s v="BetOnline_MLB_June2025"/>
    <n v="24928.200000000004"/>
    <n v="461.17169999999999"/>
    <n v="0"/>
    <n v="0"/>
  </r>
  <r>
    <x v="5"/>
    <s v="BetOnline_Podcast_July2025"/>
    <n v="25476.000000000004"/>
    <n v="471.30599999999998"/>
    <n v="0"/>
    <n v="0"/>
  </r>
  <r>
    <x v="5"/>
    <s v="BetOnline_Wimbledon2025"/>
    <n v="24976.600000000009"/>
    <n v="462.06710000000004"/>
    <n v="0"/>
    <n v="0"/>
  </r>
  <r>
    <x v="6"/>
    <s v="BetOnine_BasesLoaded_June2025"/>
    <n v="25022.800000000003"/>
    <n v="462.92180000000002"/>
    <n v="302"/>
    <n v="2.6551784772287673E-2"/>
  </r>
  <r>
    <x v="6"/>
    <s v="BetOnline_MLB_June2025"/>
    <n v="25207.599999999999"/>
    <n v="466.34059999999999"/>
    <n v="0"/>
    <n v="0"/>
  </r>
  <r>
    <x v="6"/>
    <s v="BetOnline_Podcast_July2025"/>
    <n v="25181.200000000004"/>
    <n v="465.85220000000004"/>
    <n v="0"/>
    <n v="0"/>
  </r>
  <r>
    <x v="6"/>
    <s v="BetOnline_Wimbledon2025"/>
    <n v="25205.4"/>
    <n v="466.29989999999998"/>
    <n v="0"/>
    <n v="0"/>
  </r>
  <r>
    <x v="7"/>
    <s v="BetOnine_BasesLoaded_June2025"/>
    <n v="25152.600000000009"/>
    <n v="465.32310000000007"/>
    <n v="264"/>
    <n v="2.309105221726581E-2"/>
  </r>
  <r>
    <x v="7"/>
    <s v="BetOnline_MLB_June2025"/>
    <n v="25517.80000000001"/>
    <n v="472.0793000000001"/>
    <n v="0"/>
    <n v="0"/>
  </r>
  <r>
    <x v="7"/>
    <s v="BetOnline_Podcast_July2025"/>
    <n v="25181.200000000008"/>
    <n v="465.85219999999998"/>
    <n v="0"/>
    <n v="0"/>
  </r>
  <r>
    <x v="7"/>
    <s v="BetOnline_Wimbledon2025"/>
    <n v="25249.400000000005"/>
    <n v="467.11389999999989"/>
    <n v="0"/>
    <n v="0"/>
  </r>
  <r>
    <x v="8"/>
    <s v="BetOnine_BasesLoaded_June2025"/>
    <n v="25335.200000000001"/>
    <n v="468.70120000000003"/>
    <n v="277"/>
    <n v="2.4053490795415074E-2"/>
  </r>
  <r>
    <x v="8"/>
    <s v="BetOnline_MLB_June2025"/>
    <n v="25009.600000000006"/>
    <n v="462.67759999999998"/>
    <n v="0"/>
    <n v="0"/>
  </r>
  <r>
    <x v="8"/>
    <s v="BetOnline_Podcast_July2025"/>
    <n v="25168.000000000004"/>
    <n v="465.608"/>
    <n v="0"/>
    <n v="0"/>
  </r>
  <r>
    <x v="8"/>
    <s v="BetOnline_Wimbledon2025"/>
    <n v="24890.80000000001"/>
    <n v="460.47980000000001"/>
    <n v="0"/>
    <n v="0"/>
  </r>
  <r>
    <x v="9"/>
    <s v="BetOnine_BasesLoaded_June2025"/>
    <n v="25225.200000000008"/>
    <n v="466.66620000000006"/>
    <n v="263"/>
    <n v="2.2937380080237223E-2"/>
  </r>
  <r>
    <x v="9"/>
    <s v="BetOnline_MLB_June2025"/>
    <n v="25682.800000000003"/>
    <n v="475.13179999999994"/>
    <n v="0"/>
    <n v="0"/>
  </r>
  <r>
    <x v="9"/>
    <s v="BetOnline_Podcast_July2025"/>
    <n v="25236.200000000008"/>
    <n v="466.86970000000008"/>
    <n v="0"/>
    <n v="0"/>
  </r>
  <r>
    <x v="9"/>
    <s v="BetOnline_Wimbledon2025"/>
    <n v="25581.600000000006"/>
    <n v="473.25960000000003"/>
    <n v="0"/>
    <n v="0"/>
  </r>
  <r>
    <x v="10"/>
    <s v="BetOnine_BasesLoaded_June2025"/>
    <n v="25438.600000000006"/>
    <n v="470.61410000000001"/>
    <n v="314"/>
    <n v="2.7155582461298972E-2"/>
  </r>
  <r>
    <x v="10"/>
    <s v="BetOnline_MLB_June2025"/>
    <n v="25328.600000000006"/>
    <n v="468.57909999999998"/>
    <n v="0"/>
    <n v="0"/>
  </r>
  <r>
    <x v="10"/>
    <s v="BetOnline_Podcast_July2025"/>
    <n v="25333.000000000004"/>
    <n v="468.6604999999999"/>
    <n v="0"/>
    <n v="0"/>
  </r>
  <r>
    <x v="10"/>
    <s v="BetOnline_Wimbledon2025"/>
    <n v="24857.8"/>
    <n v="459.86930000000007"/>
    <n v="0"/>
    <n v="0"/>
  </r>
  <r>
    <x v="11"/>
    <s v="BetOnine_BasesLoaded_June2025"/>
    <n v="25454.000000000007"/>
    <n v="470.89900000000011"/>
    <n v="351"/>
    <n v="3.0337078651685393E-2"/>
  </r>
  <r>
    <x v="11"/>
    <s v="BetOnline_MLB_June2025"/>
    <n v="25392.399999999994"/>
    <n v="469.75939999999991"/>
    <n v="0"/>
    <n v="0"/>
  </r>
  <r>
    <x v="11"/>
    <s v="BetOnline_Podcast_July2025"/>
    <n v="25405.600000000013"/>
    <n v="470.00360000000001"/>
    <n v="0"/>
    <n v="0"/>
  </r>
  <r>
    <x v="11"/>
    <s v="BetOnline_Wimbledon2025"/>
    <n v="25014.000000000004"/>
    <n v="462.7589999999999"/>
    <n v="0"/>
    <n v="0"/>
  </r>
  <r>
    <x v="12"/>
    <s v="BetOnine_BasesLoaded_June2025"/>
    <n v="25302.200000000008"/>
    <n v="468.09070000000008"/>
    <n v="380"/>
    <n v="3.3040605164768283E-2"/>
  </r>
  <r>
    <x v="12"/>
    <s v="BetOnline_MLB_June2025"/>
    <n v="25218.600000000006"/>
    <n v="466.5440999999999"/>
    <n v="0"/>
    <n v="0"/>
  </r>
  <r>
    <x v="12"/>
    <s v="BetOnline_Podcast_July2025"/>
    <n v="25269.200000000001"/>
    <n v="467.48020000000008"/>
    <n v="0"/>
    <n v="0"/>
  </r>
  <r>
    <x v="12"/>
    <s v="BetOnline_Wimbledon2025"/>
    <n v="25583.8"/>
    <n v="473.30030000000011"/>
    <n v="0"/>
    <n v="0"/>
  </r>
  <r>
    <x v="13"/>
    <s v="BetOnine_BasesLoaded_June2025"/>
    <n v="31343.4"/>
    <n v="579.8529000000002"/>
    <n v="379"/>
    <n v="2.6602091668421424E-2"/>
  </r>
  <r>
    <x v="13"/>
    <s v="BetOnline_MLB_June2025"/>
    <n v="30896.799999999999"/>
    <n v="571.59080000000017"/>
    <n v="0"/>
    <n v="0"/>
  </r>
  <r>
    <x v="13"/>
    <s v="BetOnline_Podcast_July2025"/>
    <n v="38788.200000000019"/>
    <n v="717.58170000000007"/>
    <n v="0"/>
    <n v="0"/>
  </r>
  <r>
    <x v="13"/>
    <s v="BetOnline_Wimbledon2025"/>
    <n v="0"/>
    <n v="0"/>
    <n v="0"/>
    <e v="#DIV/0!"/>
  </r>
  <r>
    <x v="14"/>
    <s v="BetOnine_BasesLoaded_June2025"/>
    <n v="25674.000000000011"/>
    <n v="474.96899999999999"/>
    <n v="255"/>
    <n v="2.1850899742930592E-2"/>
  </r>
  <r>
    <x v="14"/>
    <s v="BetOnline_MLB_June2025"/>
    <n v="25458.400000000005"/>
    <n v="470.98040000000015"/>
    <n v="0"/>
    <n v="0"/>
  </r>
  <r>
    <x v="14"/>
    <s v="BetOnline_Podcast_July2025"/>
    <n v="49832.200000000012"/>
    <n v="921.89570000000037"/>
    <n v="0"/>
    <n v="0"/>
  </r>
  <r>
    <x v="15"/>
    <s v="BetOnine_BasesLoaded_June2025"/>
    <n v="25152.600000000002"/>
    <n v="465.32310000000001"/>
    <n v="277"/>
    <n v="2.4228111606752385E-2"/>
  </r>
  <r>
    <x v="15"/>
    <s v="BetOnline_MLB_June2025"/>
    <n v="25333"/>
    <n v="468.66050000000013"/>
    <n v="0"/>
    <n v="0"/>
  </r>
  <r>
    <x v="15"/>
    <s v="BetOnline_Podcast_July2025"/>
    <n v="50831.000000000029"/>
    <n v="940.37350000000038"/>
    <n v="0"/>
    <n v="0"/>
  </r>
  <r>
    <x v="16"/>
    <s v="BetOnine_BasesLoaded_June2025"/>
    <n v="24501.400000000009"/>
    <n v="453.27589999999987"/>
    <n v="254"/>
    <n v="2.2806860016162341E-2"/>
  </r>
  <r>
    <x v="16"/>
    <s v="BetOnline_Golf_July2025"/>
    <n v="8850.6000000000022"/>
    <n v="163.73610000000005"/>
    <n v="0"/>
    <n v="0"/>
  </r>
  <r>
    <x v="16"/>
    <s v="BetOnline_MLB_June2025"/>
    <n v="24655.4"/>
    <n v="456.12490000000008"/>
    <n v="0"/>
    <n v="0"/>
  </r>
  <r>
    <x v="16"/>
    <s v="BetOnline_Podcast_July2025"/>
    <n v="39791.4"/>
    <n v="736.14089999999999"/>
    <n v="0"/>
    <n v="0"/>
  </r>
  <r>
    <x v="17"/>
    <s v="BetOnine_BasesLoaded_June2025"/>
    <n v="25102.000000000004"/>
    <n v="464.38700000000006"/>
    <n v="315"/>
    <n v="2.7607361963190184E-2"/>
  </r>
  <r>
    <x v="17"/>
    <s v="BetOnline_Golf_July2025"/>
    <n v="25346.200000000004"/>
    <n v="468.9047000000001"/>
    <n v="0"/>
    <n v="0"/>
  </r>
  <r>
    <x v="17"/>
    <s v="BetOnline_MLB_June2025"/>
    <n v="25187.800000000007"/>
    <n v="465.97430000000008"/>
    <n v="0"/>
    <n v="0"/>
  </r>
  <r>
    <x v="17"/>
    <s v="BetOnline_Podcast_July2025"/>
    <n v="25264.80000000001"/>
    <n v="467.39880000000005"/>
    <n v="0"/>
    <n v="0"/>
  </r>
  <r>
    <x v="18"/>
    <s v="BetOnine_BasesLoaded_June2025"/>
    <n v="25456.2"/>
    <n v="470.93969999999985"/>
    <n v="372"/>
    <n v="3.2149338864402383E-2"/>
  </r>
  <r>
    <x v="18"/>
    <s v="BetOnline_Golf_July2025"/>
    <n v="25465.000000000007"/>
    <n v="471.10250000000008"/>
    <n v="0"/>
    <n v="0"/>
  </r>
  <r>
    <x v="18"/>
    <s v="BetOnline_MLB_June2025"/>
    <n v="25300.000000000011"/>
    <n v="468.04999999999995"/>
    <n v="0"/>
    <n v="0"/>
  </r>
  <r>
    <x v="18"/>
    <s v="BetOnline_Podcast_July2025"/>
    <n v="25478.200000000004"/>
    <n v="471.34670000000011"/>
    <n v="0"/>
    <n v="0"/>
  </r>
  <r>
    <x v="19"/>
    <s v="BetOnine_BasesLoaded_June2025"/>
    <n v="25293.4"/>
    <n v="467.92790000000002"/>
    <n v="355"/>
    <n v="3.0877620248760545E-2"/>
  </r>
  <r>
    <x v="19"/>
    <s v="BetOnline_Golf_July2025"/>
    <n v="25423.200000000001"/>
    <n v="470.32920000000001"/>
    <n v="0"/>
    <n v="0"/>
  </r>
  <r>
    <x v="19"/>
    <s v="BetOnline_MLB_June2025"/>
    <n v="25297.80000000001"/>
    <n v="468.00930000000005"/>
    <n v="0"/>
    <n v="0"/>
  </r>
  <r>
    <x v="19"/>
    <s v="BetOnline_Podcast_July2025"/>
    <n v="25104.199999999997"/>
    <n v="464.42770000000002"/>
    <n v="0"/>
    <n v="0"/>
  </r>
  <r>
    <x v="20"/>
    <s v="BetOnine_BasesLoaded_June2025"/>
    <n v="33943.80000000001"/>
    <n v="627.96030000000007"/>
    <n v="391"/>
    <n v="2.5341888651241169E-2"/>
  </r>
  <r>
    <x v="20"/>
    <s v="BetOnline_Golf_July2025"/>
    <n v="4.4000000000000004"/>
    <n v="8.14E-2"/>
    <n v="0"/>
    <n v="0"/>
  </r>
  <r>
    <x v="20"/>
    <s v="BetOnline_MLB_June2025"/>
    <n v="33679.800000000003"/>
    <n v="623.07630000000017"/>
    <n v="0"/>
    <n v="0"/>
  </r>
  <r>
    <x v="20"/>
    <s v="BetOnline_Podcast_July2025"/>
    <n v="33578.600000000006"/>
    <n v="621.20409999999993"/>
    <n v="0"/>
    <n v="0"/>
  </r>
  <r>
    <x v="21"/>
    <s v="BetOnine_BasesLoaded_June2025"/>
    <n v="33116.600000000006"/>
    <n v="612.65710000000013"/>
    <n v="366"/>
    <n v="2.4314090214575167E-2"/>
  </r>
  <r>
    <x v="21"/>
    <s v="BetOnline_MLB_June2025"/>
    <n v="34009.80000000001"/>
    <n v="629.18129999999996"/>
    <n v="0"/>
    <n v="0"/>
  </r>
  <r>
    <x v="21"/>
    <s v="BetOnline_Podcast_July2025"/>
    <n v="33756.80000000001"/>
    <n v="624.50080000000014"/>
    <n v="0"/>
    <n v="0"/>
  </r>
  <r>
    <x v="22"/>
    <s v="BetOnine_BasesLoaded_June2025"/>
    <n v="34003.200000000004"/>
    <n v="629.05920000000015"/>
    <n v="389"/>
    <n v="2.5168219461697724E-2"/>
  </r>
  <r>
    <x v="22"/>
    <s v="BetOnline_MLB_June2025"/>
    <n v="33486.200000000004"/>
    <n v="619.49470000000008"/>
    <n v="0"/>
    <n v="0"/>
  </r>
  <r>
    <x v="22"/>
    <s v="BetOnline_Podcast_July2025"/>
    <n v="33759"/>
    <n v="624.54150000000016"/>
    <n v="0"/>
    <n v="0"/>
  </r>
  <r>
    <x v="23"/>
    <s v="BetOnine_BasesLoaded_June2025"/>
    <n v="33717.200000000019"/>
    <n v="623.76820000000021"/>
    <n v="377"/>
    <n v="2.4598721127495757E-2"/>
  </r>
  <r>
    <x v="23"/>
    <s v="BetOnline_MLB_June2025"/>
    <n v="34060.400000000001"/>
    <n v="630.11740000000032"/>
    <n v="0"/>
    <n v="0"/>
  </r>
  <r>
    <x v="23"/>
    <s v="BetOnline_Podcast_July2025"/>
    <n v="33484"/>
    <n v="619.45400000000006"/>
    <n v="0"/>
    <n v="0"/>
  </r>
  <r>
    <x v="24"/>
    <s v="BetOnine_BasesLoaded_June2025"/>
    <n v="33767.80000000001"/>
    <n v="624.70430000000022"/>
    <n v="365"/>
    <n v="2.3780050817642843E-2"/>
  </r>
  <r>
    <x v="24"/>
    <s v="BetOnline_MLB_June2025"/>
    <n v="33668.80000000001"/>
    <n v="622.87279999999987"/>
    <n v="0"/>
    <n v="0"/>
  </r>
  <r>
    <x v="24"/>
    <s v="BetOnline_Podcast_July2025"/>
    <n v="33866.80000000001"/>
    <n v="626.53580000000022"/>
    <n v="0"/>
    <n v="0"/>
  </r>
  <r>
    <x v="25"/>
    <s v="BetOnine_BasesLoaded_June2025"/>
    <n v="33448.799999999996"/>
    <n v="618.80280000000005"/>
    <n v="470"/>
    <n v="3.0912917653249144E-2"/>
  </r>
  <r>
    <x v="25"/>
    <s v="BetOnline_MLB_June2025"/>
    <n v="33954.800000000017"/>
    <n v="628.16380000000004"/>
    <n v="0"/>
    <n v="0"/>
  </r>
  <r>
    <x v="25"/>
    <s v="BetOnline_Podcast_July2025"/>
    <n v="33688.6"/>
    <n v="623.23910000000001"/>
    <n v="0"/>
    <n v="0"/>
  </r>
  <r>
    <x v="26"/>
    <s v="BetOnine_BasesLoaded_June2025"/>
    <n v="34033.999999999993"/>
    <n v="629.62900000000002"/>
    <n v="396"/>
    <n v="2.5597931480284421E-2"/>
  </r>
  <r>
    <x v="26"/>
    <s v="BetOnline_MLB_June2025"/>
    <n v="33994.400000000023"/>
    <n v="628.89640000000009"/>
    <n v="0"/>
    <n v="0"/>
  </r>
  <r>
    <x v="26"/>
    <s v="BetOnline_Podcast_July2025"/>
    <n v="33217.80000000001"/>
    <n v="614.52930000000015"/>
    <n v="0"/>
    <n v="0"/>
  </r>
  <r>
    <x v="27"/>
    <s v="BetOnine_BasesLoaded_June2025"/>
    <n v="33594.000000000007"/>
    <n v="621.48900000000015"/>
    <n v="348"/>
    <n v="2.2789783889980354E-2"/>
  </r>
  <r>
    <x v="27"/>
    <s v="BetOnline_MLB_June2025"/>
    <n v="33862.400000000009"/>
    <n v="626.45439999999996"/>
    <n v="0"/>
    <n v="0"/>
  </r>
  <r>
    <x v="27"/>
    <s v="BetOnline_Podcast_July2025"/>
    <n v="33772.200000000004"/>
    <n v="624.78570000000013"/>
    <n v="0"/>
    <n v="0"/>
  </r>
  <r>
    <x v="28"/>
    <s v="BetOnine_BasesLoaded_June2025"/>
    <n v="33950.400000000009"/>
    <n v="628.08240000000023"/>
    <n v="388"/>
    <n v="2.5142560912389839E-2"/>
  </r>
  <r>
    <x v="28"/>
    <s v="BetOnline_MLB_June2025"/>
    <n v="33169.400000000016"/>
    <n v="613.63390000000004"/>
    <n v="0"/>
    <n v="0"/>
  </r>
  <r>
    <x v="28"/>
    <s v="BetOnline_Podcast_July2025"/>
    <n v="33715"/>
    <n v="623.7275000000003"/>
    <n v="0"/>
    <n v="0"/>
  </r>
  <r>
    <x v="29"/>
    <s v="BetOnine_BasesLoaded_June2025"/>
    <n v="33924"/>
    <n v="627.59400000000016"/>
    <n v="378"/>
    <n v="2.4513618677042801E-2"/>
  </r>
  <r>
    <x v="29"/>
    <s v="BetOnline_MLB_June2025"/>
    <n v="33677.600000000013"/>
    <n v="623.03560000000016"/>
    <n v="0"/>
    <n v="0"/>
  </r>
  <r>
    <x v="29"/>
    <s v="BetOnline_Podcast_July2025"/>
    <n v="33178.200000000004"/>
    <n v="613.7967000000001"/>
    <n v="0"/>
    <n v="0"/>
  </r>
  <r>
    <x v="30"/>
    <s v="BetOnine_BasesLoaded_June2025"/>
    <n v="32678.800000000014"/>
    <n v="604.55780000000016"/>
    <n v="358"/>
    <n v="2.410125218796284E-2"/>
  </r>
  <r>
    <x v="30"/>
    <s v="BetOnline_MLB_June2025"/>
    <n v="32144.2"/>
    <n v="594.66770000000008"/>
    <n v="0"/>
    <n v="0"/>
  </r>
  <r>
    <x v="30"/>
    <s v="BetOnline_Podcast_July2025"/>
    <n v="32527.000000000007"/>
    <n v="601.7494999999999"/>
    <n v="0"/>
    <n v="0"/>
  </r>
  <r>
    <x v="3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A329B-6076-4E42-AD8A-E47CFF325A75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" firstHeaderRow="0" firstDataRow="1" firstDataCol="1"/>
  <pivotFields count="6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3" baseField="0" baseItem="0"/>
    <dataField name="Sum of Impressions" fld="2" baseField="0" baseItem="0" numFmtId="168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5030-61B5-CE43-AF03-A322513C2B71}">
  <dimension ref="A3:C36"/>
  <sheetViews>
    <sheetView workbookViewId="0">
      <selection activeCell="C1" sqref="C1:C1048576"/>
    </sheetView>
  </sheetViews>
  <sheetFormatPr baseColWidth="10" defaultRowHeight="15" x14ac:dyDescent="0.2"/>
  <cols>
    <col min="1" max="1" width="12.1640625" bestFit="1" customWidth="1"/>
    <col min="2" max="2" width="11.5" style="14" bestFit="1" customWidth="1"/>
    <col min="3" max="3" width="15.83203125" style="15" bestFit="1" customWidth="1"/>
  </cols>
  <sheetData>
    <row r="3" spans="1:3" x14ac:dyDescent="0.2">
      <c r="A3" s="11" t="s">
        <v>120</v>
      </c>
      <c r="B3" s="14" t="s">
        <v>124</v>
      </c>
      <c r="C3" s="15" t="s">
        <v>123</v>
      </c>
    </row>
    <row r="4" spans="1:3" x14ac:dyDescent="0.2">
      <c r="A4" s="12">
        <v>45839</v>
      </c>
      <c r="B4" s="14">
        <v>1852.4605000000001</v>
      </c>
      <c r="C4" s="15">
        <v>100133.00000000003</v>
      </c>
    </row>
    <row r="5" spans="1:3" x14ac:dyDescent="0.2">
      <c r="A5" s="12">
        <v>45840</v>
      </c>
      <c r="B5" s="14">
        <v>1836.3433000000002</v>
      </c>
      <c r="C5" s="15">
        <v>99261.8</v>
      </c>
    </row>
    <row r="6" spans="1:3" x14ac:dyDescent="0.2">
      <c r="A6" s="12">
        <v>45841</v>
      </c>
      <c r="B6" s="14">
        <v>1893.5268000000003</v>
      </c>
      <c r="C6" s="15">
        <v>102352.8</v>
      </c>
    </row>
    <row r="7" spans="1:3" x14ac:dyDescent="0.2">
      <c r="A7" s="12">
        <v>45842</v>
      </c>
      <c r="B7" s="14">
        <v>1868.4556000000002</v>
      </c>
      <c r="C7" s="15">
        <v>100997.60000000003</v>
      </c>
    </row>
    <row r="8" spans="1:3" x14ac:dyDescent="0.2">
      <c r="A8" s="12">
        <v>45843</v>
      </c>
      <c r="B8" s="14">
        <v>1846.3962000000004</v>
      </c>
      <c r="C8" s="15">
        <v>99805.2</v>
      </c>
    </row>
    <row r="9" spans="1:3" x14ac:dyDescent="0.2">
      <c r="A9" s="12">
        <v>45844</v>
      </c>
      <c r="B9" s="14">
        <v>1859.6643999999999</v>
      </c>
      <c r="C9" s="15">
        <v>100522.40000000001</v>
      </c>
    </row>
    <row r="10" spans="1:3" x14ac:dyDescent="0.2">
      <c r="A10" s="12">
        <v>45845</v>
      </c>
      <c r="B10" s="14">
        <v>1861.4145000000001</v>
      </c>
      <c r="C10" s="15">
        <v>100617</v>
      </c>
    </row>
    <row r="11" spans="1:3" x14ac:dyDescent="0.2">
      <c r="A11" s="12">
        <v>45846</v>
      </c>
      <c r="B11" s="14">
        <v>1870.3685</v>
      </c>
      <c r="C11" s="15">
        <v>101101.00000000004</v>
      </c>
    </row>
    <row r="12" spans="1:3" x14ac:dyDescent="0.2">
      <c r="A12" s="12">
        <v>45847</v>
      </c>
      <c r="B12" s="14">
        <v>1857.4666</v>
      </c>
      <c r="C12" s="15">
        <v>100403.6</v>
      </c>
    </row>
    <row r="13" spans="1:3" x14ac:dyDescent="0.2">
      <c r="A13" s="12">
        <v>45848</v>
      </c>
      <c r="B13" s="14">
        <v>1881.9273000000001</v>
      </c>
      <c r="C13" s="15">
        <v>101725.80000000003</v>
      </c>
    </row>
    <row r="14" spans="1:3" x14ac:dyDescent="0.2">
      <c r="A14" s="12">
        <v>45849</v>
      </c>
      <c r="B14" s="14">
        <v>1867.723</v>
      </c>
      <c r="C14" s="15">
        <v>100958.00000000001</v>
      </c>
    </row>
    <row r="15" spans="1:3" x14ac:dyDescent="0.2">
      <c r="A15" s="12">
        <v>45850</v>
      </c>
      <c r="B15" s="14">
        <v>1873.4209999999998</v>
      </c>
      <c r="C15" s="15">
        <v>101266.00000000001</v>
      </c>
    </row>
    <row r="16" spans="1:3" x14ac:dyDescent="0.2">
      <c r="A16" s="12">
        <v>45851</v>
      </c>
      <c r="B16" s="14">
        <v>1875.4153000000003</v>
      </c>
      <c r="C16" s="15">
        <v>101373.80000000002</v>
      </c>
    </row>
    <row r="17" spans="1:3" x14ac:dyDescent="0.2">
      <c r="A17" s="12">
        <v>45852</v>
      </c>
      <c r="B17" s="14">
        <v>1869.0254000000004</v>
      </c>
      <c r="C17" s="15">
        <v>101028.40000000002</v>
      </c>
    </row>
    <row r="18" spans="1:3" x14ac:dyDescent="0.2">
      <c r="A18" s="12">
        <v>45853</v>
      </c>
      <c r="B18" s="14">
        <v>1867.8451000000005</v>
      </c>
      <c r="C18" s="15">
        <v>100964.60000000003</v>
      </c>
    </row>
    <row r="19" spans="1:3" x14ac:dyDescent="0.2">
      <c r="A19" s="12">
        <v>45854</v>
      </c>
      <c r="B19" s="14">
        <v>1874.3571000000006</v>
      </c>
      <c r="C19" s="15">
        <v>101316.60000000003</v>
      </c>
    </row>
    <row r="20" spans="1:3" x14ac:dyDescent="0.2">
      <c r="A20" s="12">
        <v>45855</v>
      </c>
      <c r="B20" s="14">
        <v>1809.2777999999998</v>
      </c>
      <c r="C20" s="15">
        <v>97798.800000000017</v>
      </c>
    </row>
    <row r="21" spans="1:3" x14ac:dyDescent="0.2">
      <c r="A21" s="12">
        <v>45856</v>
      </c>
      <c r="B21" s="14">
        <v>1866.6648000000005</v>
      </c>
      <c r="C21" s="15">
        <v>100900.80000000002</v>
      </c>
    </row>
    <row r="22" spans="1:3" x14ac:dyDescent="0.2">
      <c r="A22" s="12">
        <v>45857</v>
      </c>
      <c r="B22" s="14">
        <v>1881.4388999999999</v>
      </c>
      <c r="C22" s="15">
        <v>101699.40000000002</v>
      </c>
    </row>
    <row r="23" spans="1:3" x14ac:dyDescent="0.2">
      <c r="A23" s="12">
        <v>45858</v>
      </c>
      <c r="B23" s="14">
        <v>1870.6940999999999</v>
      </c>
      <c r="C23" s="15">
        <v>101118.60000000002</v>
      </c>
    </row>
    <row r="24" spans="1:3" x14ac:dyDescent="0.2">
      <c r="A24" s="12">
        <v>45859</v>
      </c>
      <c r="B24" s="14">
        <v>1872.3221000000003</v>
      </c>
      <c r="C24" s="15">
        <v>101206.60000000002</v>
      </c>
    </row>
    <row r="25" spans="1:3" x14ac:dyDescent="0.2">
      <c r="A25" s="12">
        <v>45860</v>
      </c>
      <c r="B25" s="14">
        <v>1866.3392000000003</v>
      </c>
      <c r="C25" s="15">
        <v>100883.20000000004</v>
      </c>
    </row>
    <row r="26" spans="1:3" x14ac:dyDescent="0.2">
      <c r="A26" s="12">
        <v>45861</v>
      </c>
      <c r="B26" s="14">
        <v>1873.0954000000006</v>
      </c>
      <c r="C26" s="15">
        <v>101248.40000000001</v>
      </c>
    </row>
    <row r="27" spans="1:3" x14ac:dyDescent="0.2">
      <c r="A27" s="12">
        <v>45862</v>
      </c>
      <c r="B27" s="14">
        <v>1873.3396000000007</v>
      </c>
      <c r="C27" s="15">
        <v>101261.60000000002</v>
      </c>
    </row>
    <row r="28" spans="1:3" x14ac:dyDescent="0.2">
      <c r="A28" s="12">
        <v>45863</v>
      </c>
      <c r="B28" s="14">
        <v>1874.1129000000001</v>
      </c>
      <c r="C28" s="15">
        <v>101303.40000000002</v>
      </c>
    </row>
    <row r="29" spans="1:3" x14ac:dyDescent="0.2">
      <c r="A29" s="12">
        <v>45864</v>
      </c>
      <c r="B29" s="14">
        <v>1870.2057000000002</v>
      </c>
      <c r="C29" s="15">
        <v>101092.20000000001</v>
      </c>
    </row>
    <row r="30" spans="1:3" x14ac:dyDescent="0.2">
      <c r="A30" s="12">
        <v>45865</v>
      </c>
      <c r="B30" s="14">
        <v>1873.0547000000001</v>
      </c>
      <c r="C30" s="15">
        <v>101246.20000000004</v>
      </c>
    </row>
    <row r="31" spans="1:3" x14ac:dyDescent="0.2">
      <c r="A31" s="12">
        <v>45866</v>
      </c>
      <c r="B31" s="14">
        <v>1872.7291000000002</v>
      </c>
      <c r="C31" s="15">
        <v>101228.60000000003</v>
      </c>
    </row>
    <row r="32" spans="1:3" x14ac:dyDescent="0.2">
      <c r="A32" s="12">
        <v>45867</v>
      </c>
      <c r="B32" s="14">
        <v>1865.4438000000005</v>
      </c>
      <c r="C32" s="15">
        <v>100834.80000000002</v>
      </c>
    </row>
    <row r="33" spans="1:3" x14ac:dyDescent="0.2">
      <c r="A33" s="12">
        <v>45868</v>
      </c>
      <c r="B33" s="14">
        <v>1864.4263000000003</v>
      </c>
      <c r="C33" s="15">
        <v>100779.80000000002</v>
      </c>
    </row>
    <row r="34" spans="1:3" x14ac:dyDescent="0.2">
      <c r="A34" s="12">
        <v>45869</v>
      </c>
      <c r="B34" s="14">
        <v>1800.9750000000001</v>
      </c>
      <c r="C34" s="15">
        <v>97350.000000000029</v>
      </c>
    </row>
    <row r="35" spans="1:3" x14ac:dyDescent="0.2">
      <c r="A35" s="13" t="s">
        <v>121</v>
      </c>
    </row>
    <row r="36" spans="1:3" x14ac:dyDescent="0.2">
      <c r="A36" s="13" t="s">
        <v>122</v>
      </c>
      <c r="B36" s="14">
        <v>57789.93</v>
      </c>
      <c r="C36" s="15">
        <v>3123780.0000000009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.83203125" style="10"/>
    <col min="2" max="2" width="25.5" bestFit="1" customWidth="1"/>
    <col min="6" max="6" width="13.33203125" bestFit="1" customWidth="1"/>
  </cols>
  <sheetData>
    <row r="1" spans="1:6" x14ac:dyDescent="0.2">
      <c r="A1" s="8" t="s">
        <v>119</v>
      </c>
      <c r="B1" s="3" t="s">
        <v>117</v>
      </c>
      <c r="C1" s="2" t="s">
        <v>111</v>
      </c>
      <c r="D1" s="2" t="s">
        <v>112</v>
      </c>
      <c r="E1" s="2" t="s">
        <v>114</v>
      </c>
      <c r="F1" s="2" t="s">
        <v>118</v>
      </c>
    </row>
    <row r="2" spans="1:6" x14ac:dyDescent="0.2">
      <c r="A2" s="9">
        <v>45839</v>
      </c>
      <c r="B2" s="1" t="s">
        <v>0</v>
      </c>
      <c r="C2" s="4">
        <v>40741.80000000001</v>
      </c>
      <c r="D2" s="5">
        <v>753.72329999999988</v>
      </c>
      <c r="E2" s="6">
        <v>446</v>
      </c>
      <c r="F2" s="7">
        <v>2.4083373832280361E-2</v>
      </c>
    </row>
    <row r="3" spans="1:6" x14ac:dyDescent="0.2">
      <c r="A3" s="9">
        <f t="shared" ref="A3:A4" si="0">A2</f>
        <v>45839</v>
      </c>
      <c r="B3" s="1" t="s">
        <v>1</v>
      </c>
      <c r="C3" s="4">
        <v>40708.80000000001</v>
      </c>
      <c r="D3" s="5">
        <v>753.11280000000011</v>
      </c>
      <c r="E3" s="6">
        <v>0</v>
      </c>
      <c r="F3" s="7">
        <v>0</v>
      </c>
    </row>
    <row r="4" spans="1:6" x14ac:dyDescent="0.2">
      <c r="A4" s="9">
        <f t="shared" si="0"/>
        <v>45839</v>
      </c>
      <c r="B4" s="1" t="s">
        <v>2</v>
      </c>
      <c r="C4" s="4">
        <v>18682.400000000005</v>
      </c>
      <c r="D4" s="5">
        <v>345.62440000000015</v>
      </c>
      <c r="E4" s="6">
        <v>0</v>
      </c>
      <c r="F4" s="7">
        <v>0</v>
      </c>
    </row>
    <row r="5" spans="1:6" x14ac:dyDescent="0.2">
      <c r="A5" s="9">
        <v>45840</v>
      </c>
      <c r="B5" s="1" t="s">
        <v>3</v>
      </c>
      <c r="C5" s="4">
        <v>25073.4</v>
      </c>
      <c r="D5" s="5">
        <v>463.85790000000003</v>
      </c>
      <c r="E5" s="6">
        <v>305</v>
      </c>
      <c r="F5" s="7">
        <v>2.6761428446082303E-2</v>
      </c>
    </row>
    <row r="6" spans="1:6" x14ac:dyDescent="0.2">
      <c r="A6" s="9">
        <f t="shared" ref="A6:A8" si="1">A5</f>
        <v>45840</v>
      </c>
      <c r="B6" s="1" t="s">
        <v>4</v>
      </c>
      <c r="C6" s="4">
        <v>25029.399999999998</v>
      </c>
      <c r="D6" s="5">
        <v>463.04390000000012</v>
      </c>
      <c r="E6" s="6">
        <v>0</v>
      </c>
      <c r="F6" s="7">
        <v>0</v>
      </c>
    </row>
    <row r="7" spans="1:6" x14ac:dyDescent="0.2">
      <c r="A7" s="9">
        <f t="shared" si="1"/>
        <v>45840</v>
      </c>
      <c r="B7" s="1" t="s">
        <v>5</v>
      </c>
      <c r="C7" s="4">
        <v>38715.600000000006</v>
      </c>
      <c r="D7" s="5">
        <v>716.23860000000013</v>
      </c>
      <c r="E7" s="6">
        <v>0</v>
      </c>
      <c r="F7" s="7">
        <v>0</v>
      </c>
    </row>
    <row r="8" spans="1:6" x14ac:dyDescent="0.2">
      <c r="A8" s="9">
        <f t="shared" si="1"/>
        <v>45840</v>
      </c>
      <c r="B8" s="1" t="s">
        <v>6</v>
      </c>
      <c r="C8" s="4">
        <v>10443.4</v>
      </c>
      <c r="D8" s="5">
        <v>193.20290000000003</v>
      </c>
      <c r="E8" s="6">
        <v>0</v>
      </c>
      <c r="F8" s="7">
        <v>0</v>
      </c>
    </row>
    <row r="9" spans="1:6" x14ac:dyDescent="0.2">
      <c r="A9" s="9">
        <v>45841</v>
      </c>
      <c r="B9" s="1" t="s">
        <v>7</v>
      </c>
      <c r="C9" s="4">
        <v>25535.399999999998</v>
      </c>
      <c r="D9" s="5">
        <v>472.4049</v>
      </c>
      <c r="E9" s="6">
        <v>340</v>
      </c>
      <c r="F9" s="7">
        <v>2.9292668217454985E-2</v>
      </c>
    </row>
    <row r="10" spans="1:6" x14ac:dyDescent="0.2">
      <c r="A10" s="9">
        <f t="shared" ref="A10:A12" si="2">A9</f>
        <v>45841</v>
      </c>
      <c r="B10" s="1" t="s">
        <v>8</v>
      </c>
      <c r="C10" s="4">
        <v>25847.799999999996</v>
      </c>
      <c r="D10" s="5">
        <v>478.18430000000006</v>
      </c>
      <c r="E10" s="6">
        <v>0</v>
      </c>
      <c r="F10" s="7">
        <v>0</v>
      </c>
    </row>
    <row r="11" spans="1:6" x14ac:dyDescent="0.2">
      <c r="A11" s="9">
        <f t="shared" si="2"/>
        <v>45841</v>
      </c>
      <c r="B11" s="1" t="s">
        <v>9</v>
      </c>
      <c r="C11" s="4">
        <v>25220.800000000003</v>
      </c>
      <c r="D11" s="5">
        <v>466.58480000000003</v>
      </c>
      <c r="E11" s="6">
        <v>0</v>
      </c>
      <c r="F11" s="7">
        <v>0</v>
      </c>
    </row>
    <row r="12" spans="1:6" x14ac:dyDescent="0.2">
      <c r="A12" s="9">
        <f t="shared" si="2"/>
        <v>45841</v>
      </c>
      <c r="B12" s="1" t="s">
        <v>10</v>
      </c>
      <c r="C12" s="4">
        <v>25748.800000000007</v>
      </c>
      <c r="D12" s="5">
        <v>476.35280000000006</v>
      </c>
      <c r="E12" s="6">
        <v>0</v>
      </c>
      <c r="F12" s="7">
        <v>0</v>
      </c>
    </row>
    <row r="13" spans="1:6" x14ac:dyDescent="0.2">
      <c r="A13" s="9">
        <v>45842</v>
      </c>
      <c r="B13" s="1" t="s">
        <v>11</v>
      </c>
      <c r="C13" s="4">
        <v>25212.000000000007</v>
      </c>
      <c r="D13" s="5">
        <v>466.42200000000008</v>
      </c>
      <c r="E13" s="6">
        <v>423</v>
      </c>
      <c r="F13" s="7">
        <v>3.6910994764397909E-2</v>
      </c>
    </row>
    <row r="14" spans="1:6" x14ac:dyDescent="0.2">
      <c r="A14" s="9">
        <f t="shared" ref="A14:A16" si="3">A13</f>
        <v>45842</v>
      </c>
      <c r="B14" s="1" t="s">
        <v>12</v>
      </c>
      <c r="C14" s="4">
        <v>25275.800000000003</v>
      </c>
      <c r="D14" s="5">
        <v>467.60230000000001</v>
      </c>
      <c r="E14" s="6">
        <v>0</v>
      </c>
      <c r="F14" s="7">
        <v>0</v>
      </c>
    </row>
    <row r="15" spans="1:6" x14ac:dyDescent="0.2">
      <c r="A15" s="9">
        <f t="shared" si="3"/>
        <v>45842</v>
      </c>
      <c r="B15" s="1" t="s">
        <v>13</v>
      </c>
      <c r="C15" s="4">
        <v>25066.800000000014</v>
      </c>
      <c r="D15" s="5">
        <v>463.73580000000015</v>
      </c>
      <c r="E15" s="6">
        <v>0</v>
      </c>
      <c r="F15" s="7">
        <v>0</v>
      </c>
    </row>
    <row r="16" spans="1:6" x14ac:dyDescent="0.2">
      <c r="A16" s="9">
        <f t="shared" si="3"/>
        <v>45842</v>
      </c>
      <c r="B16" s="1" t="s">
        <v>14</v>
      </c>
      <c r="C16" s="4">
        <v>25443.000000000007</v>
      </c>
      <c r="D16" s="5">
        <v>470.6955000000001</v>
      </c>
      <c r="E16" s="6">
        <v>0</v>
      </c>
      <c r="F16" s="7">
        <v>0</v>
      </c>
    </row>
    <row r="17" spans="1:6" x14ac:dyDescent="0.2">
      <c r="A17" s="9">
        <v>45843</v>
      </c>
      <c r="B17" s="1" t="s">
        <v>15</v>
      </c>
      <c r="C17" s="4">
        <v>25066.799999999999</v>
      </c>
      <c r="D17" s="5">
        <v>463.73580000000021</v>
      </c>
      <c r="E17" s="6">
        <v>401</v>
      </c>
      <c r="F17" s="7">
        <v>3.5193961734246097E-2</v>
      </c>
    </row>
    <row r="18" spans="1:6" x14ac:dyDescent="0.2">
      <c r="A18" s="9">
        <f t="shared" ref="A18:A20" si="4">A17</f>
        <v>45843</v>
      </c>
      <c r="B18" s="1" t="s">
        <v>16</v>
      </c>
      <c r="C18" s="4">
        <v>24820.399999999998</v>
      </c>
      <c r="D18" s="5">
        <v>459.1774000000002</v>
      </c>
      <c r="E18" s="6">
        <v>0</v>
      </c>
      <c r="F18" s="7">
        <v>0</v>
      </c>
    </row>
    <row r="19" spans="1:6" x14ac:dyDescent="0.2">
      <c r="A19" s="9">
        <f t="shared" si="4"/>
        <v>45843</v>
      </c>
      <c r="B19" s="1" t="s">
        <v>17</v>
      </c>
      <c r="C19" s="4">
        <v>25036.000000000004</v>
      </c>
      <c r="D19" s="5">
        <v>463.16599999999994</v>
      </c>
      <c r="E19" s="6">
        <v>0</v>
      </c>
      <c r="F19" s="7">
        <v>0</v>
      </c>
    </row>
    <row r="20" spans="1:6" x14ac:dyDescent="0.2">
      <c r="A20" s="9">
        <f t="shared" si="4"/>
        <v>45843</v>
      </c>
      <c r="B20" s="1" t="s">
        <v>18</v>
      </c>
      <c r="C20" s="4">
        <v>24882</v>
      </c>
      <c r="D20" s="5">
        <v>460.31700000000006</v>
      </c>
      <c r="E20" s="6">
        <v>0</v>
      </c>
      <c r="F20" s="7">
        <v>0</v>
      </c>
    </row>
    <row r="21" spans="1:6" x14ac:dyDescent="0.2">
      <c r="A21" s="9">
        <v>45844</v>
      </c>
      <c r="B21" s="1" t="s">
        <v>19</v>
      </c>
      <c r="C21" s="4">
        <v>25141.600000000002</v>
      </c>
      <c r="D21" s="5">
        <v>465.11959999999993</v>
      </c>
      <c r="E21" s="6">
        <v>341</v>
      </c>
      <c r="F21" s="7">
        <v>2.9838991949597479E-2</v>
      </c>
    </row>
    <row r="22" spans="1:6" x14ac:dyDescent="0.2">
      <c r="A22" s="9">
        <f t="shared" ref="A22:A24" si="5">A21</f>
        <v>45844</v>
      </c>
      <c r="B22" s="1" t="s">
        <v>20</v>
      </c>
      <c r="C22" s="4">
        <v>24928.200000000004</v>
      </c>
      <c r="D22" s="5">
        <v>461.17169999999999</v>
      </c>
      <c r="E22" s="6">
        <v>0</v>
      </c>
      <c r="F22" s="7">
        <v>0</v>
      </c>
    </row>
    <row r="23" spans="1:6" x14ac:dyDescent="0.2">
      <c r="A23" s="9">
        <f t="shared" si="5"/>
        <v>45844</v>
      </c>
      <c r="B23" s="1" t="s">
        <v>21</v>
      </c>
      <c r="C23" s="4">
        <v>25476.000000000004</v>
      </c>
      <c r="D23" s="5">
        <v>471.30599999999998</v>
      </c>
      <c r="E23" s="6">
        <v>0</v>
      </c>
      <c r="F23" s="7">
        <v>0</v>
      </c>
    </row>
    <row r="24" spans="1:6" x14ac:dyDescent="0.2">
      <c r="A24" s="9">
        <f t="shared" si="5"/>
        <v>45844</v>
      </c>
      <c r="B24" s="1" t="s">
        <v>22</v>
      </c>
      <c r="C24" s="4">
        <v>24976.600000000009</v>
      </c>
      <c r="D24" s="5">
        <v>462.06710000000004</v>
      </c>
      <c r="E24" s="6">
        <v>0</v>
      </c>
      <c r="F24" s="7">
        <v>0</v>
      </c>
    </row>
    <row r="25" spans="1:6" x14ac:dyDescent="0.2">
      <c r="A25" s="9">
        <v>45845</v>
      </c>
      <c r="B25" s="1" t="s">
        <v>23</v>
      </c>
      <c r="C25" s="4">
        <v>25022.800000000003</v>
      </c>
      <c r="D25" s="5">
        <v>462.92180000000002</v>
      </c>
      <c r="E25" s="6">
        <v>302</v>
      </c>
      <c r="F25" s="7">
        <v>2.6551784772287673E-2</v>
      </c>
    </row>
    <row r="26" spans="1:6" x14ac:dyDescent="0.2">
      <c r="A26" s="9">
        <f t="shared" ref="A26:A28" si="6">A25</f>
        <v>45845</v>
      </c>
      <c r="B26" s="1" t="s">
        <v>24</v>
      </c>
      <c r="C26" s="4">
        <v>25207.599999999999</v>
      </c>
      <c r="D26" s="5">
        <v>466.34059999999999</v>
      </c>
      <c r="E26" s="6">
        <v>0</v>
      </c>
      <c r="F26" s="7">
        <v>0</v>
      </c>
    </row>
    <row r="27" spans="1:6" x14ac:dyDescent="0.2">
      <c r="A27" s="9">
        <f t="shared" si="6"/>
        <v>45845</v>
      </c>
      <c r="B27" s="1" t="s">
        <v>25</v>
      </c>
      <c r="C27" s="4">
        <v>25181.200000000004</v>
      </c>
      <c r="D27" s="5">
        <v>465.85220000000004</v>
      </c>
      <c r="E27" s="6">
        <v>0</v>
      </c>
      <c r="F27" s="7">
        <v>0</v>
      </c>
    </row>
    <row r="28" spans="1:6" x14ac:dyDescent="0.2">
      <c r="A28" s="9">
        <f t="shared" si="6"/>
        <v>45845</v>
      </c>
      <c r="B28" s="1" t="s">
        <v>26</v>
      </c>
      <c r="C28" s="4">
        <v>25205.4</v>
      </c>
      <c r="D28" s="5">
        <v>466.29989999999998</v>
      </c>
      <c r="E28" s="6">
        <v>0</v>
      </c>
      <c r="F28" s="7">
        <v>0</v>
      </c>
    </row>
    <row r="29" spans="1:6" x14ac:dyDescent="0.2">
      <c r="A29" s="9">
        <v>45846</v>
      </c>
      <c r="B29" s="1" t="s">
        <v>27</v>
      </c>
      <c r="C29" s="4">
        <v>25152.600000000009</v>
      </c>
      <c r="D29" s="5">
        <v>465.32310000000007</v>
      </c>
      <c r="E29" s="6">
        <v>264</v>
      </c>
      <c r="F29" s="7">
        <v>2.309105221726581E-2</v>
      </c>
    </row>
    <row r="30" spans="1:6" x14ac:dyDescent="0.2">
      <c r="A30" s="9">
        <f t="shared" ref="A30:A32" si="7">A29</f>
        <v>45846</v>
      </c>
      <c r="B30" s="1" t="s">
        <v>28</v>
      </c>
      <c r="C30" s="4">
        <v>25517.80000000001</v>
      </c>
      <c r="D30" s="5">
        <v>472.0793000000001</v>
      </c>
      <c r="E30" s="6">
        <v>0</v>
      </c>
      <c r="F30" s="7">
        <v>0</v>
      </c>
    </row>
    <row r="31" spans="1:6" x14ac:dyDescent="0.2">
      <c r="A31" s="9">
        <f t="shared" si="7"/>
        <v>45846</v>
      </c>
      <c r="B31" s="1" t="s">
        <v>29</v>
      </c>
      <c r="C31" s="4">
        <v>25181.200000000008</v>
      </c>
      <c r="D31" s="5">
        <v>465.85219999999998</v>
      </c>
      <c r="E31" s="6">
        <v>0</v>
      </c>
      <c r="F31" s="7">
        <v>0</v>
      </c>
    </row>
    <row r="32" spans="1:6" x14ac:dyDescent="0.2">
      <c r="A32" s="9">
        <f t="shared" si="7"/>
        <v>45846</v>
      </c>
      <c r="B32" s="1" t="s">
        <v>30</v>
      </c>
      <c r="C32" s="4">
        <v>25249.400000000005</v>
      </c>
      <c r="D32" s="5">
        <v>467.11389999999989</v>
      </c>
      <c r="E32" s="6">
        <v>0</v>
      </c>
      <c r="F32" s="7">
        <v>0</v>
      </c>
    </row>
    <row r="33" spans="1:6" x14ac:dyDescent="0.2">
      <c r="A33" s="9">
        <v>45847</v>
      </c>
      <c r="B33" s="1" t="s">
        <v>31</v>
      </c>
      <c r="C33" s="4">
        <v>25335.200000000001</v>
      </c>
      <c r="D33" s="5">
        <v>468.70120000000003</v>
      </c>
      <c r="E33" s="6">
        <v>277</v>
      </c>
      <c r="F33" s="7">
        <v>2.4053490795415074E-2</v>
      </c>
    </row>
    <row r="34" spans="1:6" x14ac:dyDescent="0.2">
      <c r="A34" s="9">
        <f t="shared" ref="A34:A36" si="8">A33</f>
        <v>45847</v>
      </c>
      <c r="B34" s="1" t="s">
        <v>32</v>
      </c>
      <c r="C34" s="4">
        <v>25009.600000000006</v>
      </c>
      <c r="D34" s="5">
        <v>462.67759999999998</v>
      </c>
      <c r="E34" s="6">
        <v>0</v>
      </c>
      <c r="F34" s="7">
        <v>0</v>
      </c>
    </row>
    <row r="35" spans="1:6" x14ac:dyDescent="0.2">
      <c r="A35" s="9">
        <f t="shared" si="8"/>
        <v>45847</v>
      </c>
      <c r="B35" s="1" t="s">
        <v>33</v>
      </c>
      <c r="C35" s="4">
        <v>25168.000000000004</v>
      </c>
      <c r="D35" s="5">
        <v>465.608</v>
      </c>
      <c r="E35" s="6">
        <v>0</v>
      </c>
      <c r="F35" s="7">
        <v>0</v>
      </c>
    </row>
    <row r="36" spans="1:6" x14ac:dyDescent="0.2">
      <c r="A36" s="9">
        <f t="shared" si="8"/>
        <v>45847</v>
      </c>
      <c r="B36" s="1" t="s">
        <v>34</v>
      </c>
      <c r="C36" s="4">
        <v>24890.80000000001</v>
      </c>
      <c r="D36" s="5">
        <v>460.47980000000001</v>
      </c>
      <c r="E36" s="6">
        <v>0</v>
      </c>
      <c r="F36" s="7">
        <v>0</v>
      </c>
    </row>
    <row r="37" spans="1:6" x14ac:dyDescent="0.2">
      <c r="A37" s="9">
        <v>45848</v>
      </c>
      <c r="B37" s="1" t="s">
        <v>35</v>
      </c>
      <c r="C37" s="4">
        <v>25225.200000000008</v>
      </c>
      <c r="D37" s="5">
        <v>466.66620000000006</v>
      </c>
      <c r="E37" s="6">
        <v>263</v>
      </c>
      <c r="F37" s="7">
        <v>2.2937380080237223E-2</v>
      </c>
    </row>
    <row r="38" spans="1:6" x14ac:dyDescent="0.2">
      <c r="A38" s="9">
        <f t="shared" ref="A38:A40" si="9">A37</f>
        <v>45848</v>
      </c>
      <c r="B38" s="1" t="s">
        <v>36</v>
      </c>
      <c r="C38" s="4">
        <v>25682.800000000003</v>
      </c>
      <c r="D38" s="5">
        <v>475.13179999999994</v>
      </c>
      <c r="E38" s="6">
        <v>0</v>
      </c>
      <c r="F38" s="7">
        <v>0</v>
      </c>
    </row>
    <row r="39" spans="1:6" x14ac:dyDescent="0.2">
      <c r="A39" s="9">
        <f t="shared" si="9"/>
        <v>45848</v>
      </c>
      <c r="B39" s="1" t="s">
        <v>37</v>
      </c>
      <c r="C39" s="4">
        <v>25236.200000000008</v>
      </c>
      <c r="D39" s="5">
        <v>466.86970000000008</v>
      </c>
      <c r="E39" s="6">
        <v>0</v>
      </c>
      <c r="F39" s="7">
        <v>0</v>
      </c>
    </row>
    <row r="40" spans="1:6" x14ac:dyDescent="0.2">
      <c r="A40" s="9">
        <f t="shared" si="9"/>
        <v>45848</v>
      </c>
      <c r="B40" s="1" t="s">
        <v>38</v>
      </c>
      <c r="C40" s="4">
        <v>25581.600000000006</v>
      </c>
      <c r="D40" s="5">
        <v>473.25960000000003</v>
      </c>
      <c r="E40" s="6">
        <v>0</v>
      </c>
      <c r="F40" s="7">
        <v>0</v>
      </c>
    </row>
    <row r="41" spans="1:6" x14ac:dyDescent="0.2">
      <c r="A41" s="9">
        <v>45849</v>
      </c>
      <c r="B41" s="1" t="s">
        <v>39</v>
      </c>
      <c r="C41" s="4">
        <v>25438.600000000006</v>
      </c>
      <c r="D41" s="5">
        <v>470.61410000000001</v>
      </c>
      <c r="E41" s="6">
        <v>314</v>
      </c>
      <c r="F41" s="7">
        <v>2.7155582461298972E-2</v>
      </c>
    </row>
    <row r="42" spans="1:6" x14ac:dyDescent="0.2">
      <c r="A42" s="9">
        <f t="shared" ref="A42:A44" si="10">A41</f>
        <v>45849</v>
      </c>
      <c r="B42" s="1" t="s">
        <v>40</v>
      </c>
      <c r="C42" s="4">
        <v>25328.600000000006</v>
      </c>
      <c r="D42" s="5">
        <v>468.57909999999998</v>
      </c>
      <c r="E42" s="6">
        <v>0</v>
      </c>
      <c r="F42" s="7">
        <v>0</v>
      </c>
    </row>
    <row r="43" spans="1:6" x14ac:dyDescent="0.2">
      <c r="A43" s="9">
        <f t="shared" si="10"/>
        <v>45849</v>
      </c>
      <c r="B43" s="1" t="s">
        <v>41</v>
      </c>
      <c r="C43" s="4">
        <v>25333.000000000004</v>
      </c>
      <c r="D43" s="5">
        <v>468.6604999999999</v>
      </c>
      <c r="E43" s="6">
        <v>0</v>
      </c>
      <c r="F43" s="7">
        <v>0</v>
      </c>
    </row>
    <row r="44" spans="1:6" x14ac:dyDescent="0.2">
      <c r="A44" s="9">
        <f t="shared" si="10"/>
        <v>45849</v>
      </c>
      <c r="B44" s="1" t="s">
        <v>42</v>
      </c>
      <c r="C44" s="4">
        <v>24857.8</v>
      </c>
      <c r="D44" s="5">
        <v>459.86930000000007</v>
      </c>
      <c r="E44" s="6">
        <v>0</v>
      </c>
      <c r="F44" s="7">
        <v>0</v>
      </c>
    </row>
    <row r="45" spans="1:6" x14ac:dyDescent="0.2">
      <c r="A45" s="9">
        <v>45850</v>
      </c>
      <c r="B45" s="1" t="s">
        <v>43</v>
      </c>
      <c r="C45" s="4">
        <v>25454.000000000007</v>
      </c>
      <c r="D45" s="5">
        <v>470.89900000000011</v>
      </c>
      <c r="E45" s="6">
        <v>351</v>
      </c>
      <c r="F45" s="7">
        <v>3.0337078651685393E-2</v>
      </c>
    </row>
    <row r="46" spans="1:6" x14ac:dyDescent="0.2">
      <c r="A46" s="9">
        <f t="shared" ref="A46:A48" si="11">A45</f>
        <v>45850</v>
      </c>
      <c r="B46" s="1" t="s">
        <v>44</v>
      </c>
      <c r="C46" s="4">
        <v>25392.399999999994</v>
      </c>
      <c r="D46" s="5">
        <v>469.75939999999991</v>
      </c>
      <c r="E46" s="6">
        <v>0</v>
      </c>
      <c r="F46" s="7">
        <v>0</v>
      </c>
    </row>
    <row r="47" spans="1:6" x14ac:dyDescent="0.2">
      <c r="A47" s="9">
        <f t="shared" si="11"/>
        <v>45850</v>
      </c>
      <c r="B47" s="1" t="s">
        <v>45</v>
      </c>
      <c r="C47" s="4">
        <v>25405.600000000013</v>
      </c>
      <c r="D47" s="5">
        <v>470.00360000000001</v>
      </c>
      <c r="E47" s="6">
        <v>0</v>
      </c>
      <c r="F47" s="7">
        <v>0</v>
      </c>
    </row>
    <row r="48" spans="1:6" x14ac:dyDescent="0.2">
      <c r="A48" s="9">
        <f t="shared" si="11"/>
        <v>45850</v>
      </c>
      <c r="B48" s="1" t="s">
        <v>46</v>
      </c>
      <c r="C48" s="4">
        <v>25014.000000000004</v>
      </c>
      <c r="D48" s="5">
        <v>462.7589999999999</v>
      </c>
      <c r="E48" s="6">
        <v>0</v>
      </c>
      <c r="F48" s="7">
        <v>0</v>
      </c>
    </row>
    <row r="49" spans="1:6" x14ac:dyDescent="0.2">
      <c r="A49" s="9">
        <v>45851</v>
      </c>
      <c r="B49" s="1" t="s">
        <v>47</v>
      </c>
      <c r="C49" s="4">
        <v>25302.200000000008</v>
      </c>
      <c r="D49" s="5">
        <v>468.09070000000008</v>
      </c>
      <c r="E49" s="6">
        <v>380</v>
      </c>
      <c r="F49" s="7">
        <v>3.3040605164768283E-2</v>
      </c>
    </row>
    <row r="50" spans="1:6" x14ac:dyDescent="0.2">
      <c r="A50" s="9">
        <f t="shared" ref="A50:A52" si="12">A49</f>
        <v>45851</v>
      </c>
      <c r="B50" s="1" t="s">
        <v>48</v>
      </c>
      <c r="C50" s="4">
        <v>25218.600000000006</v>
      </c>
      <c r="D50" s="5">
        <v>466.5440999999999</v>
      </c>
      <c r="E50" s="6">
        <v>0</v>
      </c>
      <c r="F50" s="7">
        <v>0</v>
      </c>
    </row>
    <row r="51" spans="1:6" x14ac:dyDescent="0.2">
      <c r="A51" s="9">
        <f t="shared" si="12"/>
        <v>45851</v>
      </c>
      <c r="B51" s="1" t="s">
        <v>49</v>
      </c>
      <c r="C51" s="4">
        <v>25269.200000000001</v>
      </c>
      <c r="D51" s="5">
        <v>467.48020000000008</v>
      </c>
      <c r="E51" s="6">
        <v>0</v>
      </c>
      <c r="F51" s="7">
        <v>0</v>
      </c>
    </row>
    <row r="52" spans="1:6" x14ac:dyDescent="0.2">
      <c r="A52" s="9">
        <f t="shared" si="12"/>
        <v>45851</v>
      </c>
      <c r="B52" s="1" t="s">
        <v>50</v>
      </c>
      <c r="C52" s="4">
        <v>25583.8</v>
      </c>
      <c r="D52" s="5">
        <v>473.30030000000011</v>
      </c>
      <c r="E52" s="6">
        <v>0</v>
      </c>
      <c r="F52" s="7">
        <v>0</v>
      </c>
    </row>
    <row r="53" spans="1:6" x14ac:dyDescent="0.2">
      <c r="A53" s="9">
        <v>45852</v>
      </c>
      <c r="B53" s="1" t="s">
        <v>51</v>
      </c>
      <c r="C53" s="4">
        <v>31343.4</v>
      </c>
      <c r="D53" s="5">
        <v>579.8529000000002</v>
      </c>
      <c r="E53" s="6">
        <v>379</v>
      </c>
      <c r="F53" s="7">
        <v>2.6602091668421424E-2</v>
      </c>
    </row>
    <row r="54" spans="1:6" x14ac:dyDescent="0.2">
      <c r="A54" s="9">
        <f t="shared" ref="A54:A56" si="13">A53</f>
        <v>45852</v>
      </c>
      <c r="B54" s="1" t="s">
        <v>52</v>
      </c>
      <c r="C54" s="4">
        <v>30896.799999999999</v>
      </c>
      <c r="D54" s="5">
        <v>571.59080000000017</v>
      </c>
      <c r="E54" s="6">
        <v>0</v>
      </c>
      <c r="F54" s="7">
        <v>0</v>
      </c>
    </row>
    <row r="55" spans="1:6" x14ac:dyDescent="0.2">
      <c r="A55" s="9">
        <f t="shared" si="13"/>
        <v>45852</v>
      </c>
      <c r="B55" s="1" t="s">
        <v>53</v>
      </c>
      <c r="C55" s="4">
        <v>38788.200000000019</v>
      </c>
      <c r="D55" s="5">
        <v>717.58170000000007</v>
      </c>
      <c r="E55" s="6">
        <v>0</v>
      </c>
      <c r="F55" s="7">
        <v>0</v>
      </c>
    </row>
    <row r="56" spans="1:6" x14ac:dyDescent="0.2">
      <c r="A56" s="9">
        <f t="shared" si="13"/>
        <v>45852</v>
      </c>
      <c r="B56" s="1" t="s">
        <v>54</v>
      </c>
      <c r="C56" s="4">
        <v>0</v>
      </c>
      <c r="D56" s="5">
        <v>0</v>
      </c>
      <c r="E56" s="6">
        <v>0</v>
      </c>
      <c r="F56" s="7" t="e">
        <v>#DIV/0!</v>
      </c>
    </row>
    <row r="57" spans="1:6" x14ac:dyDescent="0.2">
      <c r="A57" s="9">
        <v>45853</v>
      </c>
      <c r="B57" s="1" t="s">
        <v>55</v>
      </c>
      <c r="C57" s="4">
        <v>25674.000000000011</v>
      </c>
      <c r="D57" s="5">
        <v>474.96899999999999</v>
      </c>
      <c r="E57" s="6">
        <v>255</v>
      </c>
      <c r="F57" s="7">
        <v>2.1850899742930592E-2</v>
      </c>
    </row>
    <row r="58" spans="1:6" x14ac:dyDescent="0.2">
      <c r="A58" s="9">
        <f t="shared" ref="A58:A59" si="14">A57</f>
        <v>45853</v>
      </c>
      <c r="B58" s="1" t="s">
        <v>56</v>
      </c>
      <c r="C58" s="4">
        <v>25458.400000000005</v>
      </c>
      <c r="D58" s="5">
        <v>470.98040000000015</v>
      </c>
      <c r="E58" s="6">
        <v>0</v>
      </c>
      <c r="F58" s="7">
        <v>0</v>
      </c>
    </row>
    <row r="59" spans="1:6" x14ac:dyDescent="0.2">
      <c r="A59" s="9">
        <f t="shared" si="14"/>
        <v>45853</v>
      </c>
      <c r="B59" s="1" t="s">
        <v>57</v>
      </c>
      <c r="C59" s="4">
        <v>49832.200000000012</v>
      </c>
      <c r="D59" s="5">
        <v>921.89570000000037</v>
      </c>
      <c r="E59" s="6">
        <v>0</v>
      </c>
      <c r="F59" s="7">
        <v>0</v>
      </c>
    </row>
    <row r="60" spans="1:6" x14ac:dyDescent="0.2">
      <c r="A60" s="9">
        <v>45854</v>
      </c>
      <c r="B60" s="1" t="s">
        <v>58</v>
      </c>
      <c r="C60" s="4">
        <v>25152.600000000002</v>
      </c>
      <c r="D60" s="5">
        <v>465.32310000000001</v>
      </c>
      <c r="E60" s="6">
        <v>277</v>
      </c>
      <c r="F60" s="7">
        <v>2.4228111606752385E-2</v>
      </c>
    </row>
    <row r="61" spans="1:6" x14ac:dyDescent="0.2">
      <c r="A61" s="9">
        <f t="shared" ref="A61:A62" si="15">A60</f>
        <v>45854</v>
      </c>
      <c r="B61" s="1" t="s">
        <v>59</v>
      </c>
      <c r="C61" s="4">
        <v>25333</v>
      </c>
      <c r="D61" s="5">
        <v>468.66050000000013</v>
      </c>
      <c r="E61" s="6">
        <v>0</v>
      </c>
      <c r="F61" s="7">
        <v>0</v>
      </c>
    </row>
    <row r="62" spans="1:6" x14ac:dyDescent="0.2">
      <c r="A62" s="9">
        <f t="shared" si="15"/>
        <v>45854</v>
      </c>
      <c r="B62" s="1" t="s">
        <v>60</v>
      </c>
      <c r="C62" s="4">
        <v>50831.000000000029</v>
      </c>
      <c r="D62" s="5">
        <v>940.37350000000038</v>
      </c>
      <c r="E62" s="6">
        <v>0</v>
      </c>
      <c r="F62" s="7">
        <v>0</v>
      </c>
    </row>
    <row r="63" spans="1:6" x14ac:dyDescent="0.2">
      <c r="A63" s="9">
        <v>45855</v>
      </c>
      <c r="B63" s="1" t="s">
        <v>61</v>
      </c>
      <c r="C63" s="4">
        <v>24501.400000000009</v>
      </c>
      <c r="D63" s="5">
        <v>453.27589999999987</v>
      </c>
      <c r="E63" s="6">
        <v>254</v>
      </c>
      <c r="F63" s="7">
        <v>2.2806860016162341E-2</v>
      </c>
    </row>
    <row r="64" spans="1:6" x14ac:dyDescent="0.2">
      <c r="A64" s="9">
        <f t="shared" ref="A64:A66" si="16">A63</f>
        <v>45855</v>
      </c>
      <c r="B64" s="1" t="s">
        <v>62</v>
      </c>
      <c r="C64" s="4">
        <v>8850.6000000000022</v>
      </c>
      <c r="D64" s="5">
        <v>163.73610000000005</v>
      </c>
      <c r="E64" s="6">
        <v>0</v>
      </c>
      <c r="F64" s="7">
        <v>0</v>
      </c>
    </row>
    <row r="65" spans="1:6" x14ac:dyDescent="0.2">
      <c r="A65" s="9">
        <f t="shared" si="16"/>
        <v>45855</v>
      </c>
      <c r="B65" s="1" t="s">
        <v>63</v>
      </c>
      <c r="C65" s="4">
        <v>24655.4</v>
      </c>
      <c r="D65" s="5">
        <v>456.12490000000008</v>
      </c>
      <c r="E65" s="6">
        <v>0</v>
      </c>
      <c r="F65" s="7">
        <v>0</v>
      </c>
    </row>
    <row r="66" spans="1:6" x14ac:dyDescent="0.2">
      <c r="A66" s="9">
        <f t="shared" si="16"/>
        <v>45855</v>
      </c>
      <c r="B66" s="1" t="s">
        <v>64</v>
      </c>
      <c r="C66" s="4">
        <v>39791.4</v>
      </c>
      <c r="D66" s="5">
        <v>736.14089999999999</v>
      </c>
      <c r="E66" s="6">
        <v>0</v>
      </c>
      <c r="F66" s="7">
        <v>0</v>
      </c>
    </row>
    <row r="67" spans="1:6" x14ac:dyDescent="0.2">
      <c r="A67" s="9">
        <v>45856</v>
      </c>
      <c r="B67" s="1" t="s">
        <v>65</v>
      </c>
      <c r="C67" s="4">
        <v>25102.000000000004</v>
      </c>
      <c r="D67" s="5">
        <v>464.38700000000006</v>
      </c>
      <c r="E67" s="6">
        <v>315</v>
      </c>
      <c r="F67" s="7">
        <v>2.7607361963190184E-2</v>
      </c>
    </row>
    <row r="68" spans="1:6" x14ac:dyDescent="0.2">
      <c r="A68" s="9">
        <f t="shared" ref="A68:A70" si="17">A67</f>
        <v>45856</v>
      </c>
      <c r="B68" s="1" t="s">
        <v>66</v>
      </c>
      <c r="C68" s="4">
        <v>25346.200000000004</v>
      </c>
      <c r="D68" s="5">
        <v>468.9047000000001</v>
      </c>
      <c r="E68" s="6">
        <v>0</v>
      </c>
      <c r="F68" s="7">
        <v>0</v>
      </c>
    </row>
    <row r="69" spans="1:6" x14ac:dyDescent="0.2">
      <c r="A69" s="9">
        <f t="shared" si="17"/>
        <v>45856</v>
      </c>
      <c r="B69" s="1" t="s">
        <v>67</v>
      </c>
      <c r="C69" s="4">
        <v>25187.800000000007</v>
      </c>
      <c r="D69" s="5">
        <v>465.97430000000008</v>
      </c>
      <c r="E69" s="6">
        <v>0</v>
      </c>
      <c r="F69" s="7">
        <v>0</v>
      </c>
    </row>
    <row r="70" spans="1:6" x14ac:dyDescent="0.2">
      <c r="A70" s="9">
        <f t="shared" si="17"/>
        <v>45856</v>
      </c>
      <c r="B70" s="1" t="s">
        <v>68</v>
      </c>
      <c r="C70" s="4">
        <v>25264.80000000001</v>
      </c>
      <c r="D70" s="5">
        <v>467.39880000000005</v>
      </c>
      <c r="E70" s="6">
        <v>0</v>
      </c>
      <c r="F70" s="7">
        <v>0</v>
      </c>
    </row>
    <row r="71" spans="1:6" x14ac:dyDescent="0.2">
      <c r="A71" s="9">
        <v>45857</v>
      </c>
      <c r="B71" s="1" t="s">
        <v>69</v>
      </c>
      <c r="C71" s="4">
        <v>25456.2</v>
      </c>
      <c r="D71" s="5">
        <v>470.93969999999985</v>
      </c>
      <c r="E71" s="6">
        <v>372</v>
      </c>
      <c r="F71" s="7">
        <v>3.2149338864402383E-2</v>
      </c>
    </row>
    <row r="72" spans="1:6" x14ac:dyDescent="0.2">
      <c r="A72" s="9">
        <f t="shared" ref="A72:A74" si="18">A71</f>
        <v>45857</v>
      </c>
      <c r="B72" s="1" t="s">
        <v>70</v>
      </c>
      <c r="C72" s="4">
        <v>25465.000000000007</v>
      </c>
      <c r="D72" s="5">
        <v>471.10250000000008</v>
      </c>
      <c r="E72" s="6">
        <v>0</v>
      </c>
      <c r="F72" s="7">
        <v>0</v>
      </c>
    </row>
    <row r="73" spans="1:6" x14ac:dyDescent="0.2">
      <c r="A73" s="9">
        <f t="shared" si="18"/>
        <v>45857</v>
      </c>
      <c r="B73" s="1" t="s">
        <v>71</v>
      </c>
      <c r="C73" s="4">
        <v>25300.000000000011</v>
      </c>
      <c r="D73" s="5">
        <v>468.04999999999995</v>
      </c>
      <c r="E73" s="6">
        <v>0</v>
      </c>
      <c r="F73" s="7">
        <v>0</v>
      </c>
    </row>
    <row r="74" spans="1:6" x14ac:dyDescent="0.2">
      <c r="A74" s="9">
        <f t="shared" si="18"/>
        <v>45857</v>
      </c>
      <c r="B74" s="1" t="s">
        <v>72</v>
      </c>
      <c r="C74" s="4">
        <v>25478.200000000004</v>
      </c>
      <c r="D74" s="5">
        <v>471.34670000000011</v>
      </c>
      <c r="E74" s="6">
        <v>0</v>
      </c>
      <c r="F74" s="7">
        <v>0</v>
      </c>
    </row>
    <row r="75" spans="1:6" x14ac:dyDescent="0.2">
      <c r="A75" s="9">
        <v>45858</v>
      </c>
      <c r="B75" s="1" t="s">
        <v>73</v>
      </c>
      <c r="C75" s="4">
        <v>25293.4</v>
      </c>
      <c r="D75" s="5">
        <v>467.92790000000002</v>
      </c>
      <c r="E75" s="6">
        <v>355</v>
      </c>
      <c r="F75" s="7">
        <v>3.0877620248760545E-2</v>
      </c>
    </row>
    <row r="76" spans="1:6" x14ac:dyDescent="0.2">
      <c r="A76" s="9">
        <f t="shared" ref="A76:A78" si="19">A75</f>
        <v>45858</v>
      </c>
      <c r="B76" s="1" t="s">
        <v>74</v>
      </c>
      <c r="C76" s="4">
        <v>25423.200000000001</v>
      </c>
      <c r="D76" s="5">
        <v>470.32920000000001</v>
      </c>
      <c r="E76" s="6">
        <v>0</v>
      </c>
      <c r="F76" s="7">
        <v>0</v>
      </c>
    </row>
    <row r="77" spans="1:6" x14ac:dyDescent="0.2">
      <c r="A77" s="9">
        <f t="shared" si="19"/>
        <v>45858</v>
      </c>
      <c r="B77" s="1" t="s">
        <v>75</v>
      </c>
      <c r="C77" s="4">
        <v>25297.80000000001</v>
      </c>
      <c r="D77" s="5">
        <v>468.00930000000005</v>
      </c>
      <c r="E77" s="6">
        <v>0</v>
      </c>
      <c r="F77" s="7">
        <v>0</v>
      </c>
    </row>
    <row r="78" spans="1:6" x14ac:dyDescent="0.2">
      <c r="A78" s="9">
        <f t="shared" si="19"/>
        <v>45858</v>
      </c>
      <c r="B78" s="1" t="s">
        <v>76</v>
      </c>
      <c r="C78" s="4">
        <v>25104.199999999997</v>
      </c>
      <c r="D78" s="5">
        <v>464.42770000000002</v>
      </c>
      <c r="E78" s="6">
        <v>0</v>
      </c>
      <c r="F78" s="7">
        <v>0</v>
      </c>
    </row>
    <row r="79" spans="1:6" x14ac:dyDescent="0.2">
      <c r="A79" s="9">
        <v>45859</v>
      </c>
      <c r="B79" s="1" t="s">
        <v>77</v>
      </c>
      <c r="C79" s="4">
        <v>33943.80000000001</v>
      </c>
      <c r="D79" s="5">
        <v>627.96030000000007</v>
      </c>
      <c r="E79" s="6">
        <v>391</v>
      </c>
      <c r="F79" s="7">
        <v>2.5341888651241169E-2</v>
      </c>
    </row>
    <row r="80" spans="1:6" x14ac:dyDescent="0.2">
      <c r="A80" s="9">
        <f t="shared" ref="A80:A82" si="20">A79</f>
        <v>45859</v>
      </c>
      <c r="B80" s="1" t="s">
        <v>78</v>
      </c>
      <c r="C80" s="4">
        <v>4.4000000000000004</v>
      </c>
      <c r="D80" s="5">
        <v>8.14E-2</v>
      </c>
      <c r="E80" s="6">
        <v>0</v>
      </c>
      <c r="F80" s="7">
        <v>0</v>
      </c>
    </row>
    <row r="81" spans="1:6" x14ac:dyDescent="0.2">
      <c r="A81" s="9">
        <f t="shared" si="20"/>
        <v>45859</v>
      </c>
      <c r="B81" s="1" t="s">
        <v>79</v>
      </c>
      <c r="C81" s="4">
        <v>33679.800000000003</v>
      </c>
      <c r="D81" s="5">
        <v>623.07630000000017</v>
      </c>
      <c r="E81" s="6">
        <v>0</v>
      </c>
      <c r="F81" s="7">
        <v>0</v>
      </c>
    </row>
    <row r="82" spans="1:6" x14ac:dyDescent="0.2">
      <c r="A82" s="9">
        <f t="shared" si="20"/>
        <v>45859</v>
      </c>
      <c r="B82" s="1" t="s">
        <v>80</v>
      </c>
      <c r="C82" s="4">
        <v>33578.600000000006</v>
      </c>
      <c r="D82" s="5">
        <v>621.20409999999993</v>
      </c>
      <c r="E82" s="6">
        <v>0</v>
      </c>
      <c r="F82" s="7">
        <v>0</v>
      </c>
    </row>
    <row r="83" spans="1:6" x14ac:dyDescent="0.2">
      <c r="A83" s="9">
        <v>45860</v>
      </c>
      <c r="B83" s="1" t="s">
        <v>81</v>
      </c>
      <c r="C83" s="4">
        <v>33116.600000000006</v>
      </c>
      <c r="D83" s="5">
        <v>612.65710000000013</v>
      </c>
      <c r="E83" s="6">
        <v>366</v>
      </c>
      <c r="F83" s="7">
        <v>2.4314090214575167E-2</v>
      </c>
    </row>
    <row r="84" spans="1:6" x14ac:dyDescent="0.2">
      <c r="A84" s="9">
        <f t="shared" ref="A84:A85" si="21">A83</f>
        <v>45860</v>
      </c>
      <c r="B84" s="1" t="s">
        <v>82</v>
      </c>
      <c r="C84" s="4">
        <v>34009.80000000001</v>
      </c>
      <c r="D84" s="5">
        <v>629.18129999999996</v>
      </c>
      <c r="E84" s="6">
        <v>0</v>
      </c>
      <c r="F84" s="7">
        <v>0</v>
      </c>
    </row>
    <row r="85" spans="1:6" x14ac:dyDescent="0.2">
      <c r="A85" s="9">
        <f t="shared" si="21"/>
        <v>45860</v>
      </c>
      <c r="B85" s="1" t="s">
        <v>83</v>
      </c>
      <c r="C85" s="4">
        <v>33756.80000000001</v>
      </c>
      <c r="D85" s="5">
        <v>624.50080000000014</v>
      </c>
      <c r="E85" s="6">
        <v>0</v>
      </c>
      <c r="F85" s="7">
        <v>0</v>
      </c>
    </row>
    <row r="86" spans="1:6" x14ac:dyDescent="0.2">
      <c r="A86" s="9">
        <v>45861</v>
      </c>
      <c r="B86" s="1" t="s">
        <v>84</v>
      </c>
      <c r="C86" s="4">
        <v>34003.200000000004</v>
      </c>
      <c r="D86" s="5">
        <v>629.05920000000015</v>
      </c>
      <c r="E86" s="6">
        <v>389</v>
      </c>
      <c r="F86" s="7">
        <v>2.5168219461697724E-2</v>
      </c>
    </row>
    <row r="87" spans="1:6" x14ac:dyDescent="0.2">
      <c r="A87" s="9">
        <f t="shared" ref="A87:A88" si="22">A86</f>
        <v>45861</v>
      </c>
      <c r="B87" s="1" t="s">
        <v>85</v>
      </c>
      <c r="C87" s="4">
        <v>33486.200000000004</v>
      </c>
      <c r="D87" s="5">
        <v>619.49470000000008</v>
      </c>
      <c r="E87" s="6">
        <v>0</v>
      </c>
      <c r="F87" s="7">
        <v>0</v>
      </c>
    </row>
    <row r="88" spans="1:6" x14ac:dyDescent="0.2">
      <c r="A88" s="9">
        <f t="shared" si="22"/>
        <v>45861</v>
      </c>
      <c r="B88" s="1" t="s">
        <v>86</v>
      </c>
      <c r="C88" s="4">
        <v>33759</v>
      </c>
      <c r="D88" s="5">
        <v>624.54150000000016</v>
      </c>
      <c r="E88" s="6">
        <v>0</v>
      </c>
      <c r="F88" s="7">
        <v>0</v>
      </c>
    </row>
    <row r="89" spans="1:6" x14ac:dyDescent="0.2">
      <c r="A89" s="9">
        <v>45862</v>
      </c>
      <c r="B89" s="1" t="s">
        <v>87</v>
      </c>
      <c r="C89" s="4">
        <v>33717.200000000019</v>
      </c>
      <c r="D89" s="5">
        <v>623.76820000000021</v>
      </c>
      <c r="E89" s="6">
        <v>377</v>
      </c>
      <c r="F89" s="7">
        <v>2.4598721127495757E-2</v>
      </c>
    </row>
    <row r="90" spans="1:6" x14ac:dyDescent="0.2">
      <c r="A90" s="9">
        <f t="shared" ref="A90:A91" si="23">A89</f>
        <v>45862</v>
      </c>
      <c r="B90" s="1" t="s">
        <v>88</v>
      </c>
      <c r="C90" s="4">
        <v>34060.400000000001</v>
      </c>
      <c r="D90" s="5">
        <v>630.11740000000032</v>
      </c>
      <c r="E90" s="6">
        <v>0</v>
      </c>
      <c r="F90" s="7">
        <v>0</v>
      </c>
    </row>
    <row r="91" spans="1:6" x14ac:dyDescent="0.2">
      <c r="A91" s="9">
        <f t="shared" si="23"/>
        <v>45862</v>
      </c>
      <c r="B91" s="1" t="s">
        <v>89</v>
      </c>
      <c r="C91" s="4">
        <v>33484</v>
      </c>
      <c r="D91" s="5">
        <v>619.45400000000006</v>
      </c>
      <c r="E91" s="6">
        <v>0</v>
      </c>
      <c r="F91" s="7">
        <v>0</v>
      </c>
    </row>
    <row r="92" spans="1:6" x14ac:dyDescent="0.2">
      <c r="A92" s="9">
        <v>45863</v>
      </c>
      <c r="B92" s="1" t="s">
        <v>90</v>
      </c>
      <c r="C92" s="4">
        <v>33767.80000000001</v>
      </c>
      <c r="D92" s="5">
        <v>624.70430000000022</v>
      </c>
      <c r="E92" s="6">
        <v>365</v>
      </c>
      <c r="F92" s="7">
        <v>2.3780050817642843E-2</v>
      </c>
    </row>
    <row r="93" spans="1:6" x14ac:dyDescent="0.2">
      <c r="A93" s="9">
        <f t="shared" ref="A93:A94" si="24">A92</f>
        <v>45863</v>
      </c>
      <c r="B93" s="1" t="s">
        <v>91</v>
      </c>
      <c r="C93" s="4">
        <v>33668.80000000001</v>
      </c>
      <c r="D93" s="5">
        <v>622.87279999999987</v>
      </c>
      <c r="E93" s="6">
        <v>0</v>
      </c>
      <c r="F93" s="7">
        <v>0</v>
      </c>
    </row>
    <row r="94" spans="1:6" x14ac:dyDescent="0.2">
      <c r="A94" s="9">
        <f t="shared" si="24"/>
        <v>45863</v>
      </c>
      <c r="B94" s="1" t="s">
        <v>92</v>
      </c>
      <c r="C94" s="4">
        <v>33866.80000000001</v>
      </c>
      <c r="D94" s="5">
        <v>626.53580000000022</v>
      </c>
      <c r="E94" s="6">
        <v>0</v>
      </c>
      <c r="F94" s="7">
        <v>0</v>
      </c>
    </row>
    <row r="95" spans="1:6" x14ac:dyDescent="0.2">
      <c r="A95" s="9">
        <v>45864</v>
      </c>
      <c r="B95" s="1" t="s">
        <v>93</v>
      </c>
      <c r="C95" s="4">
        <v>33448.799999999996</v>
      </c>
      <c r="D95" s="5">
        <v>618.80280000000005</v>
      </c>
      <c r="E95" s="6">
        <v>470</v>
      </c>
      <c r="F95" s="7">
        <v>3.0912917653249144E-2</v>
      </c>
    </row>
    <row r="96" spans="1:6" x14ac:dyDescent="0.2">
      <c r="A96" s="9">
        <f t="shared" ref="A96:A97" si="25">A95</f>
        <v>45864</v>
      </c>
      <c r="B96" s="1" t="s">
        <v>94</v>
      </c>
      <c r="C96" s="4">
        <v>33954.800000000017</v>
      </c>
      <c r="D96" s="5">
        <v>628.16380000000004</v>
      </c>
      <c r="E96" s="6">
        <v>0</v>
      </c>
      <c r="F96" s="7">
        <v>0</v>
      </c>
    </row>
    <row r="97" spans="1:6" x14ac:dyDescent="0.2">
      <c r="A97" s="9">
        <f t="shared" si="25"/>
        <v>45864</v>
      </c>
      <c r="B97" s="1" t="s">
        <v>95</v>
      </c>
      <c r="C97" s="4">
        <v>33688.6</v>
      </c>
      <c r="D97" s="5">
        <v>623.23910000000001</v>
      </c>
      <c r="E97" s="6">
        <v>0</v>
      </c>
      <c r="F97" s="7">
        <v>0</v>
      </c>
    </row>
    <row r="98" spans="1:6" x14ac:dyDescent="0.2">
      <c r="A98" s="9">
        <v>45865</v>
      </c>
      <c r="B98" s="1" t="s">
        <v>96</v>
      </c>
      <c r="C98" s="4">
        <v>34033.999999999993</v>
      </c>
      <c r="D98" s="5">
        <v>629.62900000000002</v>
      </c>
      <c r="E98" s="6">
        <v>396</v>
      </c>
      <c r="F98" s="7">
        <v>2.5597931480284421E-2</v>
      </c>
    </row>
    <row r="99" spans="1:6" x14ac:dyDescent="0.2">
      <c r="A99" s="9">
        <f t="shared" ref="A99:A100" si="26">A98</f>
        <v>45865</v>
      </c>
      <c r="B99" s="1" t="s">
        <v>97</v>
      </c>
      <c r="C99" s="4">
        <v>33994.400000000023</v>
      </c>
      <c r="D99" s="5">
        <v>628.89640000000009</v>
      </c>
      <c r="E99" s="6">
        <v>0</v>
      </c>
      <c r="F99" s="7">
        <v>0</v>
      </c>
    </row>
    <row r="100" spans="1:6" x14ac:dyDescent="0.2">
      <c r="A100" s="9">
        <f t="shared" si="26"/>
        <v>45865</v>
      </c>
      <c r="B100" s="1" t="s">
        <v>98</v>
      </c>
      <c r="C100" s="4">
        <v>33217.80000000001</v>
      </c>
      <c r="D100" s="5">
        <v>614.52930000000015</v>
      </c>
      <c r="E100" s="6">
        <v>0</v>
      </c>
      <c r="F100" s="7">
        <v>0</v>
      </c>
    </row>
    <row r="101" spans="1:6" x14ac:dyDescent="0.2">
      <c r="A101" s="9">
        <v>45866</v>
      </c>
      <c r="B101" s="1" t="s">
        <v>99</v>
      </c>
      <c r="C101" s="4">
        <v>33594.000000000007</v>
      </c>
      <c r="D101" s="5">
        <v>621.48900000000015</v>
      </c>
      <c r="E101" s="6">
        <v>348</v>
      </c>
      <c r="F101" s="7">
        <v>2.2789783889980354E-2</v>
      </c>
    </row>
    <row r="102" spans="1:6" x14ac:dyDescent="0.2">
      <c r="A102" s="9">
        <f t="shared" ref="A102:A103" si="27">A101</f>
        <v>45866</v>
      </c>
      <c r="B102" s="1" t="s">
        <v>100</v>
      </c>
      <c r="C102" s="4">
        <v>33862.400000000009</v>
      </c>
      <c r="D102" s="5">
        <v>626.45439999999996</v>
      </c>
      <c r="E102" s="6">
        <v>0</v>
      </c>
      <c r="F102" s="7">
        <v>0</v>
      </c>
    </row>
    <row r="103" spans="1:6" x14ac:dyDescent="0.2">
      <c r="A103" s="9">
        <f t="shared" si="27"/>
        <v>45866</v>
      </c>
      <c r="B103" s="1" t="s">
        <v>101</v>
      </c>
      <c r="C103" s="4">
        <v>33772.200000000004</v>
      </c>
      <c r="D103" s="5">
        <v>624.78570000000013</v>
      </c>
      <c r="E103" s="6">
        <v>0</v>
      </c>
      <c r="F103" s="7">
        <v>0</v>
      </c>
    </row>
    <row r="104" spans="1:6" x14ac:dyDescent="0.2">
      <c r="A104" s="9">
        <v>45867</v>
      </c>
      <c r="B104" s="1" t="s">
        <v>102</v>
      </c>
      <c r="C104" s="4">
        <v>33950.400000000009</v>
      </c>
      <c r="D104" s="5">
        <v>628.08240000000023</v>
      </c>
      <c r="E104" s="6">
        <v>388</v>
      </c>
      <c r="F104" s="7">
        <v>2.5142560912389839E-2</v>
      </c>
    </row>
    <row r="105" spans="1:6" x14ac:dyDescent="0.2">
      <c r="A105" s="9">
        <f t="shared" ref="A105:A106" si="28">A104</f>
        <v>45867</v>
      </c>
      <c r="B105" s="1" t="s">
        <v>103</v>
      </c>
      <c r="C105" s="4">
        <v>33169.400000000016</v>
      </c>
      <c r="D105" s="5">
        <v>613.63390000000004</v>
      </c>
      <c r="E105" s="6">
        <v>0</v>
      </c>
      <c r="F105" s="7">
        <v>0</v>
      </c>
    </row>
    <row r="106" spans="1:6" x14ac:dyDescent="0.2">
      <c r="A106" s="9">
        <f t="shared" si="28"/>
        <v>45867</v>
      </c>
      <c r="B106" s="1" t="s">
        <v>104</v>
      </c>
      <c r="C106" s="4">
        <v>33715</v>
      </c>
      <c r="D106" s="5">
        <v>623.7275000000003</v>
      </c>
      <c r="E106" s="6">
        <v>0</v>
      </c>
      <c r="F106" s="7">
        <v>0</v>
      </c>
    </row>
    <row r="107" spans="1:6" x14ac:dyDescent="0.2">
      <c r="A107" s="9">
        <v>45868</v>
      </c>
      <c r="B107" s="1" t="s">
        <v>105</v>
      </c>
      <c r="C107" s="4">
        <v>33924</v>
      </c>
      <c r="D107" s="5">
        <v>627.59400000000016</v>
      </c>
      <c r="E107" s="6">
        <v>378</v>
      </c>
      <c r="F107" s="7">
        <v>2.4513618677042801E-2</v>
      </c>
    </row>
    <row r="108" spans="1:6" x14ac:dyDescent="0.2">
      <c r="A108" s="9">
        <f t="shared" ref="A108:A109" si="29">A107</f>
        <v>45868</v>
      </c>
      <c r="B108" s="1" t="s">
        <v>106</v>
      </c>
      <c r="C108" s="4">
        <v>33677.600000000013</v>
      </c>
      <c r="D108" s="5">
        <v>623.03560000000016</v>
      </c>
      <c r="E108" s="6">
        <v>0</v>
      </c>
      <c r="F108" s="7">
        <v>0</v>
      </c>
    </row>
    <row r="109" spans="1:6" x14ac:dyDescent="0.2">
      <c r="A109" s="9">
        <f t="shared" si="29"/>
        <v>45868</v>
      </c>
      <c r="B109" s="1" t="s">
        <v>107</v>
      </c>
      <c r="C109" s="4">
        <v>33178.200000000004</v>
      </c>
      <c r="D109" s="5">
        <v>613.7967000000001</v>
      </c>
      <c r="E109" s="6">
        <v>0</v>
      </c>
      <c r="F109" s="7">
        <v>0</v>
      </c>
    </row>
    <row r="110" spans="1:6" x14ac:dyDescent="0.2">
      <c r="A110" s="9">
        <v>45869</v>
      </c>
      <c r="B110" s="1" t="s">
        <v>108</v>
      </c>
      <c r="C110" s="4">
        <v>32678.800000000014</v>
      </c>
      <c r="D110" s="5">
        <v>604.55780000000016</v>
      </c>
      <c r="E110" s="6">
        <v>358</v>
      </c>
      <c r="F110" s="7">
        <v>2.410125218796284E-2</v>
      </c>
    </row>
    <row r="111" spans="1:6" x14ac:dyDescent="0.2">
      <c r="A111" s="9">
        <f t="shared" ref="A111:A112" si="30">A110</f>
        <v>45869</v>
      </c>
      <c r="B111" s="1" t="s">
        <v>109</v>
      </c>
      <c r="C111" s="4">
        <v>32144.2</v>
      </c>
      <c r="D111" s="5">
        <v>594.66770000000008</v>
      </c>
      <c r="E111" s="6">
        <v>0</v>
      </c>
      <c r="F111" s="7">
        <v>0</v>
      </c>
    </row>
    <row r="112" spans="1:6" x14ac:dyDescent="0.2">
      <c r="A112" s="9">
        <f t="shared" si="30"/>
        <v>45869</v>
      </c>
      <c r="B112" s="1" t="s">
        <v>110</v>
      </c>
      <c r="C112" s="4">
        <v>32527.000000000007</v>
      </c>
      <c r="D112" s="5">
        <v>601.7494999999999</v>
      </c>
      <c r="E112" s="6">
        <v>0</v>
      </c>
      <c r="F112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8FBD-C445-FA4F-84C2-30EF0F916CF1}">
  <dimension ref="A1:F13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0.6640625" bestFit="1" customWidth="1"/>
    <col min="2" max="2" width="9.5" bestFit="1" customWidth="1"/>
    <col min="3" max="3" width="5.83203125" bestFit="1" customWidth="1"/>
    <col min="4" max="4" width="6.83203125" bestFit="1" customWidth="1"/>
    <col min="5" max="5" width="15" bestFit="1" customWidth="1"/>
    <col min="6" max="6" width="18" bestFit="1" customWidth="1"/>
  </cols>
  <sheetData>
    <row r="1" spans="1:6" x14ac:dyDescent="0.2">
      <c r="A1" s="16" t="s">
        <v>125</v>
      </c>
      <c r="B1" s="17" t="s">
        <v>111</v>
      </c>
      <c r="C1" s="17" t="s">
        <v>112</v>
      </c>
      <c r="D1" s="17" t="s">
        <v>113</v>
      </c>
      <c r="E1" s="17" t="s">
        <v>115</v>
      </c>
      <c r="F1" s="17" t="s">
        <v>116</v>
      </c>
    </row>
    <row r="2" spans="1:6" x14ac:dyDescent="0.2">
      <c r="A2" s="18" t="s">
        <v>126</v>
      </c>
      <c r="B2" s="19">
        <v>306127.80000000022</v>
      </c>
      <c r="C2" s="20">
        <v>5663.3642999999965</v>
      </c>
      <c r="D2" s="21">
        <v>139149</v>
      </c>
      <c r="E2" s="21">
        <v>3649</v>
      </c>
      <c r="F2" s="7">
        <v>1.3257809718276085E-2</v>
      </c>
    </row>
    <row r="3" spans="1:6" x14ac:dyDescent="0.2">
      <c r="A3" s="18" t="s">
        <v>127</v>
      </c>
      <c r="B3" s="19">
        <v>232797.39999999997</v>
      </c>
      <c r="C3" s="20">
        <v>4306.7518999999984</v>
      </c>
      <c r="D3" s="21">
        <v>105817</v>
      </c>
      <c r="E3" s="21">
        <v>3285</v>
      </c>
      <c r="F3" s="7">
        <v>1.5528904562236162E-2</v>
      </c>
    </row>
    <row r="4" spans="1:6" x14ac:dyDescent="0.2">
      <c r="A4" s="18" t="s">
        <v>128</v>
      </c>
      <c r="B4" s="19">
        <v>219964.79999999999</v>
      </c>
      <c r="C4" s="20">
        <v>4069.3487999999993</v>
      </c>
      <c r="D4" s="21">
        <v>99984</v>
      </c>
      <c r="E4" s="21">
        <v>2737</v>
      </c>
      <c r="F4" s="7">
        <v>1.3306108558788497E-2</v>
      </c>
    </row>
    <row r="5" spans="1:6" x14ac:dyDescent="0.2">
      <c r="A5" s="18" t="s">
        <v>129</v>
      </c>
      <c r="B5" s="19">
        <v>192249.19999999998</v>
      </c>
      <c r="C5" s="20">
        <v>3556.6102000000014</v>
      </c>
      <c r="D5" s="21">
        <v>87386</v>
      </c>
      <c r="E5" s="21">
        <v>3317</v>
      </c>
      <c r="F5" s="7">
        <v>2.0101568370785156E-2</v>
      </c>
    </row>
    <row r="6" spans="1:6" x14ac:dyDescent="0.2">
      <c r="A6" s="18" t="s">
        <v>130</v>
      </c>
      <c r="B6" s="19">
        <v>176327.79999999996</v>
      </c>
      <c r="C6" s="20">
        <v>3262.0643000000014</v>
      </c>
      <c r="D6" s="21">
        <v>80149</v>
      </c>
      <c r="E6" s="21">
        <v>2242</v>
      </c>
      <c r="F6" s="7">
        <v>1.3605772440118217E-2</v>
      </c>
    </row>
    <row r="7" spans="1:6" x14ac:dyDescent="0.2">
      <c r="A7" s="18" t="s">
        <v>131</v>
      </c>
      <c r="B7" s="19">
        <v>169608.99999999997</v>
      </c>
      <c r="C7" s="20">
        <v>3137.7665000000006</v>
      </c>
      <c r="D7" s="21">
        <v>77095</v>
      </c>
      <c r="E7" s="21">
        <v>1967</v>
      </c>
      <c r="F7" s="7">
        <v>1.2495553183920313E-2</v>
      </c>
    </row>
    <row r="8" spans="1:6" x14ac:dyDescent="0.2">
      <c r="A8" s="18" t="s">
        <v>132</v>
      </c>
      <c r="B8" s="19">
        <v>160340.39999999991</v>
      </c>
      <c r="C8" s="20">
        <v>2966.2973999999999</v>
      </c>
      <c r="D8" s="21">
        <v>72882</v>
      </c>
      <c r="E8" s="21">
        <v>2118</v>
      </c>
      <c r="F8" s="7">
        <v>1.4045931123210271E-2</v>
      </c>
    </row>
    <row r="9" spans="1:6" x14ac:dyDescent="0.2">
      <c r="A9" s="18" t="s">
        <v>133</v>
      </c>
      <c r="B9" s="19">
        <v>140205.99999999997</v>
      </c>
      <c r="C9" s="20">
        <v>2593.8110000000011</v>
      </c>
      <c r="D9" s="21">
        <v>63730</v>
      </c>
      <c r="E9" s="21">
        <v>1760</v>
      </c>
      <c r="F9" s="7">
        <v>1.2720807193038249E-2</v>
      </c>
    </row>
    <row r="10" spans="1:6" x14ac:dyDescent="0.2">
      <c r="A10" s="18" t="s">
        <v>134</v>
      </c>
      <c r="B10" s="19">
        <v>113550.8</v>
      </c>
      <c r="C10" s="20">
        <v>2100.689800000001</v>
      </c>
      <c r="D10" s="21">
        <v>51614</v>
      </c>
      <c r="E10" s="21">
        <v>1599</v>
      </c>
      <c r="F10" s="7">
        <v>1.7742221827704054E-2</v>
      </c>
    </row>
    <row r="11" spans="1:6" x14ac:dyDescent="0.2">
      <c r="A11" s="18" t="s">
        <v>135</v>
      </c>
      <c r="B11" s="19">
        <v>110208.99999999997</v>
      </c>
      <c r="C11" s="20">
        <v>2038.8665000000015</v>
      </c>
      <c r="D11" s="21">
        <v>50095</v>
      </c>
      <c r="E11" s="21">
        <v>1383</v>
      </c>
      <c r="F11" s="7">
        <v>1.3339892354881647E-2</v>
      </c>
    </row>
    <row r="12" spans="1:6" x14ac:dyDescent="0.2">
      <c r="A12" s="18" t="s">
        <v>136</v>
      </c>
      <c r="B12" s="19">
        <v>108814.19999999998</v>
      </c>
      <c r="C12" s="20">
        <v>2013.0627000000002</v>
      </c>
      <c r="D12" s="21">
        <v>49461</v>
      </c>
      <c r="E12" s="21">
        <v>2484</v>
      </c>
      <c r="F12" s="7">
        <v>2.332109695530123E-2</v>
      </c>
    </row>
    <row r="13" spans="1:6" x14ac:dyDescent="0.2">
      <c r="A13" s="18" t="s">
        <v>137</v>
      </c>
      <c r="B13" s="19">
        <v>94175.4</v>
      </c>
      <c r="C13" s="20">
        <v>1742.2448999999999</v>
      </c>
      <c r="D13" s="21">
        <v>42807</v>
      </c>
      <c r="E13" s="21">
        <v>1254</v>
      </c>
      <c r="F13" s="7">
        <v>1.3645563559598686E-2</v>
      </c>
    </row>
    <row r="14" spans="1:6" x14ac:dyDescent="0.2">
      <c r="A14" s="18" t="s">
        <v>138</v>
      </c>
      <c r="B14" s="19">
        <v>77233.2</v>
      </c>
      <c r="C14" s="20">
        <v>1428.8142000000003</v>
      </c>
      <c r="D14" s="21">
        <v>35106</v>
      </c>
      <c r="E14" s="21">
        <v>1088</v>
      </c>
      <c r="F14" s="7">
        <v>1.5239375857915231E-2</v>
      </c>
    </row>
    <row r="15" spans="1:6" x14ac:dyDescent="0.2">
      <c r="A15" s="18" t="s">
        <v>139</v>
      </c>
      <c r="B15" s="19">
        <v>70144.800000000017</v>
      </c>
      <c r="C15" s="20">
        <v>1297.678800000001</v>
      </c>
      <c r="D15" s="21">
        <v>31884</v>
      </c>
      <c r="E15" s="21">
        <v>900</v>
      </c>
      <c r="F15" s="7">
        <v>1.2524527199098233E-2</v>
      </c>
    </row>
    <row r="16" spans="1:6" x14ac:dyDescent="0.2">
      <c r="A16" s="18" t="s">
        <v>140</v>
      </c>
      <c r="B16" s="19">
        <v>68281.400000000009</v>
      </c>
      <c r="C16" s="20">
        <v>1263.2059000000006</v>
      </c>
      <c r="D16" s="21">
        <v>31037</v>
      </c>
      <c r="E16" s="21">
        <v>1087</v>
      </c>
      <c r="F16" s="7">
        <v>1.6837833232647117E-2</v>
      </c>
    </row>
    <row r="17" spans="1:6" x14ac:dyDescent="0.2">
      <c r="A17" s="18" t="s">
        <v>141</v>
      </c>
      <c r="B17" s="19">
        <v>57010.8</v>
      </c>
      <c r="C17" s="20">
        <v>1054.6998000000003</v>
      </c>
      <c r="D17" s="21">
        <v>25914</v>
      </c>
      <c r="E17" s="21">
        <v>993</v>
      </c>
      <c r="F17" s="7">
        <v>1.8960151222958396E-2</v>
      </c>
    </row>
    <row r="18" spans="1:6" x14ac:dyDescent="0.2">
      <c r="A18" s="18" t="s">
        <v>142</v>
      </c>
      <c r="B18" s="19">
        <v>55362.999999999993</v>
      </c>
      <c r="C18" s="20">
        <v>1024.2155000000002</v>
      </c>
      <c r="D18" s="21">
        <v>25165</v>
      </c>
      <c r="E18" s="21">
        <v>1022</v>
      </c>
      <c r="F18" s="7">
        <v>2.0597363859889556E-2</v>
      </c>
    </row>
    <row r="19" spans="1:6" x14ac:dyDescent="0.2">
      <c r="A19" s="18" t="s">
        <v>143</v>
      </c>
      <c r="B19" s="19">
        <v>54560</v>
      </c>
      <c r="C19" s="20">
        <v>1009.3600000000001</v>
      </c>
      <c r="D19" s="21">
        <v>24800</v>
      </c>
      <c r="E19" s="21">
        <v>765</v>
      </c>
      <c r="F19" s="7">
        <v>1.4463708381388139E-2</v>
      </c>
    </row>
    <row r="20" spans="1:6" x14ac:dyDescent="0.2">
      <c r="A20" s="18" t="s">
        <v>144</v>
      </c>
      <c r="B20" s="19">
        <v>48017.200000000012</v>
      </c>
      <c r="C20" s="20">
        <v>888.31820000000016</v>
      </c>
      <c r="D20" s="21">
        <v>21826</v>
      </c>
      <c r="E20" s="21">
        <v>719</v>
      </c>
      <c r="F20" s="7">
        <v>1.5042470396250888E-2</v>
      </c>
    </row>
    <row r="21" spans="1:6" x14ac:dyDescent="0.2">
      <c r="A21" s="18" t="s">
        <v>145</v>
      </c>
      <c r="B21" s="19">
        <v>39465.80000000001</v>
      </c>
      <c r="C21" s="20">
        <v>730.11730000000011</v>
      </c>
      <c r="D21" s="21">
        <v>17939</v>
      </c>
      <c r="E21" s="21">
        <v>513</v>
      </c>
      <c r="F21" s="7">
        <v>1.3038836925579503E-2</v>
      </c>
    </row>
    <row r="22" spans="1:6" x14ac:dyDescent="0.2">
      <c r="A22" s="18" t="s">
        <v>146</v>
      </c>
      <c r="B22" s="19">
        <v>37692.600000000006</v>
      </c>
      <c r="C22" s="20">
        <v>697.31309999999996</v>
      </c>
      <c r="D22" s="21">
        <v>17133</v>
      </c>
      <c r="E22" s="21">
        <v>577</v>
      </c>
      <c r="F22" s="7">
        <v>1.5385025597269624E-2</v>
      </c>
    </row>
    <row r="23" spans="1:6" x14ac:dyDescent="0.2">
      <c r="A23" s="18" t="s">
        <v>147</v>
      </c>
      <c r="B23" s="19">
        <v>31013.400000000005</v>
      </c>
      <c r="C23" s="20">
        <v>573.74790000000019</v>
      </c>
      <c r="D23" s="21">
        <v>14097</v>
      </c>
      <c r="E23" s="21">
        <v>360</v>
      </c>
      <c r="F23" s="7">
        <v>1.2628034236003928E-2</v>
      </c>
    </row>
    <row r="24" spans="1:6" x14ac:dyDescent="0.2">
      <c r="A24" s="18" t="s">
        <v>148</v>
      </c>
      <c r="B24" s="19">
        <v>30912.200000000012</v>
      </c>
      <c r="C24" s="20">
        <v>571.87570000000017</v>
      </c>
      <c r="D24" s="21">
        <v>14051</v>
      </c>
      <c r="E24" s="21">
        <v>854</v>
      </c>
      <c r="F24" s="7">
        <v>2.9309812266190755E-2</v>
      </c>
    </row>
    <row r="25" spans="1:6" x14ac:dyDescent="0.2">
      <c r="A25" s="18" t="s">
        <v>149</v>
      </c>
      <c r="B25" s="19">
        <v>30144.400000000012</v>
      </c>
      <c r="C25" s="20">
        <v>557.67140000000006</v>
      </c>
      <c r="D25" s="21">
        <v>13702</v>
      </c>
      <c r="E25" s="21">
        <v>472</v>
      </c>
      <c r="F25" s="7">
        <v>1.6447712304422064E-2</v>
      </c>
    </row>
    <row r="26" spans="1:6" x14ac:dyDescent="0.2">
      <c r="A26" s="18" t="s">
        <v>150</v>
      </c>
      <c r="B26" s="19">
        <v>29242.400000000009</v>
      </c>
      <c r="C26" s="20">
        <v>540.98440000000016</v>
      </c>
      <c r="D26" s="21">
        <v>13292</v>
      </c>
      <c r="E26" s="21">
        <v>445</v>
      </c>
      <c r="F26" s="7">
        <v>1.4320653922893738E-2</v>
      </c>
    </row>
    <row r="27" spans="1:6" x14ac:dyDescent="0.2">
      <c r="A27" s="18" t="s">
        <v>151</v>
      </c>
      <c r="B27" s="19">
        <v>28672.6</v>
      </c>
      <c r="C27" s="20">
        <v>530.44309999999996</v>
      </c>
      <c r="D27" s="21">
        <v>13033</v>
      </c>
      <c r="E27" s="21">
        <v>398</v>
      </c>
      <c r="F27" s="7">
        <v>1.5525648527403939E-2</v>
      </c>
    </row>
    <row r="28" spans="1:6" x14ac:dyDescent="0.2">
      <c r="A28" s="18" t="s">
        <v>152</v>
      </c>
      <c r="B28" s="19">
        <v>26450.600000000002</v>
      </c>
      <c r="C28" s="20">
        <v>489.33609999999999</v>
      </c>
      <c r="D28" s="21">
        <v>12023</v>
      </c>
      <c r="E28" s="21">
        <v>480</v>
      </c>
      <c r="F28" s="7">
        <v>1.7485064840448785E-2</v>
      </c>
    </row>
    <row r="29" spans="1:6" x14ac:dyDescent="0.2">
      <c r="A29" s="18" t="s">
        <v>153</v>
      </c>
      <c r="B29" s="19">
        <v>24404.600000000006</v>
      </c>
      <c r="C29" s="20">
        <v>451.48509999999999</v>
      </c>
      <c r="D29" s="21">
        <v>11093</v>
      </c>
      <c r="E29" s="21">
        <v>456</v>
      </c>
      <c r="F29" s="7">
        <v>1.9195150698770837E-2</v>
      </c>
    </row>
    <row r="30" spans="1:6" x14ac:dyDescent="0.2">
      <c r="A30" s="18" t="s">
        <v>154</v>
      </c>
      <c r="B30" s="19">
        <v>23788.600000000002</v>
      </c>
      <c r="C30" s="20">
        <v>440.08910000000003</v>
      </c>
      <c r="D30" s="21">
        <v>10813</v>
      </c>
      <c r="E30" s="21">
        <v>364</v>
      </c>
      <c r="F30" s="7">
        <v>1.5307624374448043E-2</v>
      </c>
    </row>
    <row r="31" spans="1:6" x14ac:dyDescent="0.2">
      <c r="A31" s="18" t="s">
        <v>155</v>
      </c>
      <c r="B31" s="19">
        <v>23245.199999999997</v>
      </c>
      <c r="C31" s="20">
        <v>430.03620000000001</v>
      </c>
      <c r="D31" s="21">
        <v>10566</v>
      </c>
      <c r="E31" s="21">
        <v>396</v>
      </c>
      <c r="F31" s="7">
        <v>1.8763326226012792E-2</v>
      </c>
    </row>
    <row r="32" spans="1:6" x14ac:dyDescent="0.2">
      <c r="A32" s="18" t="s">
        <v>156</v>
      </c>
      <c r="B32" s="19">
        <v>21054.000000000004</v>
      </c>
      <c r="C32" s="20">
        <v>389.49900000000008</v>
      </c>
      <c r="D32" s="21">
        <v>9570</v>
      </c>
      <c r="E32" s="21">
        <v>316</v>
      </c>
      <c r="F32" s="7">
        <v>1.526053991403873E-2</v>
      </c>
    </row>
    <row r="33" spans="1:6" x14ac:dyDescent="0.2">
      <c r="A33" s="18" t="s">
        <v>157</v>
      </c>
      <c r="B33" s="19">
        <v>20543.600000000002</v>
      </c>
      <c r="C33" s="20">
        <v>380.05659999999983</v>
      </c>
      <c r="D33" s="21">
        <v>9338</v>
      </c>
      <c r="E33" s="21">
        <v>409</v>
      </c>
      <c r="F33" s="7">
        <v>2.0887595117716155E-2</v>
      </c>
    </row>
    <row r="34" spans="1:6" x14ac:dyDescent="0.2">
      <c r="A34" s="18" t="s">
        <v>158</v>
      </c>
      <c r="B34" s="19">
        <v>20116.800000000007</v>
      </c>
      <c r="C34" s="20">
        <v>372.16079999999988</v>
      </c>
      <c r="D34" s="21">
        <v>9144</v>
      </c>
      <c r="E34" s="21">
        <v>316</v>
      </c>
      <c r="F34" s="7">
        <v>1.8040648549897238E-2</v>
      </c>
    </row>
    <row r="35" spans="1:6" x14ac:dyDescent="0.2">
      <c r="A35" s="18" t="s">
        <v>159</v>
      </c>
      <c r="B35" s="19">
        <v>19164.200000000004</v>
      </c>
      <c r="C35" s="20">
        <v>354.53770000000009</v>
      </c>
      <c r="D35" s="21">
        <v>8711</v>
      </c>
      <c r="E35" s="21">
        <v>354</v>
      </c>
      <c r="F35" s="7">
        <v>2.146755609460279E-2</v>
      </c>
    </row>
    <row r="36" spans="1:6" x14ac:dyDescent="0.2">
      <c r="A36" s="18" t="s">
        <v>160</v>
      </c>
      <c r="B36" s="19">
        <v>16999.400000000001</v>
      </c>
      <c r="C36" s="20">
        <v>314.4889</v>
      </c>
      <c r="D36" s="21">
        <v>7727</v>
      </c>
      <c r="E36" s="21">
        <v>204</v>
      </c>
      <c r="F36" s="7">
        <v>1.3843648208469055E-2</v>
      </c>
    </row>
    <row r="37" spans="1:6" x14ac:dyDescent="0.2">
      <c r="A37" s="18" t="s">
        <v>161</v>
      </c>
      <c r="B37" s="19">
        <v>15879.6</v>
      </c>
      <c r="C37" s="20">
        <v>293.77260000000001</v>
      </c>
      <c r="D37" s="21">
        <v>7218</v>
      </c>
      <c r="E37" s="21">
        <v>187</v>
      </c>
      <c r="F37" s="7">
        <v>1.1602655581063473E-2</v>
      </c>
    </row>
    <row r="38" spans="1:6" x14ac:dyDescent="0.2">
      <c r="A38" s="18" t="s">
        <v>162</v>
      </c>
      <c r="B38" s="19">
        <v>14174.6</v>
      </c>
      <c r="C38" s="20">
        <v>262.23009999999999</v>
      </c>
      <c r="D38" s="21">
        <v>6443</v>
      </c>
      <c r="E38" s="21">
        <v>198</v>
      </c>
      <c r="F38" s="7">
        <v>1.3778705636743214E-2</v>
      </c>
    </row>
    <row r="39" spans="1:6" x14ac:dyDescent="0.2">
      <c r="A39" s="18" t="s">
        <v>163</v>
      </c>
      <c r="B39" s="19">
        <v>13129.599999999999</v>
      </c>
      <c r="C39" s="20">
        <v>242.89760000000001</v>
      </c>
      <c r="D39" s="21">
        <v>5968</v>
      </c>
      <c r="E39" s="21">
        <v>199</v>
      </c>
      <c r="F39" s="7">
        <v>1.5551734917161613E-2</v>
      </c>
    </row>
    <row r="40" spans="1:6" x14ac:dyDescent="0.2">
      <c r="A40" s="18" t="s">
        <v>164</v>
      </c>
      <c r="B40" s="19">
        <v>12722.599999999999</v>
      </c>
      <c r="C40" s="20">
        <v>235.36810000000008</v>
      </c>
      <c r="D40" s="21">
        <v>5783</v>
      </c>
      <c r="E40" s="21">
        <v>139</v>
      </c>
      <c r="F40" s="7">
        <v>1.0392523364485982E-2</v>
      </c>
    </row>
    <row r="41" spans="1:6" x14ac:dyDescent="0.2">
      <c r="A41" s="18" t="s">
        <v>165</v>
      </c>
      <c r="B41" s="19">
        <v>11433.400000000001</v>
      </c>
      <c r="C41" s="20">
        <v>211.51789999999997</v>
      </c>
      <c r="D41" s="21">
        <v>5197</v>
      </c>
      <c r="E41" s="21">
        <v>142</v>
      </c>
      <c r="F41" s="7">
        <v>1.1097217880587684E-2</v>
      </c>
    </row>
    <row r="42" spans="1:6" x14ac:dyDescent="0.2">
      <c r="A42" s="18" t="s">
        <v>166</v>
      </c>
      <c r="B42" s="19">
        <v>10588.600000000002</v>
      </c>
      <c r="C42" s="20">
        <v>195.88910000000004</v>
      </c>
      <c r="D42" s="21">
        <v>4813</v>
      </c>
      <c r="E42" s="21">
        <v>174</v>
      </c>
      <c r="F42" s="7">
        <v>1.9045534150612959E-2</v>
      </c>
    </row>
    <row r="43" spans="1:6" x14ac:dyDescent="0.2">
      <c r="A43" s="18" t="s">
        <v>167</v>
      </c>
      <c r="B43" s="19">
        <v>10053.999999999998</v>
      </c>
      <c r="C43" s="20">
        <v>185.99900000000005</v>
      </c>
      <c r="D43" s="21">
        <v>4570</v>
      </c>
      <c r="E43" s="21">
        <v>58</v>
      </c>
      <c r="F43" s="7">
        <v>6.3568610258658486E-3</v>
      </c>
    </row>
    <row r="44" spans="1:6" x14ac:dyDescent="0.2">
      <c r="A44" s="18" t="s">
        <v>168</v>
      </c>
      <c r="B44" s="19">
        <v>9605.2000000000007</v>
      </c>
      <c r="C44" s="20">
        <v>177.69620000000006</v>
      </c>
      <c r="D44" s="21">
        <v>4366</v>
      </c>
      <c r="E44" s="21">
        <v>192</v>
      </c>
      <c r="F44" s="7">
        <v>2.056335011245582E-2</v>
      </c>
    </row>
    <row r="45" spans="1:6" x14ac:dyDescent="0.2">
      <c r="A45" s="18" t="s">
        <v>169</v>
      </c>
      <c r="B45" s="19">
        <v>8661.3999999999978</v>
      </c>
      <c r="C45" s="20">
        <v>160.23590000000002</v>
      </c>
      <c r="D45" s="21">
        <v>3937</v>
      </c>
      <c r="E45" s="21">
        <v>162</v>
      </c>
      <c r="F45" s="7">
        <v>1.781394325929184E-2</v>
      </c>
    </row>
    <row r="46" spans="1:6" x14ac:dyDescent="0.2">
      <c r="A46" s="18" t="s">
        <v>170</v>
      </c>
      <c r="B46" s="19">
        <v>8302.7999999999993</v>
      </c>
      <c r="C46" s="20">
        <v>153.60179999999997</v>
      </c>
      <c r="D46" s="21">
        <v>3774</v>
      </c>
      <c r="E46" s="21">
        <v>105</v>
      </c>
      <c r="F46" s="7">
        <v>1.2319605772615276E-2</v>
      </c>
    </row>
    <row r="47" spans="1:6" x14ac:dyDescent="0.2">
      <c r="A47" s="18" t="s">
        <v>171</v>
      </c>
      <c r="B47" s="19">
        <v>7356.7999999999975</v>
      </c>
      <c r="C47" s="20">
        <v>136.10080000000005</v>
      </c>
      <c r="D47" s="21">
        <v>3344</v>
      </c>
      <c r="E47" s="21">
        <v>95</v>
      </c>
      <c r="F47" s="7">
        <v>1.2643066276284269E-2</v>
      </c>
    </row>
    <row r="48" spans="1:6" x14ac:dyDescent="0.2">
      <c r="A48" s="18" t="s">
        <v>172</v>
      </c>
      <c r="B48" s="19">
        <v>6729.7999999999984</v>
      </c>
      <c r="C48" s="20">
        <v>124.50130000000001</v>
      </c>
      <c r="D48" s="21">
        <v>3059</v>
      </c>
      <c r="E48" s="21">
        <v>102</v>
      </c>
      <c r="F48" s="7">
        <v>1.6483516483516484E-2</v>
      </c>
    </row>
    <row r="49" spans="1:6" x14ac:dyDescent="0.2">
      <c r="A49" s="18" t="s">
        <v>173</v>
      </c>
      <c r="B49" s="19">
        <v>6375.5999999999985</v>
      </c>
      <c r="C49" s="20">
        <v>117.94860000000001</v>
      </c>
      <c r="D49" s="21">
        <v>2898</v>
      </c>
      <c r="E49" s="21">
        <v>77</v>
      </c>
      <c r="F49" s="7">
        <v>1.1395589758768684E-2</v>
      </c>
    </row>
    <row r="50" spans="1:6" x14ac:dyDescent="0.2">
      <c r="A50" s="18" t="s">
        <v>174</v>
      </c>
      <c r="B50" s="19">
        <v>5896</v>
      </c>
      <c r="C50" s="20">
        <v>109.07600000000006</v>
      </c>
      <c r="D50" s="21">
        <v>2680</v>
      </c>
      <c r="E50" s="21">
        <v>94</v>
      </c>
      <c r="F50" s="7">
        <v>1.7059891107078042E-2</v>
      </c>
    </row>
    <row r="51" spans="1:6" x14ac:dyDescent="0.2">
      <c r="A51" s="18" t="s">
        <v>175</v>
      </c>
      <c r="B51" s="19">
        <v>5594.5999999999995</v>
      </c>
      <c r="C51" s="20">
        <v>103.5001</v>
      </c>
      <c r="D51" s="21">
        <v>2543</v>
      </c>
      <c r="E51" s="21">
        <v>99</v>
      </c>
      <c r="F51" s="7">
        <v>1.7808958445763627E-2</v>
      </c>
    </row>
    <row r="52" spans="1:6" x14ac:dyDescent="0.2">
      <c r="A52" s="18" t="s">
        <v>176</v>
      </c>
      <c r="B52" s="19">
        <v>5425.2</v>
      </c>
      <c r="C52" s="20">
        <v>100.36620000000002</v>
      </c>
      <c r="D52" s="21">
        <v>2466</v>
      </c>
      <c r="E52" s="21">
        <v>71</v>
      </c>
      <c r="F52" s="7">
        <v>1.2862318840579709E-2</v>
      </c>
    </row>
    <row r="53" spans="1:6" x14ac:dyDescent="0.2">
      <c r="A53" s="18" t="s">
        <v>177</v>
      </c>
      <c r="B53" s="19">
        <v>5183.1999999999989</v>
      </c>
      <c r="C53" s="20">
        <v>95.889200000000017</v>
      </c>
      <c r="D53" s="21">
        <v>2356</v>
      </c>
      <c r="E53" s="21">
        <v>70</v>
      </c>
      <c r="F53" s="7">
        <v>1.3677217663149667E-2</v>
      </c>
    </row>
    <row r="54" spans="1:6" x14ac:dyDescent="0.2">
      <c r="A54" s="18" t="s">
        <v>178</v>
      </c>
      <c r="B54" s="19">
        <v>4872.9999999999991</v>
      </c>
      <c r="C54" s="20">
        <v>90.150500000000008</v>
      </c>
      <c r="D54" s="21">
        <v>2215</v>
      </c>
      <c r="E54" s="21">
        <v>90</v>
      </c>
      <c r="F54" s="7">
        <v>2.1639817263765328E-2</v>
      </c>
    </row>
    <row r="55" spans="1:6" x14ac:dyDescent="0.2">
      <c r="A55" s="18" t="s">
        <v>179</v>
      </c>
      <c r="B55" s="19">
        <v>4763</v>
      </c>
      <c r="C55" s="20">
        <v>88.115499999999997</v>
      </c>
      <c r="D55" s="21">
        <v>2165</v>
      </c>
      <c r="E55" s="21">
        <v>67</v>
      </c>
      <c r="F55" s="7">
        <v>1.4402407566638005E-2</v>
      </c>
    </row>
    <row r="56" spans="1:6" x14ac:dyDescent="0.2">
      <c r="A56" s="18" t="s">
        <v>180</v>
      </c>
      <c r="B56" s="19">
        <v>4576.0000000000009</v>
      </c>
      <c r="C56" s="20">
        <v>84.65600000000002</v>
      </c>
      <c r="D56" s="21">
        <v>2080</v>
      </c>
      <c r="E56" s="21">
        <v>45</v>
      </c>
      <c r="F56" s="7">
        <v>1.0732172668733603E-2</v>
      </c>
    </row>
    <row r="57" spans="1:6" x14ac:dyDescent="0.2">
      <c r="A57" s="18" t="s">
        <v>181</v>
      </c>
      <c r="B57" s="19">
        <v>4210.7999999999993</v>
      </c>
      <c r="C57" s="20">
        <v>77.899800000000013</v>
      </c>
      <c r="D57" s="21">
        <v>1914</v>
      </c>
      <c r="E57" s="21">
        <v>87</v>
      </c>
      <c r="F57" s="7">
        <v>1.9656574785359242E-2</v>
      </c>
    </row>
    <row r="58" spans="1:6" x14ac:dyDescent="0.2">
      <c r="A58" s="18" t="s">
        <v>182</v>
      </c>
      <c r="B58" s="19">
        <v>3986.3999999999992</v>
      </c>
      <c r="C58" s="20">
        <v>73.748399999999975</v>
      </c>
      <c r="D58" s="21">
        <v>1812</v>
      </c>
      <c r="E58" s="21">
        <v>63</v>
      </c>
      <c r="F58" s="7">
        <v>1.7180256340332697E-2</v>
      </c>
    </row>
    <row r="59" spans="1:6" x14ac:dyDescent="0.2">
      <c r="A59" s="18" t="s">
        <v>183</v>
      </c>
      <c r="B59" s="19">
        <v>3929.2</v>
      </c>
      <c r="C59" s="20">
        <v>72.690200000000004</v>
      </c>
      <c r="D59" s="21">
        <v>1786</v>
      </c>
      <c r="E59" s="21">
        <v>44</v>
      </c>
      <c r="F59" s="7">
        <v>1.1369509043927648E-2</v>
      </c>
    </row>
    <row r="60" spans="1:6" x14ac:dyDescent="0.2">
      <c r="A60" s="18" t="s">
        <v>184</v>
      </c>
      <c r="B60" s="19">
        <v>3465.0000000000009</v>
      </c>
      <c r="C60" s="20">
        <v>64.102499999999992</v>
      </c>
      <c r="D60" s="21">
        <v>1575</v>
      </c>
      <c r="E60" s="21">
        <v>55</v>
      </c>
      <c r="F60" s="7">
        <v>1.6732582902342561E-2</v>
      </c>
    </row>
    <row r="61" spans="1:6" x14ac:dyDescent="0.2">
      <c r="A61" s="18" t="s">
        <v>185</v>
      </c>
      <c r="B61" s="19">
        <v>3300</v>
      </c>
      <c r="C61" s="20">
        <v>61.05</v>
      </c>
      <c r="D61" s="21">
        <v>1500</v>
      </c>
      <c r="E61" s="21">
        <v>40</v>
      </c>
      <c r="F61" s="7">
        <v>1.1644832605531296E-2</v>
      </c>
    </row>
    <row r="62" spans="1:6" x14ac:dyDescent="0.2">
      <c r="A62" s="18" t="s">
        <v>186</v>
      </c>
      <c r="B62" s="19">
        <v>3013.9999999999991</v>
      </c>
      <c r="C62" s="20">
        <v>55.759</v>
      </c>
      <c r="D62" s="21">
        <v>1370</v>
      </c>
      <c r="E62" s="21">
        <v>58</v>
      </c>
      <c r="F62" s="7">
        <v>1.7380881030866047E-2</v>
      </c>
    </row>
    <row r="63" spans="1:6" x14ac:dyDescent="0.2">
      <c r="A63" s="18" t="s">
        <v>187</v>
      </c>
      <c r="B63" s="19">
        <v>2930.3999999999992</v>
      </c>
      <c r="C63" s="20">
        <v>54.212399999999988</v>
      </c>
      <c r="D63" s="21">
        <v>1332</v>
      </c>
      <c r="E63" s="21">
        <v>46</v>
      </c>
      <c r="F63" s="7">
        <v>1.6967908520841016E-2</v>
      </c>
    </row>
    <row r="64" spans="1:6" x14ac:dyDescent="0.2">
      <c r="A64" s="18" t="s">
        <v>188</v>
      </c>
      <c r="B64" s="19">
        <v>2747.8</v>
      </c>
      <c r="C64" s="20">
        <v>50.834300000000013</v>
      </c>
      <c r="D64" s="21">
        <v>1249</v>
      </c>
      <c r="E64" s="21">
        <v>52</v>
      </c>
      <c r="F64" s="7">
        <v>1.4693416219270981E-2</v>
      </c>
    </row>
    <row r="65" spans="1:6" x14ac:dyDescent="0.2">
      <c r="A65" s="18" t="s">
        <v>189</v>
      </c>
      <c r="B65" s="19">
        <v>2659.7999999999997</v>
      </c>
      <c r="C65" s="20">
        <v>49.206299999999999</v>
      </c>
      <c r="D65" s="21">
        <v>1209</v>
      </c>
      <c r="E65" s="21">
        <v>43</v>
      </c>
      <c r="F65" s="7">
        <v>1.7394822006472493E-2</v>
      </c>
    </row>
    <row r="66" spans="1:6" x14ac:dyDescent="0.2">
      <c r="A66" s="18" t="s">
        <v>190</v>
      </c>
      <c r="B66" s="19">
        <v>2475</v>
      </c>
      <c r="C66" s="20">
        <v>45.787499999999994</v>
      </c>
      <c r="D66" s="21">
        <v>1125</v>
      </c>
      <c r="E66" s="21">
        <v>35</v>
      </c>
      <c r="F66" s="7">
        <v>1.4970059880239521E-2</v>
      </c>
    </row>
    <row r="67" spans="1:6" x14ac:dyDescent="0.2">
      <c r="A67" s="18" t="s">
        <v>191</v>
      </c>
      <c r="B67" s="19">
        <v>2450.8000000000002</v>
      </c>
      <c r="C67" s="20">
        <v>45.339800000000004</v>
      </c>
      <c r="D67" s="21">
        <v>1114</v>
      </c>
      <c r="E67" s="21">
        <v>49</v>
      </c>
      <c r="F67" s="7">
        <v>2.1748779405237461E-2</v>
      </c>
    </row>
    <row r="68" spans="1:6" x14ac:dyDescent="0.2">
      <c r="A68" s="18" t="s">
        <v>192</v>
      </c>
      <c r="B68" s="19">
        <v>2360.6000000000008</v>
      </c>
      <c r="C68" s="20">
        <v>43.671099999999996</v>
      </c>
      <c r="D68" s="21">
        <v>1073</v>
      </c>
      <c r="E68" s="21">
        <v>55</v>
      </c>
      <c r="F68" s="7">
        <v>2.3041474654377881E-2</v>
      </c>
    </row>
    <row r="69" spans="1:6" x14ac:dyDescent="0.2">
      <c r="A69" s="18" t="s">
        <v>193</v>
      </c>
      <c r="B69" s="19">
        <v>2239.6000000000004</v>
      </c>
      <c r="C69" s="20">
        <v>41.432599999999987</v>
      </c>
      <c r="D69" s="21">
        <v>1018</v>
      </c>
      <c r="E69" s="21">
        <v>42</v>
      </c>
      <c r="F69" s="7">
        <v>2.0958083832335328E-2</v>
      </c>
    </row>
    <row r="70" spans="1:6" x14ac:dyDescent="0.2">
      <c r="A70" s="18" t="s">
        <v>194</v>
      </c>
      <c r="B70" s="19">
        <v>2156</v>
      </c>
      <c r="C70" s="20">
        <v>39.885999999999996</v>
      </c>
      <c r="D70" s="21">
        <v>980</v>
      </c>
      <c r="E70" s="21">
        <v>35</v>
      </c>
      <c r="F70" s="7">
        <v>1.7748478701825558E-2</v>
      </c>
    </row>
    <row r="71" spans="1:6" x14ac:dyDescent="0.2">
      <c r="A71" s="18" t="s">
        <v>195</v>
      </c>
      <c r="B71" s="19">
        <v>2129.6000000000008</v>
      </c>
      <c r="C71" s="20">
        <v>39.397599999999997</v>
      </c>
      <c r="D71" s="21">
        <v>968</v>
      </c>
      <c r="E71" s="21">
        <v>31</v>
      </c>
      <c r="F71" s="7">
        <v>1.4103730664240218E-2</v>
      </c>
    </row>
    <row r="72" spans="1:6" x14ac:dyDescent="0.2">
      <c r="A72" s="18" t="s">
        <v>196</v>
      </c>
      <c r="B72" s="19">
        <v>2092.2000000000003</v>
      </c>
      <c r="C72" s="20">
        <v>38.7057</v>
      </c>
      <c r="D72" s="21">
        <v>951</v>
      </c>
      <c r="E72" s="21">
        <v>29</v>
      </c>
      <c r="F72" s="7">
        <v>9.7184986595174258E-3</v>
      </c>
    </row>
    <row r="73" spans="1:6" x14ac:dyDescent="0.2">
      <c r="A73" s="18" t="s">
        <v>197</v>
      </c>
      <c r="B73" s="19">
        <v>1960.2000000000003</v>
      </c>
      <c r="C73" s="20">
        <v>36.2637</v>
      </c>
      <c r="D73" s="21">
        <v>891</v>
      </c>
      <c r="E73" s="21">
        <v>29</v>
      </c>
      <c r="F73" s="7">
        <v>1.4384920634920634E-2</v>
      </c>
    </row>
    <row r="74" spans="1:6" x14ac:dyDescent="0.2">
      <c r="A74" s="18" t="s">
        <v>198</v>
      </c>
      <c r="B74" s="19">
        <v>1819.4</v>
      </c>
      <c r="C74" s="20">
        <v>33.658900000000003</v>
      </c>
      <c r="D74" s="21">
        <v>827</v>
      </c>
      <c r="E74" s="21">
        <v>33</v>
      </c>
      <c r="F74" s="7">
        <v>1.936619718309859E-2</v>
      </c>
    </row>
    <row r="75" spans="1:6" x14ac:dyDescent="0.2">
      <c r="A75" s="18" t="s">
        <v>199</v>
      </c>
      <c r="B75" s="19">
        <v>1718.2000000000005</v>
      </c>
      <c r="C75" s="20">
        <v>31.786699999999996</v>
      </c>
      <c r="D75" s="21">
        <v>781</v>
      </c>
      <c r="E75" s="21">
        <v>10</v>
      </c>
      <c r="F75" s="7">
        <v>4.96031746031746E-3</v>
      </c>
    </row>
    <row r="76" spans="1:6" x14ac:dyDescent="0.2">
      <c r="A76" s="18" t="s">
        <v>200</v>
      </c>
      <c r="B76" s="19">
        <v>1432.2</v>
      </c>
      <c r="C76" s="20">
        <v>26.495700000000003</v>
      </c>
      <c r="D76" s="21">
        <v>651</v>
      </c>
      <c r="E76" s="21">
        <v>31</v>
      </c>
      <c r="F76" s="7">
        <v>2.2693997071742314E-2</v>
      </c>
    </row>
    <row r="77" spans="1:6" x14ac:dyDescent="0.2">
      <c r="A77" s="18" t="s">
        <v>201</v>
      </c>
      <c r="B77" s="19">
        <v>1399.2</v>
      </c>
      <c r="C77" s="20">
        <v>25.885199999999998</v>
      </c>
      <c r="D77" s="21">
        <v>636</v>
      </c>
      <c r="E77" s="21">
        <v>30</v>
      </c>
      <c r="F77" s="7">
        <v>2.3310023310023312E-2</v>
      </c>
    </row>
    <row r="78" spans="1:6" x14ac:dyDescent="0.2">
      <c r="A78" s="18" t="s">
        <v>202</v>
      </c>
      <c r="B78" s="19">
        <v>1368.4</v>
      </c>
      <c r="C78" s="20">
        <v>25.315400000000004</v>
      </c>
      <c r="D78" s="21">
        <v>622</v>
      </c>
      <c r="E78" s="21">
        <v>18</v>
      </c>
      <c r="F78" s="7">
        <v>1.094224924012158E-2</v>
      </c>
    </row>
    <row r="79" spans="1:6" x14ac:dyDescent="0.2">
      <c r="A79" s="18" t="s">
        <v>203</v>
      </c>
      <c r="B79" s="19">
        <v>1265</v>
      </c>
      <c r="C79" s="20">
        <v>23.4025</v>
      </c>
      <c r="D79" s="21">
        <v>575</v>
      </c>
      <c r="E79" s="21">
        <v>12</v>
      </c>
      <c r="F79" s="7">
        <v>1.0733452593917709E-2</v>
      </c>
    </row>
    <row r="80" spans="1:6" x14ac:dyDescent="0.2">
      <c r="A80" s="18" t="s">
        <v>204</v>
      </c>
      <c r="B80" s="19">
        <v>1179.2</v>
      </c>
      <c r="C80" s="20">
        <v>21.815199999999997</v>
      </c>
      <c r="D80" s="21">
        <v>536</v>
      </c>
      <c r="E80" s="21">
        <v>41</v>
      </c>
      <c r="F80" s="7">
        <v>3.0191458026509573E-2</v>
      </c>
    </row>
    <row r="81" spans="1:6" x14ac:dyDescent="0.2">
      <c r="A81" s="18" t="s">
        <v>205</v>
      </c>
      <c r="B81" s="19">
        <v>1139.6000000000001</v>
      </c>
      <c r="C81" s="20">
        <v>21.082599999999999</v>
      </c>
      <c r="D81" s="21">
        <v>518</v>
      </c>
      <c r="E81" s="21">
        <v>16</v>
      </c>
      <c r="F81" s="7">
        <v>1.6614745586708203E-2</v>
      </c>
    </row>
    <row r="82" spans="1:6" x14ac:dyDescent="0.2">
      <c r="A82" s="18" t="s">
        <v>206</v>
      </c>
      <c r="B82" s="19">
        <v>1053.8</v>
      </c>
      <c r="C82" s="20">
        <v>19.495300000000004</v>
      </c>
      <c r="D82" s="21">
        <v>479</v>
      </c>
      <c r="E82" s="21">
        <v>24</v>
      </c>
      <c r="F82" s="7">
        <v>2.3645320197044337E-2</v>
      </c>
    </row>
    <row r="83" spans="1:6" x14ac:dyDescent="0.2">
      <c r="A83" s="18" t="s">
        <v>207</v>
      </c>
      <c r="B83" s="19">
        <v>974.60000000000014</v>
      </c>
      <c r="C83" s="20">
        <v>18.030099999999997</v>
      </c>
      <c r="D83" s="21">
        <v>443</v>
      </c>
      <c r="E83" s="21">
        <v>39</v>
      </c>
      <c r="F83" s="7">
        <v>4.0966386554621849E-2</v>
      </c>
    </row>
    <row r="84" spans="1:6" x14ac:dyDescent="0.2">
      <c r="A84" s="18" t="s">
        <v>208</v>
      </c>
      <c r="B84" s="19">
        <v>930.60000000000025</v>
      </c>
      <c r="C84" s="20">
        <v>17.216099999999997</v>
      </c>
      <c r="D84" s="21">
        <v>423</v>
      </c>
      <c r="E84" s="21">
        <v>14</v>
      </c>
      <c r="F84" s="7">
        <v>1.4893617021276596E-2</v>
      </c>
    </row>
    <row r="85" spans="1:6" x14ac:dyDescent="0.2">
      <c r="A85" s="18" t="s">
        <v>209</v>
      </c>
      <c r="B85" s="19">
        <v>902.00000000000023</v>
      </c>
      <c r="C85" s="20">
        <v>16.686999999999998</v>
      </c>
      <c r="D85" s="21">
        <v>410</v>
      </c>
      <c r="E85" s="21">
        <v>7</v>
      </c>
      <c r="F85" s="7">
        <v>7.7691453940066596E-3</v>
      </c>
    </row>
    <row r="86" spans="1:6" x14ac:dyDescent="0.2">
      <c r="A86" s="18" t="s">
        <v>210</v>
      </c>
      <c r="B86" s="19">
        <v>893.2</v>
      </c>
      <c r="C86" s="20">
        <v>16.5242</v>
      </c>
      <c r="D86" s="21">
        <v>406</v>
      </c>
      <c r="E86" s="21">
        <v>37</v>
      </c>
      <c r="F86" s="7">
        <v>3.0679933665008291E-2</v>
      </c>
    </row>
    <row r="87" spans="1:6" x14ac:dyDescent="0.2">
      <c r="A87" s="18" t="s">
        <v>211</v>
      </c>
      <c r="B87" s="19">
        <v>873.4</v>
      </c>
      <c r="C87" s="20">
        <v>16.157900000000001</v>
      </c>
      <c r="D87" s="21">
        <v>397</v>
      </c>
      <c r="E87" s="21">
        <v>5</v>
      </c>
      <c r="F87" s="7">
        <v>4.7892720306513406E-3</v>
      </c>
    </row>
    <row r="88" spans="1:6" x14ac:dyDescent="0.2">
      <c r="A88" s="18" t="s">
        <v>212</v>
      </c>
      <c r="B88" s="19">
        <v>789.80000000000007</v>
      </c>
      <c r="C88" s="20">
        <v>14.6113</v>
      </c>
      <c r="D88" s="21">
        <v>359</v>
      </c>
      <c r="E88" s="21">
        <v>10</v>
      </c>
      <c r="F88" s="7">
        <v>1.2391573729863693E-2</v>
      </c>
    </row>
    <row r="89" spans="1:6" x14ac:dyDescent="0.2">
      <c r="A89" s="18" t="s">
        <v>213</v>
      </c>
      <c r="B89" s="19">
        <v>772.20000000000016</v>
      </c>
      <c r="C89" s="20">
        <v>14.285699999999999</v>
      </c>
      <c r="D89" s="21">
        <v>351</v>
      </c>
      <c r="E89" s="21">
        <v>14</v>
      </c>
      <c r="F89" s="7">
        <v>1.9746121297602257E-2</v>
      </c>
    </row>
    <row r="90" spans="1:6" x14ac:dyDescent="0.2">
      <c r="A90" s="18" t="s">
        <v>214</v>
      </c>
      <c r="B90" s="19">
        <v>765.60000000000014</v>
      </c>
      <c r="C90" s="20">
        <v>14.163599999999995</v>
      </c>
      <c r="D90" s="21">
        <v>348</v>
      </c>
      <c r="E90" s="21">
        <v>23</v>
      </c>
      <c r="F90" s="7">
        <v>2.9336734693877552E-2</v>
      </c>
    </row>
    <row r="91" spans="1:6" x14ac:dyDescent="0.2">
      <c r="A91" s="18" t="s">
        <v>215</v>
      </c>
      <c r="B91" s="19">
        <v>671.00000000000011</v>
      </c>
      <c r="C91" s="20">
        <v>12.413500000000003</v>
      </c>
      <c r="D91" s="21">
        <v>305</v>
      </c>
      <c r="E91" s="21">
        <v>7</v>
      </c>
      <c r="F91" s="7">
        <v>9.1145833333333339E-3</v>
      </c>
    </row>
    <row r="92" spans="1:6" x14ac:dyDescent="0.2">
      <c r="A92" s="18" t="s">
        <v>216</v>
      </c>
      <c r="B92" s="19">
        <v>671</v>
      </c>
      <c r="C92" s="20">
        <v>12.413500000000003</v>
      </c>
      <c r="D92" s="21">
        <v>305</v>
      </c>
      <c r="E92" s="21">
        <v>7</v>
      </c>
      <c r="F92" s="7">
        <v>1.1475409836065573E-2</v>
      </c>
    </row>
    <row r="93" spans="1:6" x14ac:dyDescent="0.2">
      <c r="A93" s="18" t="s">
        <v>217</v>
      </c>
      <c r="B93" s="19">
        <v>596.19999999999993</v>
      </c>
      <c r="C93" s="20">
        <v>11.029700000000004</v>
      </c>
      <c r="D93" s="21">
        <v>271</v>
      </c>
      <c r="E93" s="21">
        <v>15</v>
      </c>
      <c r="F93" s="7">
        <v>2.1645021645021644E-2</v>
      </c>
    </row>
    <row r="94" spans="1:6" x14ac:dyDescent="0.2">
      <c r="A94" s="18" t="s">
        <v>218</v>
      </c>
      <c r="B94" s="19">
        <v>530.20000000000005</v>
      </c>
      <c r="C94" s="20">
        <v>9.8086999999999982</v>
      </c>
      <c r="D94" s="21">
        <v>241</v>
      </c>
      <c r="E94" s="21">
        <v>19</v>
      </c>
      <c r="F94" s="7">
        <v>3.2478632478632481E-2</v>
      </c>
    </row>
    <row r="95" spans="1:6" x14ac:dyDescent="0.2">
      <c r="A95" s="18" t="s">
        <v>219</v>
      </c>
      <c r="B95" s="19">
        <v>514.80000000000018</v>
      </c>
      <c r="C95" s="20">
        <v>9.5238000000000032</v>
      </c>
      <c r="D95" s="21">
        <v>234</v>
      </c>
      <c r="E95" s="21">
        <v>12</v>
      </c>
      <c r="F95" s="7">
        <v>2.0408163265306121E-2</v>
      </c>
    </row>
    <row r="96" spans="1:6" x14ac:dyDescent="0.2">
      <c r="A96" s="18" t="s">
        <v>220</v>
      </c>
      <c r="B96" s="19">
        <v>490.60000000000008</v>
      </c>
      <c r="C96" s="20">
        <v>9.0761000000000003</v>
      </c>
      <c r="D96" s="21">
        <v>223</v>
      </c>
      <c r="E96" s="21">
        <v>11</v>
      </c>
      <c r="F96" s="7">
        <v>2.0912547528517109E-2</v>
      </c>
    </row>
    <row r="97" spans="1:6" x14ac:dyDescent="0.2">
      <c r="A97" s="18" t="s">
        <v>221</v>
      </c>
      <c r="B97" s="19">
        <v>490.6</v>
      </c>
      <c r="C97" s="20">
        <v>9.0761000000000021</v>
      </c>
      <c r="D97" s="21">
        <v>223</v>
      </c>
      <c r="E97" s="21">
        <v>24</v>
      </c>
      <c r="F97" s="7">
        <v>3.8897893030794169E-2</v>
      </c>
    </row>
    <row r="98" spans="1:6" x14ac:dyDescent="0.2">
      <c r="A98" s="18" t="s">
        <v>222</v>
      </c>
      <c r="B98" s="19">
        <v>455.4</v>
      </c>
      <c r="C98" s="20">
        <v>8.4249000000000009</v>
      </c>
      <c r="D98" s="21">
        <v>207</v>
      </c>
      <c r="E98" s="21">
        <v>6</v>
      </c>
      <c r="F98" s="7">
        <v>7.5093867334167707E-3</v>
      </c>
    </row>
    <row r="99" spans="1:6" x14ac:dyDescent="0.2">
      <c r="A99" s="18" t="s">
        <v>223</v>
      </c>
      <c r="B99" s="19">
        <v>413.6</v>
      </c>
      <c r="C99" s="20">
        <v>7.651600000000002</v>
      </c>
      <c r="D99" s="21">
        <v>188</v>
      </c>
      <c r="E99" s="21">
        <v>8</v>
      </c>
      <c r="F99" s="7">
        <v>1.5355086372360844E-2</v>
      </c>
    </row>
    <row r="100" spans="1:6" x14ac:dyDescent="0.2">
      <c r="A100" s="18" t="s">
        <v>224</v>
      </c>
      <c r="B100" s="19">
        <v>402.59999999999991</v>
      </c>
      <c r="C100" s="20">
        <v>7.4481000000000019</v>
      </c>
      <c r="D100" s="21">
        <v>183</v>
      </c>
      <c r="E100" s="21">
        <v>18</v>
      </c>
      <c r="F100" s="7">
        <v>3.5928143712574849E-2</v>
      </c>
    </row>
    <row r="101" spans="1:6" x14ac:dyDescent="0.2">
      <c r="A101" s="18" t="s">
        <v>225</v>
      </c>
      <c r="B101" s="19">
        <v>292.60000000000002</v>
      </c>
      <c r="C101" s="20">
        <v>5.4131000000000018</v>
      </c>
      <c r="D101" s="21">
        <v>133</v>
      </c>
      <c r="E101" s="21">
        <v>2</v>
      </c>
      <c r="F101" s="7">
        <v>6.1162079510703364E-3</v>
      </c>
    </row>
    <row r="102" spans="1:6" x14ac:dyDescent="0.2">
      <c r="A102" s="18" t="s">
        <v>226</v>
      </c>
      <c r="B102" s="19">
        <v>250.8</v>
      </c>
      <c r="C102" s="20">
        <v>4.639800000000001</v>
      </c>
      <c r="D102" s="21">
        <v>114</v>
      </c>
      <c r="E102" s="21">
        <v>4</v>
      </c>
      <c r="F102" s="7">
        <v>1.7621145374449341E-2</v>
      </c>
    </row>
    <row r="103" spans="1:6" x14ac:dyDescent="0.2">
      <c r="A103" s="18" t="s">
        <v>227</v>
      </c>
      <c r="B103" s="19">
        <v>193.60000000000002</v>
      </c>
      <c r="C103" s="20">
        <v>3.5815999999999999</v>
      </c>
      <c r="D103" s="21">
        <v>88</v>
      </c>
      <c r="E103" s="21">
        <v>5</v>
      </c>
      <c r="F103" s="7">
        <v>1.6949152542372881E-2</v>
      </c>
    </row>
    <row r="104" spans="1:6" x14ac:dyDescent="0.2">
      <c r="A104" s="18" t="s">
        <v>228</v>
      </c>
      <c r="B104" s="19">
        <v>171.60000000000002</v>
      </c>
      <c r="C104" s="20">
        <v>3.1745999999999994</v>
      </c>
      <c r="D104" s="21">
        <v>78</v>
      </c>
      <c r="E104" s="21">
        <v>15</v>
      </c>
      <c r="F104" s="7">
        <v>9.6153846153846159E-2</v>
      </c>
    </row>
    <row r="105" spans="1:6" x14ac:dyDescent="0.2">
      <c r="A105" s="18" t="s">
        <v>229</v>
      </c>
      <c r="B105" s="19">
        <v>162.80000000000001</v>
      </c>
      <c r="C105" s="20">
        <v>3.0118</v>
      </c>
      <c r="D105" s="21">
        <v>74</v>
      </c>
      <c r="E105" s="21">
        <v>2</v>
      </c>
      <c r="F105" s="7">
        <v>1.8518518518518517E-2</v>
      </c>
    </row>
    <row r="106" spans="1:6" x14ac:dyDescent="0.2">
      <c r="A106" s="18" t="s">
        <v>230</v>
      </c>
      <c r="B106" s="19">
        <v>116.60000000000002</v>
      </c>
      <c r="C106" s="20">
        <v>2.1570999999999998</v>
      </c>
      <c r="D106" s="21">
        <v>53</v>
      </c>
      <c r="E106" s="21">
        <v>5</v>
      </c>
      <c r="F106" s="7">
        <v>3.7593984962406013E-2</v>
      </c>
    </row>
    <row r="107" spans="1:6" x14ac:dyDescent="0.2">
      <c r="A107" s="18" t="s">
        <v>231</v>
      </c>
      <c r="B107" s="19">
        <v>103.40000000000002</v>
      </c>
      <c r="C107" s="20">
        <v>1.9128999999999998</v>
      </c>
      <c r="D107" s="21">
        <v>47</v>
      </c>
      <c r="E107" s="21">
        <v>1</v>
      </c>
      <c r="F107" s="7">
        <v>8.6956521739130436E-3</v>
      </c>
    </row>
    <row r="108" spans="1:6" x14ac:dyDescent="0.2">
      <c r="A108" s="18" t="s">
        <v>232</v>
      </c>
      <c r="B108" s="19">
        <v>99</v>
      </c>
      <c r="C108" s="20">
        <v>1.8315000000000001</v>
      </c>
      <c r="D108" s="21">
        <v>45</v>
      </c>
      <c r="E108" s="21">
        <v>1</v>
      </c>
      <c r="F108" s="7">
        <v>5.4644808743169399E-3</v>
      </c>
    </row>
    <row r="109" spans="1:6" x14ac:dyDescent="0.2">
      <c r="A109" s="18" t="s">
        <v>233</v>
      </c>
      <c r="B109" s="19">
        <v>92.40000000000002</v>
      </c>
      <c r="C109" s="20">
        <v>1.7093999999999998</v>
      </c>
      <c r="D109" s="21">
        <v>42</v>
      </c>
      <c r="E109" s="21">
        <v>2</v>
      </c>
      <c r="F109" s="7">
        <v>2.247191011235955E-2</v>
      </c>
    </row>
    <row r="110" spans="1:6" x14ac:dyDescent="0.2">
      <c r="A110" s="18" t="s">
        <v>234</v>
      </c>
      <c r="B110" s="19">
        <v>83.600000000000037</v>
      </c>
      <c r="C110" s="20">
        <v>1.5465999999999993</v>
      </c>
      <c r="D110" s="21">
        <v>38</v>
      </c>
      <c r="E110" s="21">
        <v>1</v>
      </c>
      <c r="F110" s="7">
        <v>1.2658227848101266E-2</v>
      </c>
    </row>
    <row r="111" spans="1:6" x14ac:dyDescent="0.2">
      <c r="A111" s="18" t="s">
        <v>235</v>
      </c>
      <c r="B111" s="19">
        <v>83.600000000000009</v>
      </c>
      <c r="C111" s="20">
        <v>1.5465999999999998</v>
      </c>
      <c r="D111" s="21">
        <v>38</v>
      </c>
      <c r="E111" s="21">
        <v>5</v>
      </c>
      <c r="F111" s="7">
        <v>5.3191489361702128E-2</v>
      </c>
    </row>
    <row r="112" spans="1:6" x14ac:dyDescent="0.2">
      <c r="A112" s="18" t="s">
        <v>236</v>
      </c>
      <c r="B112" s="19">
        <v>79.2</v>
      </c>
      <c r="C112" s="20">
        <v>1.4651999999999998</v>
      </c>
      <c r="D112" s="21">
        <v>36</v>
      </c>
      <c r="E112" s="21">
        <v>9</v>
      </c>
      <c r="F112" s="7">
        <v>6.7669172932330823E-2</v>
      </c>
    </row>
    <row r="113" spans="1:6" x14ac:dyDescent="0.2">
      <c r="A113" s="18" t="s">
        <v>237</v>
      </c>
      <c r="B113" s="19">
        <v>52.8</v>
      </c>
      <c r="C113" s="20">
        <v>0.97679999999999989</v>
      </c>
      <c r="D113" s="21">
        <v>24</v>
      </c>
      <c r="E113" s="21">
        <v>1</v>
      </c>
      <c r="F113" s="7">
        <v>1.6393442622950821E-2</v>
      </c>
    </row>
    <row r="114" spans="1:6" x14ac:dyDescent="0.2">
      <c r="A114" s="18" t="s">
        <v>238</v>
      </c>
      <c r="B114" s="19">
        <v>44</v>
      </c>
      <c r="C114" s="20">
        <v>0.81400000000000006</v>
      </c>
      <c r="D114" s="21">
        <v>20</v>
      </c>
      <c r="E114" s="21">
        <v>0</v>
      </c>
      <c r="F114" s="7">
        <v>0</v>
      </c>
    </row>
    <row r="115" spans="1:6" x14ac:dyDescent="0.2">
      <c r="A115" s="18" t="s">
        <v>239</v>
      </c>
      <c r="B115" s="19">
        <v>30.8</v>
      </c>
      <c r="C115" s="20">
        <v>0.56979999999999997</v>
      </c>
      <c r="D115" s="21">
        <v>14</v>
      </c>
      <c r="E115" s="21">
        <v>2</v>
      </c>
      <c r="F115" s="7">
        <v>2.4390243902439025E-2</v>
      </c>
    </row>
    <row r="116" spans="1:6" x14ac:dyDescent="0.2">
      <c r="A116" s="18" t="s">
        <v>240</v>
      </c>
      <c r="B116" s="19">
        <v>19.799999999999997</v>
      </c>
      <c r="C116" s="20">
        <v>0.36630000000000007</v>
      </c>
      <c r="D116" s="21">
        <v>9</v>
      </c>
      <c r="E116" s="21">
        <v>0</v>
      </c>
      <c r="F116" s="7">
        <v>0</v>
      </c>
    </row>
    <row r="117" spans="1:6" x14ac:dyDescent="0.2">
      <c r="A117" s="18" t="s">
        <v>241</v>
      </c>
      <c r="B117" s="19">
        <v>15.399999999999999</v>
      </c>
      <c r="C117" s="20">
        <v>0.28490000000000004</v>
      </c>
      <c r="D117" s="21">
        <v>7</v>
      </c>
      <c r="E117" s="21">
        <v>0</v>
      </c>
      <c r="F117" s="7">
        <v>0</v>
      </c>
    </row>
    <row r="118" spans="1:6" x14ac:dyDescent="0.2">
      <c r="A118" s="18" t="s">
        <v>242</v>
      </c>
      <c r="B118" s="19">
        <v>13.2</v>
      </c>
      <c r="C118" s="20">
        <v>0.24420000000000003</v>
      </c>
      <c r="D118" s="21">
        <v>6</v>
      </c>
      <c r="E118" s="21">
        <v>0</v>
      </c>
      <c r="F118" s="7">
        <v>0</v>
      </c>
    </row>
    <row r="119" spans="1:6" x14ac:dyDescent="0.2">
      <c r="A119" s="18" t="s">
        <v>243</v>
      </c>
      <c r="B119" s="19">
        <v>11</v>
      </c>
      <c r="C119" s="20">
        <v>0.20350000000000001</v>
      </c>
      <c r="D119" s="21">
        <v>5</v>
      </c>
      <c r="E119" s="21">
        <v>0</v>
      </c>
      <c r="F119" s="7">
        <v>0</v>
      </c>
    </row>
    <row r="120" spans="1:6" x14ac:dyDescent="0.2">
      <c r="A120" s="18" t="s">
        <v>244</v>
      </c>
      <c r="B120" s="19">
        <v>8.8000000000000007</v>
      </c>
      <c r="C120" s="20">
        <v>0.1628</v>
      </c>
      <c r="D120" s="21">
        <v>4</v>
      </c>
      <c r="E120" s="21">
        <v>0</v>
      </c>
      <c r="F120" s="7">
        <v>0</v>
      </c>
    </row>
    <row r="121" spans="1:6" x14ac:dyDescent="0.2">
      <c r="A121" s="18" t="s">
        <v>245</v>
      </c>
      <c r="B121" s="19">
        <v>4.4000000000000004</v>
      </c>
      <c r="C121" s="20">
        <v>8.14E-2</v>
      </c>
      <c r="D121" s="21">
        <v>2</v>
      </c>
      <c r="E121" s="21">
        <v>1</v>
      </c>
      <c r="F121" s="7">
        <v>0.2</v>
      </c>
    </row>
    <row r="122" spans="1:6" x14ac:dyDescent="0.2">
      <c r="A122" s="18" t="s">
        <v>246</v>
      </c>
      <c r="B122" s="19">
        <v>2.2000000000000002</v>
      </c>
      <c r="C122" s="20">
        <v>4.07E-2</v>
      </c>
      <c r="D122" s="21">
        <v>1</v>
      </c>
      <c r="E122" s="21">
        <v>0</v>
      </c>
      <c r="F122" s="7">
        <v>0</v>
      </c>
    </row>
    <row r="123" spans="1:6" x14ac:dyDescent="0.2">
      <c r="A123" s="18" t="s">
        <v>247</v>
      </c>
      <c r="B123" s="19">
        <v>2.2000000000000002</v>
      </c>
      <c r="C123" s="20">
        <v>4.07E-2</v>
      </c>
      <c r="D123" s="21">
        <v>1</v>
      </c>
      <c r="E123" s="21">
        <v>0</v>
      </c>
      <c r="F123" s="7">
        <v>0</v>
      </c>
    </row>
    <row r="124" spans="1:6" x14ac:dyDescent="0.2">
      <c r="A124" s="18" t="s">
        <v>248</v>
      </c>
      <c r="B124" s="19">
        <v>2.2000000000000002</v>
      </c>
      <c r="C124" s="20">
        <v>4.07E-2</v>
      </c>
      <c r="D124" s="21">
        <v>1</v>
      </c>
      <c r="E124" s="21">
        <v>0</v>
      </c>
      <c r="F124" s="7">
        <v>0</v>
      </c>
    </row>
    <row r="125" spans="1:6" x14ac:dyDescent="0.2">
      <c r="A125" s="18" t="s">
        <v>249</v>
      </c>
      <c r="B125" s="19">
        <v>2.2000000000000002</v>
      </c>
      <c r="C125" s="20">
        <v>4.07E-2</v>
      </c>
      <c r="D125" s="21">
        <v>1</v>
      </c>
      <c r="E125" s="21">
        <v>0</v>
      </c>
      <c r="F125" s="7">
        <v>0</v>
      </c>
    </row>
    <row r="126" spans="1:6" x14ac:dyDescent="0.2">
      <c r="A126" s="18" t="s">
        <v>250</v>
      </c>
      <c r="B126" s="19">
        <v>2.2000000000000002</v>
      </c>
      <c r="C126" s="20">
        <v>4.07E-2</v>
      </c>
      <c r="D126" s="21">
        <v>1</v>
      </c>
      <c r="E126" s="21">
        <v>0</v>
      </c>
      <c r="F126" s="7">
        <v>0</v>
      </c>
    </row>
    <row r="127" spans="1:6" x14ac:dyDescent="0.2">
      <c r="A127" s="18" t="s">
        <v>251</v>
      </c>
      <c r="B127" s="19">
        <v>2.2000000000000002</v>
      </c>
      <c r="C127" s="20">
        <v>4.07E-2</v>
      </c>
      <c r="D127" s="21">
        <v>1</v>
      </c>
      <c r="E127" s="21">
        <v>0</v>
      </c>
      <c r="F127" s="7">
        <v>0</v>
      </c>
    </row>
    <row r="128" spans="1:6" x14ac:dyDescent="0.2">
      <c r="A128" s="18" t="s">
        <v>252</v>
      </c>
      <c r="B128" s="19">
        <v>0</v>
      </c>
      <c r="C128" s="20">
        <v>0</v>
      </c>
      <c r="D128" s="21">
        <v>0</v>
      </c>
      <c r="E128" s="21">
        <v>0</v>
      </c>
      <c r="F128" s="7">
        <v>0</v>
      </c>
    </row>
    <row r="129" spans="1:6" x14ac:dyDescent="0.2">
      <c r="A129" s="18" t="s">
        <v>253</v>
      </c>
      <c r="B129" s="19">
        <v>0</v>
      </c>
      <c r="C129" s="20">
        <v>0</v>
      </c>
      <c r="D129" s="21">
        <v>0</v>
      </c>
      <c r="E129" s="21">
        <v>0</v>
      </c>
      <c r="F129" s="7">
        <v>0</v>
      </c>
    </row>
    <row r="130" spans="1:6" x14ac:dyDescent="0.2">
      <c r="A130" s="18" t="s">
        <v>254</v>
      </c>
      <c r="B130" s="19">
        <v>0</v>
      </c>
      <c r="C130" s="20">
        <v>0</v>
      </c>
      <c r="D130" s="21">
        <v>0</v>
      </c>
      <c r="E130" s="21">
        <v>0</v>
      </c>
      <c r="F130" s="7">
        <v>0</v>
      </c>
    </row>
    <row r="131" spans="1:6" x14ac:dyDescent="0.2">
      <c r="A131" s="18" t="s">
        <v>255</v>
      </c>
      <c r="B131" s="19">
        <v>0</v>
      </c>
      <c r="C131" s="20">
        <v>0</v>
      </c>
      <c r="D131" s="21">
        <v>0</v>
      </c>
      <c r="E131" s="21">
        <v>0</v>
      </c>
      <c r="F131" s="7">
        <v>0</v>
      </c>
    </row>
    <row r="132" spans="1:6" x14ac:dyDescent="0.2">
      <c r="A132" s="18" t="s">
        <v>256</v>
      </c>
      <c r="B132" s="19">
        <v>0</v>
      </c>
      <c r="C132" s="20">
        <v>0</v>
      </c>
      <c r="D132" s="21">
        <v>0</v>
      </c>
      <c r="E132" s="21">
        <v>0</v>
      </c>
      <c r="F132" s="7">
        <v>0</v>
      </c>
    </row>
    <row r="133" spans="1:6" x14ac:dyDescent="0.2">
      <c r="A133" s="18" t="s">
        <v>257</v>
      </c>
      <c r="B133" s="19">
        <v>0</v>
      </c>
      <c r="C133" s="20">
        <v>0</v>
      </c>
      <c r="D133" s="21">
        <v>0</v>
      </c>
      <c r="E133" s="21">
        <v>0</v>
      </c>
      <c r="F133" s="7">
        <v>0</v>
      </c>
    </row>
    <row r="134" spans="1:6" x14ac:dyDescent="0.2">
      <c r="A134" s="18" t="s">
        <v>258</v>
      </c>
      <c r="B134" s="19">
        <v>0</v>
      </c>
      <c r="C134" s="20">
        <v>0</v>
      </c>
      <c r="D134" s="21">
        <v>0</v>
      </c>
      <c r="E134" s="21">
        <v>0</v>
      </c>
      <c r="F134" s="7">
        <v>0</v>
      </c>
    </row>
    <row r="135" spans="1:6" x14ac:dyDescent="0.2">
      <c r="A135" s="18" t="s">
        <v>259</v>
      </c>
      <c r="B135" s="19">
        <v>0</v>
      </c>
      <c r="C135" s="20">
        <v>0</v>
      </c>
      <c r="D135" s="21">
        <v>0</v>
      </c>
      <c r="E135" s="21">
        <v>0</v>
      </c>
      <c r="F135" s="7">
        <v>0</v>
      </c>
    </row>
    <row r="136" spans="1:6" x14ac:dyDescent="0.2">
      <c r="A136" s="18" t="s">
        <v>260</v>
      </c>
      <c r="B136" s="19">
        <v>0</v>
      </c>
      <c r="C136" s="20">
        <v>0</v>
      </c>
      <c r="D136" s="21">
        <v>0</v>
      </c>
      <c r="E136" s="21">
        <v>0</v>
      </c>
      <c r="F136" s="7">
        <v>0</v>
      </c>
    </row>
    <row r="137" spans="1:6" x14ac:dyDescent="0.2">
      <c r="A137" s="18" t="s">
        <v>261</v>
      </c>
      <c r="B137" s="19">
        <v>0</v>
      </c>
      <c r="C137" s="20">
        <v>0</v>
      </c>
      <c r="D137" s="21">
        <v>0</v>
      </c>
      <c r="E137" s="21">
        <v>0</v>
      </c>
      <c r="F137" s="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Spend</vt:lpstr>
      <vt:lpstr>Creative by Date</vt:lpstr>
      <vt:lpstr>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Sheldon</cp:lastModifiedBy>
  <dcterms:created xsi:type="dcterms:W3CDTF">2025-08-01T14:34:58Z</dcterms:created>
  <dcterms:modified xsi:type="dcterms:W3CDTF">2025-08-01T14:34:58Z</dcterms:modified>
</cp:coreProperties>
</file>