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45CCDE23-BAE8-0244-9FEE-E582ECFBB988}" xr6:coauthVersionLast="47" xr6:coauthVersionMax="47" xr10:uidLastSave="{00000000-0000-0000-0000-000000000000}"/>
  <bookViews>
    <workbookView xWindow="0" yWindow="460" windowWidth="25600" windowHeight="16320" tabRatio="500" xr2:uid="{00000000-000D-0000-FFFF-FFFF00000000}"/>
  </bookViews>
  <sheets>
    <sheet name="SPEND BY AIRPORT LOCATION" sheetId="2" r:id="rId1"/>
    <sheet name="SPEND BY DAY" sheetId="1" r:id="rId2"/>
    <sheet name="SPEND BY CREATIV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9" i="3"/>
  <c r="H9" i="3"/>
  <c r="D32" i="1"/>
  <c r="C32" i="1"/>
  <c r="B32" i="1"/>
  <c r="D36" i="2"/>
  <c r="E36" i="2"/>
  <c r="F36" i="2"/>
</calcChain>
</file>

<file path=xl/sharedStrings.xml><?xml version="1.0" encoding="utf-8"?>
<sst xmlns="http://schemas.openxmlformats.org/spreadsheetml/2006/main" count="133" uniqueCount="118">
  <si>
    <t>Date</t>
  </si>
  <si>
    <t>CPM</t>
  </si>
  <si>
    <t>Impressions</t>
  </si>
  <si>
    <t>Spend</t>
  </si>
  <si>
    <t>Spots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</si>
  <si>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</si>
  <si>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</si>
  <si>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</si>
  <si>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</si>
  <si>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</si>
  <si>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</si>
  <si>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</si>
  <si>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</si>
  <si>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</si>
  <si>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</si>
  <si>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</si>
  <si>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</si>
  <si>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</si>
  <si>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</si>
  <si>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</si>
  <si>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</si>
  <si>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</si>
  <si>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</si>
  <si>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</si>
  <si>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</si>
  <si>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</si>
  <si>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</si>
  <si>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</si>
  <si>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</si>
  <si>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</si>
  <si>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</si>
  <si>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</si>
  <si>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</si>
  <si>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</si>
  <si>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Airport Code</t>
  </si>
  <si>
    <t>Airport Name</t>
  </si>
  <si>
    <t>Month</t>
  </si>
  <si>
    <t>ATL</t>
  </si>
  <si>
    <t>Hartsfield-Jackson Atlanta International Airport</t>
  </si>
  <si>
    <t>BHM</t>
  </si>
  <si>
    <t>Birmingham-Shuttlesworth International Airport</t>
  </si>
  <si>
    <t>DAL</t>
  </si>
  <si>
    <t>Dallas Love Field</t>
  </si>
  <si>
    <t>DCA</t>
  </si>
  <si>
    <t>Ronald Reagan National Airport</t>
  </si>
  <si>
    <t>DFW</t>
  </si>
  <si>
    <t>DFW International Airport</t>
  </si>
  <si>
    <t>FLL</t>
  </si>
  <si>
    <t>Fort Lauderdale-Hollywood International Airport</t>
  </si>
  <si>
    <t>HNL</t>
  </si>
  <si>
    <t>Honolulu International Airport</t>
  </si>
  <si>
    <t>IAH</t>
  </si>
  <si>
    <t>George Bush Intercontinental Airport</t>
  </si>
  <si>
    <t>JAX</t>
  </si>
  <si>
    <t>Jacksonville International Airport</t>
  </si>
  <si>
    <t>JNU</t>
  </si>
  <si>
    <t>Juneau Airport</t>
  </si>
  <si>
    <t>MCI</t>
  </si>
  <si>
    <t>Kansas City International Airport</t>
  </si>
  <si>
    <t>MCO</t>
  </si>
  <si>
    <t>Orlando International Airport</t>
  </si>
  <si>
    <t>MIA</t>
  </si>
  <si>
    <t>Miami International Airport</t>
  </si>
  <si>
    <t>MKE</t>
  </si>
  <si>
    <t>Milwaukee Mitchell International Airport</t>
  </si>
  <si>
    <t>MSP</t>
  </si>
  <si>
    <t>Minneapolis-St. Paul International Airport</t>
  </si>
  <si>
    <t>PBI</t>
  </si>
  <si>
    <t>Palm Beach International Airport</t>
  </si>
  <si>
    <t>RSW</t>
  </si>
  <si>
    <t>Southwest Florida International Airport</t>
  </si>
  <si>
    <t>SAN</t>
  </si>
  <si>
    <t>San Diego International Airport</t>
  </si>
  <si>
    <t>SAT</t>
  </si>
  <si>
    <t>San Antonio International Airport</t>
  </si>
  <si>
    <t>SAV</t>
  </si>
  <si>
    <t>Savannah/Hilton Head International Airport</t>
  </si>
  <si>
    <t>SEA</t>
  </si>
  <si>
    <t>Seattle-Tacoma International Airport</t>
  </si>
  <si>
    <t>SFO</t>
  </si>
  <si>
    <t>San Francisco International Airport</t>
  </si>
  <si>
    <t>SJC</t>
  </si>
  <si>
    <t>San Jose Mineta International Airport</t>
  </si>
  <si>
    <t>SMF</t>
  </si>
  <si>
    <t>Sacramento International Airport</t>
  </si>
  <si>
    <t>SNA</t>
  </si>
  <si>
    <t>John Wayne Airport Orange County</t>
  </si>
  <si>
    <t>STL</t>
  </si>
  <si>
    <t>St. Louis Lambert International Airport</t>
  </si>
  <si>
    <t>TPA</t>
  </si>
  <si>
    <t>Tampa International Airport</t>
  </si>
  <si>
    <t>CLT</t>
  </si>
  <si>
    <t>Charlotte Douglas International Airport</t>
  </si>
  <si>
    <t>ORD</t>
  </si>
  <si>
    <t>O'Hare International Airport</t>
  </si>
  <si>
    <t>ORF</t>
  </si>
  <si>
    <t>Norfolk International Airport</t>
  </si>
  <si>
    <t>PHX</t>
  </si>
  <si>
    <t>Phoenix Sky Harbor International Airport</t>
  </si>
  <si>
    <t>RDU</t>
  </si>
  <si>
    <t>Raleigh-Durham International Airport</t>
  </si>
  <si>
    <t>TUS</t>
  </si>
  <si>
    <t>Tucson International Airport</t>
  </si>
  <si>
    <t>scheduleId</t>
  </si>
  <si>
    <t>Asset ID</t>
  </si>
  <si>
    <t>Asset Label</t>
  </si>
  <si>
    <t>15A5D43D3C1AD5</t>
  </si>
  <si>
    <t>Bet Online</t>
  </si>
  <si>
    <t>15CE690E040478</t>
  </si>
  <si>
    <t>15CAF782A591D5</t>
  </si>
  <si>
    <t>1522F969D59662</t>
  </si>
  <si>
    <t>150CE9FD6A3E4A</t>
  </si>
  <si>
    <t>1521B2CE4318F3</t>
  </si>
  <si>
    <t>TOTALS</t>
  </si>
  <si>
    <t>14.29 after bonus</t>
  </si>
  <si>
    <t>includes 10% bonus</t>
  </si>
  <si>
    <t>only $25K billable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</si>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</sst>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&quot;$&quot;#,##0.00"/>
  </numFmts>
  <fonts count="6">
    <font>
      <sz val="11"/>
      <name val="Calibri"/>
    </font>
    <font>
      <b/>
      <sz val="16"/>
      <name val="Inherit"/>
    </font>
    <font>
      <sz val="16"/>
      <name val="Inherit"/>
    </font>
    <font>
      <sz val="16"/>
      <name val="Calibri"/>
      <family val="2"/>
    </font>
    <font>
      <b/>
      <sz val="16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7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4" fontId="1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0" fontId="3" fillId="2" borderId="0" xfId="0" applyFont="1" applyFill="1"/>
    <xf numFmtId="3" fontId="3" fillId="2" borderId="0" xfId="0" applyNumberFormat="1" applyFont="1" applyFill="1"/>
    <xf numFmtId="4" fontId="3" fillId="2" borderId="0" xfId="0" applyNumberFormat="1" applyFont="1" applyFill="1"/>
    <xf numFmtId="0" fontId="4" fillId="0" borderId="0" xfId="0" applyFont="1"/>
    <xf numFmtId="2" fontId="3" fillId="0" borderId="0" xfId="0" applyNumberFormat="1" applyFont="1"/>
    <xf numFmtId="1" fontId="3" fillId="0" borderId="0" xfId="0" applyNumberFormat="1" applyFont="1"/>
    <xf numFmtId="2" fontId="4" fillId="0" borderId="0" xfId="0" applyNumberFormat="1" applyFont="1"/>
    <xf numFmtId="14" fontId="3" fillId="0" borderId="0" xfId="0" applyNumberFormat="1" applyFont="1" applyAlignment="1">
      <alignment horizontal="left"/>
    </xf>
    <xf numFmtId="2" fontId="3" fillId="2" borderId="0" xfId="0" applyNumberFormat="1" applyFont="1" applyFill="1"/>
    <xf numFmtId="174" fontId="1" fillId="0" borderId="0" xfId="0" applyNumberFormat="1" applyFont="1"/>
    <xf numFmtId="174" fontId="2" fillId="0" borderId="0" xfId="0" applyNumberFormat="1" applyFont="1"/>
    <xf numFmtId="174" fontId="3" fillId="0" borderId="0" xfId="0" applyNumberFormat="1" applyFon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7601-08E8-3E40-9569-97FD524940C3}">
  <dimension ref="A1:G38"/>
  <sheetViews>
    <sheetView tabSelected="1" workbookViewId="0">
      <selection activeCell="E39" sqref="E39"/>
    </sheetView>
  </sheetViews>
  <sheetFormatPr baseColWidth="10" defaultRowHeight="21"/>
  <cols>
    <col min="1" max="1" width="16.6640625" style="5" bestFit="1" customWidth="1"/>
    <col min="2" max="2" width="56.33203125" style="5" customWidth="1"/>
    <col min="3" max="3" width="15.6640625" style="5" customWidth="1"/>
    <col min="4" max="4" width="14.6640625" style="5" bestFit="1" customWidth="1"/>
    <col min="5" max="5" width="26.5" style="8" customWidth="1"/>
    <col min="6" max="6" width="20.33203125" style="5" customWidth="1"/>
    <col min="7" max="7" width="20.33203125" style="5" bestFit="1" customWidth="1"/>
  </cols>
  <sheetData>
    <row r="1" spans="1:7" ht="20">
      <c r="A1" s="1" t="s">
        <v>34</v>
      </c>
      <c r="B1" s="1" t="s">
        <v>35</v>
      </c>
      <c r="C1" s="1" t="s">
        <v>36</v>
      </c>
      <c r="D1" s="1" t="s">
        <v>2</v>
      </c>
      <c r="E1" s="6" t="s">
        <v>3</v>
      </c>
      <c r="F1" s="1" t="s">
        <v>4</v>
      </c>
      <c r="G1" s="1" t="s">
        <v>1</v>
      </c>
    </row>
    <row r="2" spans="1:7" ht="20">
      <c r="A2" s="1"/>
      <c r="B2" s="1"/>
      <c r="C2" s="1"/>
      <c r="D2" s="1"/>
      <c r="E2" s="6"/>
      <c r="F2" s="1"/>
      <c r="G2" s="1"/>
    </row>
    <row r="3" spans="1:7" ht="20">
      <c r="A3" s="2" t="s">
        <v>37</v>
      </c>
      <c r="B3" s="2" t="s">
        <v>38</v>
      </c>
      <c r="C3" s="3">
        <v>45901</v>
      </c>
      <c r="D3" s="4">
        <v>379952</v>
      </c>
      <c r="E3" s="7">
        <v>5429.5140799999999</v>
      </c>
      <c r="F3" s="4">
        <v>12964</v>
      </c>
      <c r="G3" s="2">
        <v>14.29</v>
      </c>
    </row>
    <row r="4" spans="1:7" ht="20">
      <c r="A4" s="2" t="s">
        <v>39</v>
      </c>
      <c r="B4" s="2" t="s">
        <v>40</v>
      </c>
      <c r="C4" s="3">
        <v>45901</v>
      </c>
      <c r="D4" s="4">
        <v>11592</v>
      </c>
      <c r="E4" s="7">
        <v>165.64967999999999</v>
      </c>
      <c r="F4" s="4">
        <v>2576</v>
      </c>
      <c r="G4" s="2">
        <v>14.29</v>
      </c>
    </row>
    <row r="5" spans="1:7" ht="20">
      <c r="A5" s="2" t="s">
        <v>41</v>
      </c>
      <c r="B5" s="2" t="s">
        <v>42</v>
      </c>
      <c r="C5" s="3">
        <v>45901</v>
      </c>
      <c r="D5" s="4">
        <v>42308</v>
      </c>
      <c r="E5" s="7">
        <v>604.58132000000001</v>
      </c>
      <c r="F5" s="2">
        <v>775</v>
      </c>
      <c r="G5" s="2">
        <v>14.29</v>
      </c>
    </row>
    <row r="6" spans="1:7" ht="20">
      <c r="A6" s="2" t="s">
        <v>43</v>
      </c>
      <c r="B6" s="2" t="s">
        <v>44</v>
      </c>
      <c r="C6" s="3">
        <v>45901</v>
      </c>
      <c r="D6" s="4">
        <v>36960</v>
      </c>
      <c r="E6" s="7">
        <v>528.15840000000003</v>
      </c>
      <c r="F6" s="2">
        <v>678</v>
      </c>
      <c r="G6" s="2">
        <v>14.29</v>
      </c>
    </row>
    <row r="7" spans="1:7" ht="20">
      <c r="A7" s="2" t="s">
        <v>45</v>
      </c>
      <c r="B7" s="2" t="s">
        <v>46</v>
      </c>
      <c r="C7" s="3">
        <v>45901</v>
      </c>
      <c r="D7" s="4">
        <v>25000</v>
      </c>
      <c r="E7" s="7">
        <v>357.25</v>
      </c>
      <c r="F7" s="2">
        <v>458</v>
      </c>
      <c r="G7" s="2">
        <v>14.29</v>
      </c>
    </row>
    <row r="8" spans="1:7" ht="20">
      <c r="A8" s="2" t="s">
        <v>47</v>
      </c>
      <c r="B8" s="2" t="s">
        <v>48</v>
      </c>
      <c r="C8" s="3">
        <v>45901</v>
      </c>
      <c r="D8" s="4">
        <v>11704</v>
      </c>
      <c r="E8" s="7">
        <v>167.25015999999999</v>
      </c>
      <c r="F8" s="2">
        <v>215</v>
      </c>
      <c r="G8" s="2">
        <v>14.29</v>
      </c>
    </row>
    <row r="9" spans="1:7" ht="20">
      <c r="A9" s="2" t="s">
        <v>49</v>
      </c>
      <c r="B9" s="2" t="s">
        <v>50</v>
      </c>
      <c r="C9" s="3">
        <v>45901</v>
      </c>
      <c r="D9" s="4">
        <v>5744</v>
      </c>
      <c r="E9" s="7">
        <v>82.081760000000003</v>
      </c>
      <c r="F9" s="2">
        <v>109</v>
      </c>
      <c r="G9" s="2">
        <v>14.29</v>
      </c>
    </row>
    <row r="10" spans="1:7" ht="20">
      <c r="A10" s="2" t="s">
        <v>51</v>
      </c>
      <c r="B10" s="2" t="s">
        <v>52</v>
      </c>
      <c r="C10" s="3">
        <v>45901</v>
      </c>
      <c r="D10" s="4">
        <v>98347</v>
      </c>
      <c r="E10" s="7">
        <v>1405.3786299999999</v>
      </c>
      <c r="F10" s="4">
        <v>4051</v>
      </c>
      <c r="G10" s="2">
        <v>14.29</v>
      </c>
    </row>
    <row r="11" spans="1:7" ht="20">
      <c r="A11" s="2" t="s">
        <v>53</v>
      </c>
      <c r="B11" s="2" t="s">
        <v>54</v>
      </c>
      <c r="C11" s="3">
        <v>45901</v>
      </c>
      <c r="D11" s="4">
        <v>18312</v>
      </c>
      <c r="E11" s="7">
        <v>261.67847999999998</v>
      </c>
      <c r="F11" s="2">
        <v>336</v>
      </c>
      <c r="G11" s="2">
        <v>14.29</v>
      </c>
    </row>
    <row r="12" spans="1:7" ht="20">
      <c r="A12" s="2" t="s">
        <v>55</v>
      </c>
      <c r="B12" s="2" t="s">
        <v>56</v>
      </c>
      <c r="C12" s="3">
        <v>45901</v>
      </c>
      <c r="D12" s="4">
        <v>1614</v>
      </c>
      <c r="E12" s="7">
        <v>23.064060000000001</v>
      </c>
      <c r="F12" s="2">
        <v>294</v>
      </c>
      <c r="G12" s="2">
        <v>14.29</v>
      </c>
    </row>
    <row r="13" spans="1:7" ht="20">
      <c r="A13" s="2" t="s">
        <v>57</v>
      </c>
      <c r="B13" s="2" t="s">
        <v>58</v>
      </c>
      <c r="C13" s="3">
        <v>45901</v>
      </c>
      <c r="D13" s="4">
        <v>36864</v>
      </c>
      <c r="E13" s="7">
        <v>526.78656000000001</v>
      </c>
      <c r="F13" s="4">
        <v>4320</v>
      </c>
      <c r="G13" s="2">
        <v>14.29</v>
      </c>
    </row>
    <row r="14" spans="1:7" ht="20">
      <c r="A14" s="2" t="s">
        <v>59</v>
      </c>
      <c r="B14" s="2" t="s">
        <v>60</v>
      </c>
      <c r="C14" s="3">
        <v>45901</v>
      </c>
      <c r="D14" s="4">
        <v>54836</v>
      </c>
      <c r="E14" s="7">
        <v>783.60644000000002</v>
      </c>
      <c r="F14" s="4">
        <v>1006</v>
      </c>
      <c r="G14" s="2">
        <v>14.29</v>
      </c>
    </row>
    <row r="15" spans="1:7" ht="20">
      <c r="A15" s="2" t="s">
        <v>61</v>
      </c>
      <c r="B15" s="2" t="s">
        <v>62</v>
      </c>
      <c r="C15" s="3">
        <v>45901</v>
      </c>
      <c r="D15" s="4">
        <v>200856</v>
      </c>
      <c r="E15" s="7">
        <v>2870.2322399999998</v>
      </c>
      <c r="F15" s="4">
        <v>5157</v>
      </c>
      <c r="G15" s="2">
        <v>14.29</v>
      </c>
    </row>
    <row r="16" spans="1:7" ht="20">
      <c r="A16" s="2" t="s">
        <v>63</v>
      </c>
      <c r="B16" s="2" t="s">
        <v>64</v>
      </c>
      <c r="C16" s="3">
        <v>45901</v>
      </c>
      <c r="D16" s="4">
        <v>56310</v>
      </c>
      <c r="E16" s="7">
        <v>804.66989999999998</v>
      </c>
      <c r="F16" s="4">
        <v>1654</v>
      </c>
      <c r="G16" s="2">
        <v>14.29</v>
      </c>
    </row>
    <row r="17" spans="1:7" ht="20">
      <c r="A17" s="2" t="s">
        <v>65</v>
      </c>
      <c r="B17" s="2" t="s">
        <v>66</v>
      </c>
      <c r="C17" s="3">
        <v>45901</v>
      </c>
      <c r="D17" s="4">
        <v>155372</v>
      </c>
      <c r="E17" s="7">
        <v>2220.2658799999999</v>
      </c>
      <c r="F17" s="4">
        <v>7307</v>
      </c>
      <c r="G17" s="2">
        <v>14.29</v>
      </c>
    </row>
    <row r="18" spans="1:7" ht="20">
      <c r="A18" s="2" t="s">
        <v>67</v>
      </c>
      <c r="B18" s="2" t="s">
        <v>68</v>
      </c>
      <c r="C18" s="3">
        <v>45901</v>
      </c>
      <c r="D18" s="4">
        <v>6054</v>
      </c>
      <c r="E18" s="7">
        <v>86.511660000000006</v>
      </c>
      <c r="F18" s="2">
        <v>111</v>
      </c>
      <c r="G18" s="2">
        <v>14.29</v>
      </c>
    </row>
    <row r="19" spans="1:7" ht="20">
      <c r="A19" s="2" t="s">
        <v>69</v>
      </c>
      <c r="B19" s="2" t="s">
        <v>70</v>
      </c>
      <c r="C19" s="3">
        <v>45901</v>
      </c>
      <c r="D19" s="4">
        <v>21314</v>
      </c>
      <c r="E19" s="7">
        <v>304.57706000000002</v>
      </c>
      <c r="F19" s="2">
        <v>391</v>
      </c>
      <c r="G19" s="2">
        <v>14.29</v>
      </c>
    </row>
    <row r="20" spans="1:7" ht="20">
      <c r="A20" s="2" t="s">
        <v>71</v>
      </c>
      <c r="B20" s="2" t="s">
        <v>72</v>
      </c>
      <c r="C20" s="3">
        <v>45901</v>
      </c>
      <c r="D20" s="4">
        <v>90826</v>
      </c>
      <c r="E20" s="7">
        <v>1297.90354</v>
      </c>
      <c r="F20" s="4">
        <v>1695</v>
      </c>
      <c r="G20" s="2">
        <v>14.29</v>
      </c>
    </row>
    <row r="21" spans="1:7" ht="20">
      <c r="A21" s="2" t="s">
        <v>73</v>
      </c>
      <c r="B21" s="2" t="s">
        <v>74</v>
      </c>
      <c r="C21" s="3">
        <v>45901</v>
      </c>
      <c r="D21" s="4">
        <v>41494</v>
      </c>
      <c r="E21" s="7">
        <v>592.94925999999998</v>
      </c>
      <c r="F21" s="4">
        <v>1063</v>
      </c>
      <c r="G21" s="2">
        <v>14.29</v>
      </c>
    </row>
    <row r="22" spans="1:7" ht="20">
      <c r="A22" s="2" t="s">
        <v>75</v>
      </c>
      <c r="B22" s="2" t="s">
        <v>76</v>
      </c>
      <c r="C22" s="3">
        <v>45901</v>
      </c>
      <c r="D22" s="4">
        <v>9324</v>
      </c>
      <c r="E22" s="7">
        <v>133.23996</v>
      </c>
      <c r="F22" s="2">
        <v>171</v>
      </c>
      <c r="G22" s="2">
        <v>14.29</v>
      </c>
    </row>
    <row r="23" spans="1:7" ht="20">
      <c r="A23" s="2" t="s">
        <v>77</v>
      </c>
      <c r="B23" s="2" t="s">
        <v>78</v>
      </c>
      <c r="C23" s="3">
        <v>45901</v>
      </c>
      <c r="D23" s="4">
        <v>92538</v>
      </c>
      <c r="E23" s="7">
        <v>1322.3680199999999</v>
      </c>
      <c r="F23" s="4">
        <v>1701</v>
      </c>
      <c r="G23" s="2">
        <v>14.29</v>
      </c>
    </row>
    <row r="24" spans="1:7" ht="20">
      <c r="A24" s="2" t="s">
        <v>79</v>
      </c>
      <c r="B24" s="2" t="s">
        <v>80</v>
      </c>
      <c r="C24" s="3">
        <v>45901</v>
      </c>
      <c r="D24" s="4">
        <v>9162</v>
      </c>
      <c r="E24" s="7">
        <v>130.92498000000001</v>
      </c>
      <c r="F24" s="2">
        <v>168</v>
      </c>
      <c r="G24" s="2">
        <v>14.29</v>
      </c>
    </row>
    <row r="25" spans="1:7" ht="20">
      <c r="A25" s="2" t="s">
        <v>81</v>
      </c>
      <c r="B25" s="2" t="s">
        <v>82</v>
      </c>
      <c r="C25" s="3">
        <v>45901</v>
      </c>
      <c r="D25" s="4">
        <v>5768</v>
      </c>
      <c r="E25" s="7">
        <v>82.424719999999994</v>
      </c>
      <c r="F25" s="2">
        <v>106</v>
      </c>
      <c r="G25" s="2">
        <v>14.29</v>
      </c>
    </row>
    <row r="26" spans="1:7" ht="20">
      <c r="A26" s="2" t="s">
        <v>83</v>
      </c>
      <c r="B26" s="2" t="s">
        <v>84</v>
      </c>
      <c r="C26" s="3">
        <v>45901</v>
      </c>
      <c r="D26" s="4">
        <v>11536</v>
      </c>
      <c r="E26" s="7">
        <v>164.84943999999999</v>
      </c>
      <c r="F26" s="2">
        <v>212</v>
      </c>
      <c r="G26" s="2">
        <v>14.29</v>
      </c>
    </row>
    <row r="27" spans="1:7" ht="20">
      <c r="A27" s="2" t="s">
        <v>85</v>
      </c>
      <c r="B27" s="2" t="s">
        <v>86</v>
      </c>
      <c r="C27" s="3">
        <v>45901</v>
      </c>
      <c r="D27" s="4">
        <v>2884</v>
      </c>
      <c r="E27" s="7">
        <v>41.212359999999997</v>
      </c>
      <c r="F27" s="2">
        <v>53</v>
      </c>
      <c r="G27" s="2">
        <v>14.29</v>
      </c>
    </row>
    <row r="28" spans="1:7" ht="20">
      <c r="A28" s="2" t="s">
        <v>87</v>
      </c>
      <c r="B28" s="2" t="s">
        <v>88</v>
      </c>
      <c r="C28" s="3">
        <v>45901</v>
      </c>
      <c r="D28" s="4">
        <v>71900</v>
      </c>
      <c r="E28" s="7">
        <v>1027.451</v>
      </c>
      <c r="F28" s="4">
        <v>1906</v>
      </c>
      <c r="G28" s="2">
        <v>14.29</v>
      </c>
    </row>
    <row r="29" spans="1:7" ht="20">
      <c r="A29" s="2" t="s">
        <v>89</v>
      </c>
      <c r="B29" s="2" t="s">
        <v>90</v>
      </c>
      <c r="C29" s="3">
        <v>45901</v>
      </c>
      <c r="D29" s="4">
        <v>25588</v>
      </c>
      <c r="E29" s="7">
        <v>365.65251999999998</v>
      </c>
      <c r="F29" s="2">
        <v>470</v>
      </c>
      <c r="G29" s="2">
        <v>14.29</v>
      </c>
    </row>
    <row r="30" spans="1:7" ht="20">
      <c r="A30" s="2" t="s">
        <v>91</v>
      </c>
      <c r="B30" s="2" t="s">
        <v>92</v>
      </c>
      <c r="C30" s="3">
        <v>45901</v>
      </c>
      <c r="D30" s="4">
        <v>86064</v>
      </c>
      <c r="E30" s="7">
        <v>1229.85456</v>
      </c>
      <c r="F30" s="4">
        <v>1572</v>
      </c>
      <c r="G30" s="2">
        <v>14.29</v>
      </c>
    </row>
    <row r="31" spans="1:7" ht="20">
      <c r="A31" s="2" t="s">
        <v>93</v>
      </c>
      <c r="B31" s="2" t="s">
        <v>94</v>
      </c>
      <c r="C31" s="3">
        <v>45901</v>
      </c>
      <c r="D31" s="4">
        <v>72504</v>
      </c>
      <c r="E31" s="7">
        <v>1036.0821599999999</v>
      </c>
      <c r="F31" s="4">
        <v>1323</v>
      </c>
      <c r="G31" s="2">
        <v>14.29</v>
      </c>
    </row>
    <row r="32" spans="1:7" ht="20">
      <c r="A32" s="2" t="s">
        <v>95</v>
      </c>
      <c r="B32" s="2" t="s">
        <v>96</v>
      </c>
      <c r="C32" s="3">
        <v>45901</v>
      </c>
      <c r="D32" s="4">
        <v>5456</v>
      </c>
      <c r="E32" s="7">
        <v>77.966239999999999</v>
      </c>
      <c r="F32" s="2">
        <v>100</v>
      </c>
      <c r="G32" s="2">
        <v>14.29</v>
      </c>
    </row>
    <row r="33" spans="1:7" ht="20">
      <c r="A33" s="2" t="s">
        <v>97</v>
      </c>
      <c r="B33" s="2" t="s">
        <v>98</v>
      </c>
      <c r="C33" s="3">
        <v>45901</v>
      </c>
      <c r="D33" s="4">
        <v>213346</v>
      </c>
      <c r="E33" s="7">
        <v>3048.71434</v>
      </c>
      <c r="F33" s="4">
        <v>5654</v>
      </c>
      <c r="G33" s="2">
        <v>14.29</v>
      </c>
    </row>
    <row r="34" spans="1:7" ht="20">
      <c r="A34" s="2" t="s">
        <v>99</v>
      </c>
      <c r="B34" s="2" t="s">
        <v>100</v>
      </c>
      <c r="C34" s="3">
        <v>45901</v>
      </c>
      <c r="D34" s="4">
        <v>8256</v>
      </c>
      <c r="E34" s="7">
        <v>117.97824</v>
      </c>
      <c r="F34" s="2">
        <v>150</v>
      </c>
      <c r="G34" s="2">
        <v>14.29</v>
      </c>
    </row>
    <row r="35" spans="1:7" ht="20">
      <c r="A35" s="2" t="s">
        <v>101</v>
      </c>
      <c r="B35" s="2" t="s">
        <v>102</v>
      </c>
      <c r="C35" s="3">
        <v>45901</v>
      </c>
      <c r="D35" s="4">
        <v>14982</v>
      </c>
      <c r="E35" s="7">
        <v>214.09278</v>
      </c>
      <c r="F35" s="2">
        <v>594</v>
      </c>
      <c r="G35" s="2">
        <v>14.29</v>
      </c>
    </row>
    <row r="36" spans="1:7">
      <c r="A36" s="10" t="s">
        <v>113</v>
      </c>
      <c r="B36" s="10"/>
      <c r="C36" s="10"/>
      <c r="D36" s="11">
        <f>SUM(D3:D35)</f>
        <v>1924767</v>
      </c>
      <c r="E36" s="12">
        <f>SUM(E3:E35)</f>
        <v>27504.920430000002</v>
      </c>
      <c r="F36" s="11">
        <f>SUM(F3:F35)</f>
        <v>59340</v>
      </c>
      <c r="G36" s="10" t="s">
        <v>114</v>
      </c>
    </row>
    <row r="37" spans="1:7">
      <c r="E37" s="8" t="s">
        <v>115</v>
      </c>
    </row>
    <row r="38" spans="1:7">
      <c r="E38" s="8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16" workbookViewId="0">
      <selection activeCell="E32" sqref="A32:E32"/>
    </sheetView>
  </sheetViews>
  <sheetFormatPr baseColWidth="10" defaultRowHeight="21"/>
  <cols>
    <col min="1" max="2" width="21.5" style="5" customWidth="1"/>
    <col min="3" max="3" width="21.5" style="14" customWidth="1"/>
    <col min="4" max="5" width="21.5" style="5" customWidth="1"/>
    <col min="6" max="16384" width="10.83203125" style="5"/>
  </cols>
  <sheetData>
    <row r="1" spans="1:5">
      <c r="A1" s="13" t="s">
        <v>0</v>
      </c>
      <c r="B1" s="13" t="s">
        <v>2</v>
      </c>
      <c r="C1" s="16" t="s">
        <v>3</v>
      </c>
      <c r="D1" s="13" t="s">
        <v>4</v>
      </c>
      <c r="E1" s="13" t="s">
        <v>1</v>
      </c>
    </row>
    <row r="2" spans="1:5">
      <c r="A2" s="5" t="s">
        <v>5</v>
      </c>
      <c r="B2" s="9">
        <v>45023</v>
      </c>
      <c r="C2" s="14">
        <v>643.37867000000006</v>
      </c>
      <c r="D2" s="9">
        <v>1763</v>
      </c>
      <c r="E2" s="14">
        <v>14.29</v>
      </c>
    </row>
    <row r="3" spans="1:5">
      <c r="A3" s="5" t="s">
        <v>6</v>
      </c>
      <c r="B3" s="9">
        <v>55419</v>
      </c>
      <c r="C3" s="14">
        <v>791.93750999999997</v>
      </c>
      <c r="D3" s="9">
        <v>2062</v>
      </c>
      <c r="E3" s="14">
        <v>14.29</v>
      </c>
    </row>
    <row r="4" spans="1:5">
      <c r="A4" s="5" t="s">
        <v>7</v>
      </c>
      <c r="B4" s="9">
        <v>57837</v>
      </c>
      <c r="C4" s="14">
        <v>826.49072999999999</v>
      </c>
      <c r="D4" s="9">
        <v>2126</v>
      </c>
      <c r="E4" s="14">
        <v>14.29</v>
      </c>
    </row>
    <row r="5" spans="1:5">
      <c r="A5" s="5" t="s">
        <v>8</v>
      </c>
      <c r="B5" s="9">
        <v>58400</v>
      </c>
      <c r="C5" s="14">
        <v>834.53599999999994</v>
      </c>
      <c r="D5" s="9">
        <v>2131</v>
      </c>
      <c r="E5" s="14">
        <v>14.29</v>
      </c>
    </row>
    <row r="6" spans="1:5">
      <c r="A6" s="5" t="s">
        <v>9</v>
      </c>
      <c r="B6" s="9">
        <v>28069</v>
      </c>
      <c r="C6" s="14">
        <v>401.10601000000003</v>
      </c>
      <c r="D6" s="9">
        <v>1041</v>
      </c>
      <c r="E6" s="14">
        <v>14.29</v>
      </c>
    </row>
    <row r="7" spans="1:5">
      <c r="A7" s="5" t="s">
        <v>10</v>
      </c>
      <c r="B7" s="9">
        <v>28918</v>
      </c>
      <c r="C7" s="14">
        <v>413.23822000000001</v>
      </c>
      <c r="D7" s="9">
        <v>1062</v>
      </c>
      <c r="E7" s="14">
        <v>14.29</v>
      </c>
    </row>
    <row r="8" spans="1:5">
      <c r="A8" s="5" t="s">
        <v>11</v>
      </c>
      <c r="B8" s="9">
        <v>28929</v>
      </c>
      <c r="C8" s="14">
        <v>413.39541000000003</v>
      </c>
      <c r="D8" s="9">
        <v>1065</v>
      </c>
      <c r="E8" s="14">
        <v>14.29</v>
      </c>
    </row>
    <row r="9" spans="1:5">
      <c r="A9" s="5" t="s">
        <v>12</v>
      </c>
      <c r="B9" s="9">
        <v>29163</v>
      </c>
      <c r="C9" s="14">
        <v>416.73926999999998</v>
      </c>
      <c r="D9" s="9">
        <v>1070</v>
      </c>
      <c r="E9" s="14">
        <v>14.29</v>
      </c>
    </row>
    <row r="10" spans="1:5">
      <c r="A10" s="5" t="s">
        <v>13</v>
      </c>
      <c r="B10" s="9">
        <v>28436</v>
      </c>
      <c r="C10" s="14">
        <v>406.35043999999999</v>
      </c>
      <c r="D10" s="9">
        <v>1054</v>
      </c>
      <c r="E10" s="14">
        <v>14.29</v>
      </c>
    </row>
    <row r="11" spans="1:5">
      <c r="A11" s="5" t="s">
        <v>14</v>
      </c>
      <c r="B11" s="9">
        <v>29783</v>
      </c>
      <c r="C11" s="14">
        <v>425.59906999999998</v>
      </c>
      <c r="D11" s="9">
        <v>1081</v>
      </c>
      <c r="E11" s="14">
        <v>14.29</v>
      </c>
    </row>
    <row r="12" spans="1:5">
      <c r="A12" s="5" t="s">
        <v>15</v>
      </c>
      <c r="B12" s="9">
        <v>36916</v>
      </c>
      <c r="C12" s="14">
        <v>527.52963999999997</v>
      </c>
      <c r="D12" s="9">
        <v>1071</v>
      </c>
      <c r="E12" s="14">
        <v>14.29</v>
      </c>
    </row>
    <row r="13" spans="1:5">
      <c r="A13" s="5" t="s">
        <v>16</v>
      </c>
      <c r="B13" s="9">
        <v>68250</v>
      </c>
      <c r="C13" s="14">
        <v>975.29250000000002</v>
      </c>
      <c r="D13" s="9">
        <v>2013</v>
      </c>
      <c r="E13" s="14">
        <v>14.29</v>
      </c>
    </row>
    <row r="14" spans="1:5">
      <c r="A14" s="5" t="s">
        <v>17</v>
      </c>
      <c r="B14" s="9">
        <v>72052</v>
      </c>
      <c r="C14" s="14">
        <v>1029.6230800000001</v>
      </c>
      <c r="D14" s="9">
        <v>2106</v>
      </c>
      <c r="E14" s="14">
        <v>14.29</v>
      </c>
    </row>
    <row r="15" spans="1:5">
      <c r="A15" s="5" t="s">
        <v>18</v>
      </c>
      <c r="B15" s="9">
        <v>71872</v>
      </c>
      <c r="C15" s="14">
        <v>1027.05088</v>
      </c>
      <c r="D15" s="9">
        <v>2102</v>
      </c>
      <c r="E15" s="14">
        <v>14.29</v>
      </c>
    </row>
    <row r="16" spans="1:5">
      <c r="A16" s="5" t="s">
        <v>19</v>
      </c>
      <c r="B16" s="9">
        <v>72568</v>
      </c>
      <c r="C16" s="14">
        <v>1036.9967200000001</v>
      </c>
      <c r="D16" s="9">
        <v>2121</v>
      </c>
      <c r="E16" s="14">
        <v>14.29</v>
      </c>
    </row>
    <row r="17" spans="1:5">
      <c r="A17" s="5" t="s">
        <v>20</v>
      </c>
      <c r="B17" s="9">
        <v>72666</v>
      </c>
      <c r="C17" s="14">
        <v>1038.39714</v>
      </c>
      <c r="D17" s="9">
        <v>2121</v>
      </c>
      <c r="E17" s="14">
        <v>14.29</v>
      </c>
    </row>
    <row r="18" spans="1:5">
      <c r="A18" s="5" t="s">
        <v>21</v>
      </c>
      <c r="B18" s="9">
        <v>72828</v>
      </c>
      <c r="C18" s="14">
        <v>1040.7121199999999</v>
      </c>
      <c r="D18" s="9">
        <v>2122</v>
      </c>
      <c r="E18" s="14">
        <v>14.29</v>
      </c>
    </row>
    <row r="19" spans="1:5">
      <c r="A19" s="5" t="s">
        <v>22</v>
      </c>
      <c r="B19" s="9">
        <v>72536</v>
      </c>
      <c r="C19" s="14">
        <v>1036.53944</v>
      </c>
      <c r="D19" s="9">
        <v>2114</v>
      </c>
      <c r="E19" s="14">
        <v>14.29</v>
      </c>
    </row>
    <row r="20" spans="1:5">
      <c r="A20" s="5" t="s">
        <v>23</v>
      </c>
      <c r="B20" s="9">
        <v>72968</v>
      </c>
      <c r="C20" s="14">
        <v>1042.71272</v>
      </c>
      <c r="D20" s="9">
        <v>2123</v>
      </c>
      <c r="E20" s="14">
        <v>14.29</v>
      </c>
    </row>
    <row r="21" spans="1:5">
      <c r="A21" s="5" t="s">
        <v>24</v>
      </c>
      <c r="B21" s="9">
        <v>71938</v>
      </c>
      <c r="C21" s="14">
        <v>1027.9940200000001</v>
      </c>
      <c r="D21" s="9">
        <v>2103</v>
      </c>
      <c r="E21" s="14">
        <v>14.29</v>
      </c>
    </row>
    <row r="22" spans="1:5">
      <c r="A22" s="5" t="s">
        <v>25</v>
      </c>
      <c r="B22" s="9">
        <v>72132</v>
      </c>
      <c r="C22" s="14">
        <v>1030.7662800000001</v>
      </c>
      <c r="D22" s="9">
        <v>2104</v>
      </c>
      <c r="E22" s="14">
        <v>14.29</v>
      </c>
    </row>
    <row r="23" spans="1:5">
      <c r="A23" s="5" t="s">
        <v>26</v>
      </c>
      <c r="B23" s="9">
        <v>72052</v>
      </c>
      <c r="C23" s="14">
        <v>1029.6230800000001</v>
      </c>
      <c r="D23" s="9">
        <v>2103</v>
      </c>
      <c r="E23" s="14">
        <v>14.29</v>
      </c>
    </row>
    <row r="24" spans="1:5">
      <c r="A24" s="5" t="s">
        <v>27</v>
      </c>
      <c r="B24" s="9">
        <v>11846</v>
      </c>
      <c r="C24" s="14">
        <v>169.27933999999999</v>
      </c>
      <c r="D24" s="15">
        <v>409</v>
      </c>
      <c r="E24" s="14">
        <v>14.29</v>
      </c>
    </row>
    <row r="25" spans="1:5">
      <c r="A25" s="5" t="s">
        <v>28</v>
      </c>
      <c r="B25" s="9">
        <v>11574</v>
      </c>
      <c r="C25" s="14">
        <v>165.39246</v>
      </c>
      <c r="D25" s="15">
        <v>402</v>
      </c>
      <c r="E25" s="14">
        <v>14.29</v>
      </c>
    </row>
    <row r="26" spans="1:5">
      <c r="A26" s="5" t="s">
        <v>29</v>
      </c>
      <c r="B26" s="9">
        <v>72250</v>
      </c>
      <c r="C26" s="14">
        <v>1032.4525000000001</v>
      </c>
      <c r="D26" s="9">
        <v>2103</v>
      </c>
      <c r="E26" s="14">
        <v>14.29</v>
      </c>
    </row>
    <row r="27" spans="1:5">
      <c r="A27" s="5" t="s">
        <v>30</v>
      </c>
      <c r="B27" s="9">
        <v>69944</v>
      </c>
      <c r="C27" s="14">
        <v>999.49976000000004</v>
      </c>
      <c r="D27" s="9">
        <v>2051</v>
      </c>
      <c r="E27" s="14">
        <v>14.29</v>
      </c>
    </row>
    <row r="28" spans="1:5">
      <c r="A28" s="5" t="s">
        <v>31</v>
      </c>
      <c r="B28" s="9">
        <v>211760</v>
      </c>
      <c r="C28" s="14">
        <v>3026.0504000000001</v>
      </c>
      <c r="D28" s="9">
        <v>6187</v>
      </c>
      <c r="E28" s="14">
        <v>14.29</v>
      </c>
    </row>
    <row r="29" spans="1:5">
      <c r="A29" s="5" t="s">
        <v>32</v>
      </c>
      <c r="B29" s="9">
        <v>146808</v>
      </c>
      <c r="C29" s="14">
        <v>2097.8863200000001</v>
      </c>
      <c r="D29" s="9">
        <v>4255</v>
      </c>
      <c r="E29" s="14">
        <v>14.29</v>
      </c>
    </row>
    <row r="30" spans="1:5">
      <c r="A30" s="5" t="s">
        <v>33</v>
      </c>
      <c r="B30" s="9">
        <v>181830</v>
      </c>
      <c r="C30" s="14">
        <v>2598.3507</v>
      </c>
      <c r="D30" s="9">
        <v>5275</v>
      </c>
      <c r="E30" s="14">
        <v>14.29</v>
      </c>
    </row>
    <row r="31" spans="1:5">
      <c r="A31" s="17">
        <v>45930</v>
      </c>
      <c r="B31" s="5">
        <v>0</v>
      </c>
      <c r="C31" s="14">
        <v>0</v>
      </c>
      <c r="D31" s="5">
        <v>0</v>
      </c>
      <c r="E31" s="5">
        <v>0</v>
      </c>
    </row>
    <row r="32" spans="1:5">
      <c r="A32" s="10" t="s">
        <v>113</v>
      </c>
      <c r="B32" s="11">
        <f>SUM(B2:B30)</f>
        <v>1924767</v>
      </c>
      <c r="C32" s="18">
        <f>SUM(C2:C31)</f>
        <v>27504.920430000002</v>
      </c>
      <c r="D32" s="11">
        <f>SUM(D2:D31)</f>
        <v>59340</v>
      </c>
      <c r="E32" s="10">
        <v>14.29</v>
      </c>
    </row>
    <row r="34" spans="2:2">
      <c r="B34" s="5" t="s">
        <v>117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8120-AE53-3248-966E-BFBAD0F9C466}">
  <dimension ref="A1:H9"/>
  <sheetViews>
    <sheetView workbookViewId="0">
      <selection activeCell="J16" sqref="J16"/>
    </sheetView>
  </sheetViews>
  <sheetFormatPr baseColWidth="10" defaultRowHeight="15"/>
  <cols>
    <col min="4" max="4" width="16" customWidth="1"/>
    <col min="5" max="5" width="14.33203125" bestFit="1" customWidth="1"/>
    <col min="6" max="6" width="14.6640625" bestFit="1" customWidth="1"/>
    <col min="7" max="7" width="15.83203125" style="22" bestFit="1" customWidth="1"/>
  </cols>
  <sheetData>
    <row r="1" spans="1:8" ht="20">
      <c r="A1" s="1" t="s">
        <v>1</v>
      </c>
      <c r="B1" s="1" t="s">
        <v>36</v>
      </c>
      <c r="C1" s="1" t="s">
        <v>103</v>
      </c>
      <c r="D1" s="1" t="s">
        <v>104</v>
      </c>
      <c r="E1" s="1" t="s">
        <v>105</v>
      </c>
      <c r="F1" s="1" t="s">
        <v>2</v>
      </c>
      <c r="G1" s="19" t="s">
        <v>3</v>
      </c>
      <c r="H1" s="1" t="s">
        <v>4</v>
      </c>
    </row>
    <row r="2" spans="1:8" ht="20">
      <c r="A2" s="1"/>
      <c r="B2" s="1"/>
      <c r="C2" s="1"/>
      <c r="D2" s="1"/>
      <c r="E2" s="1"/>
      <c r="F2" s="1"/>
      <c r="G2" s="19"/>
      <c r="H2" s="1"/>
    </row>
    <row r="3" spans="1:8" ht="20">
      <c r="A3" s="2">
        <v>14.29</v>
      </c>
      <c r="B3" s="3">
        <v>45901</v>
      </c>
      <c r="C3" s="2">
        <v>5448</v>
      </c>
      <c r="D3" s="2" t="s">
        <v>106</v>
      </c>
      <c r="E3" s="2" t="s">
        <v>107</v>
      </c>
      <c r="F3" s="4">
        <v>245115</v>
      </c>
      <c r="G3" s="20">
        <v>3502.69335</v>
      </c>
      <c r="H3" s="4">
        <v>9136</v>
      </c>
    </row>
    <row r="4" spans="1:8" ht="20">
      <c r="A4" s="2">
        <v>14.29</v>
      </c>
      <c r="B4" s="3">
        <v>45901</v>
      </c>
      <c r="C4" s="2">
        <v>5485</v>
      </c>
      <c r="D4" s="2" t="s">
        <v>108</v>
      </c>
      <c r="E4" s="2" t="s">
        <v>107</v>
      </c>
      <c r="F4" s="4">
        <v>181778</v>
      </c>
      <c r="G4" s="20">
        <v>2597.6076200000002</v>
      </c>
      <c r="H4" s="4">
        <v>6390</v>
      </c>
    </row>
    <row r="5" spans="1:8" ht="20">
      <c r="A5" s="2">
        <v>14.29</v>
      </c>
      <c r="B5" s="3">
        <v>45901</v>
      </c>
      <c r="C5" s="2">
        <v>5512</v>
      </c>
      <c r="D5" s="2" t="s">
        <v>109</v>
      </c>
      <c r="E5" s="2" t="s">
        <v>107</v>
      </c>
      <c r="F5" s="4">
        <v>671040</v>
      </c>
      <c r="G5" s="20">
        <v>9589.1615999999995</v>
      </c>
      <c r="H5" s="4">
        <v>19717</v>
      </c>
    </row>
    <row r="6" spans="1:8" ht="20">
      <c r="A6" s="2">
        <v>14.29</v>
      </c>
      <c r="B6" s="3">
        <v>45901</v>
      </c>
      <c r="C6" s="2">
        <v>5515</v>
      </c>
      <c r="D6" s="2" t="s">
        <v>110</v>
      </c>
      <c r="E6" s="2" t="s">
        <v>107</v>
      </c>
      <c r="F6" s="4">
        <v>72052</v>
      </c>
      <c r="G6" s="20">
        <v>1029.6230800000001</v>
      </c>
      <c r="H6" s="4">
        <v>2106</v>
      </c>
    </row>
    <row r="7" spans="1:8" ht="20">
      <c r="A7" s="2">
        <v>14.29</v>
      </c>
      <c r="B7" s="3">
        <v>45901</v>
      </c>
      <c r="C7" s="2">
        <v>5516</v>
      </c>
      <c r="D7" s="2" t="s">
        <v>111</v>
      </c>
      <c r="E7" s="2" t="s">
        <v>107</v>
      </c>
      <c r="F7" s="4">
        <v>144440</v>
      </c>
      <c r="G7" s="20">
        <v>2064.0475999999999</v>
      </c>
      <c r="H7" s="4">
        <v>4223</v>
      </c>
    </row>
    <row r="8" spans="1:8" ht="20">
      <c r="A8" s="2">
        <v>14.29</v>
      </c>
      <c r="B8" s="3">
        <v>45901</v>
      </c>
      <c r="C8" s="2">
        <v>5594</v>
      </c>
      <c r="D8" s="2" t="s">
        <v>112</v>
      </c>
      <c r="E8" s="2" t="s">
        <v>107</v>
      </c>
      <c r="F8" s="4">
        <v>610342</v>
      </c>
      <c r="G8" s="20">
        <v>8721.7871799999994</v>
      </c>
      <c r="H8" s="4">
        <v>17768</v>
      </c>
    </row>
    <row r="9" spans="1:8" ht="21">
      <c r="F9" s="9">
        <f>SUM(F3:F8)</f>
        <v>1924767</v>
      </c>
      <c r="G9" s="21">
        <f>SUM(G3:G8)</f>
        <v>27504.920429999998</v>
      </c>
      <c r="H9" s="9">
        <f>SUM(H3:H8)</f>
        <v>59340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SPEND BY AIRPORT LOCATION</vt:lpstr>
      <vt:lpstr>SPEND BY DAY</vt:lpstr>
      <vt:lpstr>SPEND BY CREATIVE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2025-10-02T16:50:14Z</dcterms:created>
  <dcterms:modified xsi:type="dcterms:W3CDTF">2025-10-02T16:50:29Z</dcterms:modified>
</cp:coreProperties>
</file>